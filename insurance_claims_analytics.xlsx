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1A84A\EXCELCNV\01d15c42-d420-427e-9899-19d199a1bf3c\"/>
    </mc:Choice>
  </mc:AlternateContent>
  <xr:revisionPtr revIDLastSave="0" documentId="8_{EA9609C1-3BAA-4F7E-AD7C-877A8FC80529}" xr6:coauthVersionLast="47" xr6:coauthVersionMax="47" xr10:uidLastSave="{00000000-0000-0000-0000-000000000000}"/>
  <bookViews>
    <workbookView xWindow="-60" yWindow="-60" windowWidth="15480" windowHeight="11640" activeTab="4" xr2:uid="{2D78DE3E-3169-485A-AFAE-57AB3E765AB3}"/>
  </bookViews>
  <sheets>
    <sheet name="dashboard" sheetId="5" r:id="rId1"/>
    <sheet name="in" sheetId="1" r:id="rId2"/>
    <sheet name="KPIs" sheetId="2" r:id="rId3"/>
    <sheet name="Sheet1" sheetId="3" r:id="rId4"/>
    <sheet name="Pivots" sheetId="4" r:id="rId5"/>
  </sheets>
  <definedNames>
    <definedName name="Slicer_Policy_Type">#N/A</definedName>
    <definedName name="Slicer_Region">#N/A</definedName>
    <definedName name="Slicer_Status">#N/A</definedName>
    <definedName name="Slicer_Submission_Month">#N/A</definedName>
  </definedNames>
  <calcPr calcId="191028"/>
  <pivotCaches>
    <pivotCache cacheId="2880" r:id="rId6"/>
    <pivotCache cacheId="3163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4" i="5"/>
  <c r="B2" i="5"/>
  <c r="B1" i="5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  <c r="B5" i="2"/>
  <c r="B4" i="2"/>
  <c r="B2" i="2"/>
  <c r="B1" i="2"/>
  <c r="B3" i="5" l="1"/>
  <c r="B3" i="2"/>
</calcChain>
</file>

<file path=xl/sharedStrings.xml><?xml version="1.0" encoding="utf-8"?>
<sst xmlns="http://schemas.openxmlformats.org/spreadsheetml/2006/main" count="15056" uniqueCount="38">
  <si>
    <t>Total claims</t>
  </si>
  <si>
    <t>Approved claims</t>
  </si>
  <si>
    <t>Approval rate</t>
  </si>
  <si>
    <t>Avg processing time</t>
  </si>
  <si>
    <t>Total claim amount</t>
  </si>
  <si>
    <t>Claim_ID</t>
  </si>
  <si>
    <t>Customer_ID</t>
  </si>
  <si>
    <t>Policy_Type</t>
  </si>
  <si>
    <t>Claim_Amount</t>
  </si>
  <si>
    <t>Status</t>
  </si>
  <si>
    <t>Processing_Time_Days</t>
  </si>
  <si>
    <t>Region</t>
  </si>
  <si>
    <t>Submission_Date</t>
  </si>
  <si>
    <t>Approval_Date</t>
  </si>
  <si>
    <t>Submission_Month</t>
  </si>
  <si>
    <t>Travel</t>
  </si>
  <si>
    <t>Approved</t>
  </si>
  <si>
    <t>East</t>
  </si>
  <si>
    <t>Health</t>
  </si>
  <si>
    <t>Rejected</t>
  </si>
  <si>
    <t>West</t>
  </si>
  <si>
    <t>North</t>
  </si>
  <si>
    <t>Property</t>
  </si>
  <si>
    <t>Motor</t>
  </si>
  <si>
    <t>Pending</t>
  </si>
  <si>
    <t>South</t>
  </si>
  <si>
    <t>Count of Claim_ID</t>
  </si>
  <si>
    <t>Grand Total</t>
  </si>
  <si>
    <t>Apr-2024</t>
  </si>
  <si>
    <t>Aug-2024</t>
  </si>
  <si>
    <t>Dec-2024</t>
  </si>
  <si>
    <t>Feb-2024</t>
  </si>
  <si>
    <t>Jan-2024</t>
  </si>
  <si>
    <t>Jul-2024</t>
  </si>
  <si>
    <t>Jun-2024</t>
  </si>
  <si>
    <t>Mar-2024</t>
  </si>
  <si>
    <t>May-2024</t>
  </si>
  <si>
    <t>Average of Processing_Time_Days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</si>
</sst>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17" fontId="0" fillId="0" borderId="0" xfId="0" applyNumberFormat="1"/>
    <xf numFmtId="0" fontId="16" fillId="0" borderId="0" xfId="0" applyFont="1"/>
    <xf numFmtId="10" fontId="16" fillId="0" borderId="0" xfId="0" applyNumberFormat="1" applyFon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[insurance_claims_analytics.xlsx]Pivots!PivotTable3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claims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Pivots!$A$2:$A$11</c:f>
              <c:strCache>
                <c:ptCount val="9"/>
                <c:pt idx="0">
                  <c:v>Apr-2024</c:v>
                </c:pt>
                <c:pt idx="1">
                  <c:v>Aug-2024</c:v>
                </c:pt>
                <c:pt idx="2">
                  <c:v>Dec-2024</c:v>
                </c:pt>
                <c:pt idx="3">
                  <c:v>Feb-2024</c:v>
                </c:pt>
                <c:pt idx="4">
                  <c:v>Jan-2024</c:v>
                </c:pt>
                <c:pt idx="5">
                  <c:v>Jul-2024</c:v>
                </c:pt>
                <c:pt idx="6">
                  <c:v>Jun-2024</c:v>
                </c:pt>
                <c:pt idx="7">
                  <c:v>Mar-2024</c:v>
                </c:pt>
                <c:pt idx="8">
                  <c:v>May-2024</c:v>
                </c:pt>
              </c:strCache>
            </c:strRef>
          </c:cat>
          <c:val>
            <c:numRef>
              <c:f>Pivots!$B$2:$B$11</c:f>
              <c:numCache>
                <c:formatCode>General</c:formatCode>
                <c:ptCount val="9"/>
                <c:pt idx="0">
                  <c:v>13</c:v>
                </c:pt>
                <c:pt idx="1">
                  <c:v>8</c:v>
                </c:pt>
                <c:pt idx="2">
                  <c:v>11</c:v>
                </c:pt>
                <c:pt idx="3">
                  <c:v>8</c:v>
                </c:pt>
                <c:pt idx="4">
                  <c:v>10</c:v>
                </c:pt>
                <c:pt idx="5">
                  <c:v>5</c:v>
                </c:pt>
                <c:pt idx="6">
                  <c:v>10</c:v>
                </c:pt>
                <c:pt idx="7">
                  <c:v>6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3-4F7E-BEE1-9C222AB79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165703"/>
        <c:axId val="811188231"/>
      </c:lineChart>
      <c:catAx>
        <c:axId val="811165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88231"/>
        <c:crosses val="autoZero"/>
        <c:auto val="1"/>
        <c:lblAlgn val="ctr"/>
        <c:lblOffset val="100"/>
        <c:noMultiLvlLbl val="0"/>
      </c:catAx>
      <c:valAx>
        <c:axId val="811188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65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[insurance_claims_analytics.xlsx]Pivots!PivotTable4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processing time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Pivots!$A$17:$A$18</c:f>
              <c:strCache>
                <c:ptCount val="1"/>
                <c:pt idx="0">
                  <c:v>South</c:v>
                </c:pt>
              </c:strCache>
            </c:strRef>
          </c:cat>
          <c:val>
            <c:numRef>
              <c:f>Pivots!$B$17:$B$18</c:f>
              <c:numCache>
                <c:formatCode>General</c:formatCode>
                <c:ptCount val="1"/>
                <c:pt idx="0">
                  <c:v>22.666666666666668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C-4BF0-98A5-B09495F8F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359047"/>
        <c:axId val="502361095"/>
      </c:barChart>
      <c:catAx>
        <c:axId val="502359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61095"/>
        <c:crosses val="autoZero"/>
        <c:auto val="1"/>
        <c:lblAlgn val="ctr"/>
        <c:lblOffset val="100"/>
        <c:noMultiLvlLbl val="0"/>
      </c:catAx>
      <c:valAx>
        <c:axId val="502361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59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[insurance_claims_analytics.xlsx]Sheet1!PivotTable1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Claims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36-4AC8-9816-EB2FB951A1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36-4AC8-9816-EB2FB951A1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36-4AC8-9816-EB2FB951A1AC}"/>
              </c:ext>
            </c:extLst>
          </c:dPt>
          <c:cat>
            <c:strRef>
              <c:f>Sheet1!$A$4:$A$7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3524</c:v>
                </c:pt>
                <c:pt idx="1">
                  <c:v>484</c:v>
                </c:pt>
                <c:pt idx="2">
                  <c:v>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36-4AC8-9816-EB2FB951A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[insurance_claims_analytics.xlsx]Sheet1!PivotTable3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claim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Sheet1!$D$4:$D$8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Sheet1!$E$4:$E$8</c:f>
              <c:numCache>
                <c:formatCode>General</c:formatCode>
                <c:ptCount val="4"/>
                <c:pt idx="0">
                  <c:v>1209</c:v>
                </c:pt>
                <c:pt idx="1">
                  <c:v>1295</c:v>
                </c:pt>
                <c:pt idx="2">
                  <c:v>1240</c:v>
                </c:pt>
                <c:pt idx="3">
                  <c:v>1256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5-4BAB-9BAD-976CF038C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6206472"/>
        <c:axId val="1615324680"/>
      </c:barChart>
      <c:catAx>
        <c:axId val="1446206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324680"/>
        <c:crosses val="autoZero"/>
        <c:auto val="1"/>
        <c:lblAlgn val="ctr"/>
        <c:lblOffset val="100"/>
        <c:noMultiLvlLbl val="0"/>
      </c:catAx>
      <c:valAx>
        <c:axId val="161532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20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[insurance_claims_analytics.xlsx]Sheet1!PivotTable2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Policy Type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E8-4B2B-BFA7-1F8D2F9D57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E8-4B2B-BFA7-1F8D2F9D57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E8-4B2B-BFA7-1F8D2F9D57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E8-4B2B-BFA7-1F8D2F9D5746}"/>
              </c:ext>
            </c:extLst>
          </c:dPt>
          <c:cat>
            <c:strRef>
              <c:f>Sheet1!$A$11:$A$15</c:f>
              <c:strCache>
                <c:ptCount val="4"/>
                <c:pt idx="0">
                  <c:v>Health</c:v>
                </c:pt>
                <c:pt idx="1">
                  <c:v>Motor</c:v>
                </c:pt>
                <c:pt idx="2">
                  <c:v>Property</c:v>
                </c:pt>
                <c:pt idx="3">
                  <c:v>Travel</c:v>
                </c:pt>
              </c:strCache>
            </c:strRef>
          </c:cat>
          <c:val>
            <c:numRef>
              <c:f>Sheet1!$B$11:$B$15</c:f>
              <c:numCache>
                <c:formatCode>General</c:formatCode>
                <c:ptCount val="4"/>
                <c:pt idx="0">
                  <c:v>1454</c:v>
                </c:pt>
                <c:pt idx="1">
                  <c:v>2551</c:v>
                </c:pt>
                <c:pt idx="2">
                  <c:v>495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8E8-4B2B-BFA7-1F8D2F9D5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152400</xdr:rowOff>
    </xdr:from>
    <xdr:to>
      <xdr:col>9</xdr:col>
      <xdr:colOff>104775</xdr:colOff>
      <xdr:row>16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0ECCCF6-87D6-4D94-B728-F53C9D2D4BBF}"/>
            </a:ext>
            <a:ext uri="{147F2762-F138-4A5C-976F-8EAC2B608ADB}">
              <a16:predDERef xmlns:a16="http://schemas.microsoft.com/office/drawing/2014/main" pred="{E4B169E6-F0A6-4AB7-BF45-9F95B2D69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295275</xdr:colOff>
      <xdr:row>0</xdr:row>
      <xdr:rowOff>152400</xdr:rowOff>
    </xdr:from>
    <xdr:to>
      <xdr:col>16</xdr:col>
      <xdr:colOff>228600</xdr:colOff>
      <xdr:row>16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55EEED-7D75-4E90-B95E-C8AE4F4552FF}"/>
            </a:ext>
            <a:ext uri="{147F2762-F138-4A5C-976F-8EAC2B608ADB}">
              <a16:predDERef xmlns:a16="http://schemas.microsoft.com/office/drawing/2014/main" pred="{50ECCCF6-87D6-4D94-B728-F53C9D2D4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247650</xdr:colOff>
      <xdr:row>17</xdr:row>
      <xdr:rowOff>28575</xdr:rowOff>
    </xdr:from>
    <xdr:to>
      <xdr:col>4</xdr:col>
      <xdr:colOff>542925</xdr:colOff>
      <xdr:row>32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E954E20-7D9D-4DA5-8570-7F447761D658}"/>
            </a:ext>
            <a:ext uri="{147F2762-F138-4A5C-976F-8EAC2B608ADB}">
              <a16:predDERef xmlns:a16="http://schemas.microsoft.com/office/drawing/2014/main" pred="{C355EEED-7D75-4E90-B95E-C8AE4F455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438150</xdr:colOff>
      <xdr:row>17</xdr:row>
      <xdr:rowOff>38100</xdr:rowOff>
    </xdr:from>
    <xdr:to>
      <xdr:col>19</xdr:col>
      <xdr:colOff>76200</xdr:colOff>
      <xdr:row>32</xdr:row>
      <xdr:rowOff>66675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19CDBC2-C0D9-47F2-8D36-2B4F4949CF9E}"/>
            </a:ext>
            <a:ext uri="{147F2762-F138-4A5C-976F-8EAC2B608ADB}">
              <a16:predDERef xmlns:a16="http://schemas.microsoft.com/office/drawing/2014/main" pred="{EE954E20-7D9D-4DA5-8570-7F447761D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123825</xdr:colOff>
      <xdr:row>17</xdr:row>
      <xdr:rowOff>38100</xdr:rowOff>
    </xdr:from>
    <xdr:to>
      <xdr:col>11</xdr:col>
      <xdr:colOff>285750</xdr:colOff>
      <xdr:row>32</xdr:row>
      <xdr:rowOff>66675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485A15-2B72-4956-8061-B062DA7FEA77}"/>
            </a:ext>
            <a:ext uri="{147F2762-F138-4A5C-976F-8EAC2B608ADB}">
              <a16:predDERef xmlns:a16="http://schemas.microsoft.com/office/drawing/2014/main" pred="{A19CDBC2-C0D9-47F2-8D36-2B4F4949C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257175</xdr:colOff>
      <xdr:row>33</xdr:row>
      <xdr:rowOff>114300</xdr:rowOff>
    </xdr:from>
    <xdr:to>
      <xdr:col>12</xdr:col>
      <xdr:colOff>9525</xdr:colOff>
      <xdr:row>41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7887204-7A91-4A53-79AE-5A23C21AE3DF}"/>
            </a:ext>
            <a:ext uri="{147F2762-F138-4A5C-976F-8EAC2B608ADB}">
              <a16:predDERef xmlns:a16="http://schemas.microsoft.com/office/drawing/2014/main" pred="{E4485A15-2B72-4956-8061-B062DA7FEA77}"/>
            </a:ext>
          </a:extLst>
        </xdr:cNvPr>
        <xdr:cNvSpPr txBox="1"/>
      </xdr:nvSpPr>
      <xdr:spPr>
        <a:xfrm>
          <a:off x="257175" y="6400800"/>
          <a:ext cx="8382000" cy="144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Insights &amp; Interpretation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</a:t>
          </a:r>
          <a:r>
            <a:rPr lang="en-US" sz="1100" b="0" i="0" u="none" strike="noStrike">
              <a:solidFill>
                <a:srgbClr val="000000"/>
              </a:solidFill>
              <a:latin typeface="+mn-lt"/>
              <a:ea typeface="+mn-lt"/>
              <a:cs typeface="+mn-lt"/>
            </a:rPr>
            <a:t>Strong approval performance with a 70.5% approval rate, indicating overall healthy underwriting acceptance.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+mn-lt"/>
              <a:ea typeface="+mn-lt"/>
              <a:cs typeface="+mn-lt"/>
            </a:rPr>
            <a:t>•Motor &amp; Health policies drive the bulk of claims volume, representing the dominant product mix.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+mn-lt"/>
              <a:ea typeface="+mn-lt"/>
              <a:cs typeface="+mn-lt"/>
            </a:rPr>
            <a:t>•Total claim value exceeds ₹513 Cr, reinforcing strong business activity across product lines.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+mn-lt"/>
              <a:ea typeface="+mn-lt"/>
              <a:cs typeface="+mn-lt"/>
            </a:rPr>
            <a:t>•Average processing time of ~23 days suggests reasonably efficient claim handling, with room for improvement toward a sub-20 day target.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+mn-lt"/>
              <a:ea typeface="+mn-lt"/>
              <a:cs typeface="+mn-lt"/>
            </a:rPr>
            <a:t>•Regional distribution is balanced, with no single region exceeding ~26% of total submissions, indicating stable geographic spread.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+mn-lt"/>
              <a:ea typeface="+mn-lt"/>
              <a:cs typeface="+mn-lt"/>
            </a:rPr>
            <a:t>•Rejected &amp; Pending claims (combined ~29%) highlight an opportunity to streamline documentation and customer communication processes.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3</xdr:row>
      <xdr:rowOff>19050</xdr:rowOff>
    </xdr:from>
    <xdr:to>
      <xdr:col>6</xdr:col>
      <xdr:colOff>314325</xdr:colOff>
      <xdr:row>16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Policy_Type">
              <a:extLst>
                <a:ext uri="{FF2B5EF4-FFF2-40B4-BE49-F238E27FC236}">
                  <a16:creationId xmlns:a16="http://schemas.microsoft.com/office/drawing/2014/main" id="{96609310-9736-E53A-0BE4-3F1D6F4717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licy_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76625" y="590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0</xdr:colOff>
      <xdr:row>3</xdr:row>
      <xdr:rowOff>38100</xdr:rowOff>
    </xdr:from>
    <xdr:to>
      <xdr:col>13</xdr:col>
      <xdr:colOff>0</xdr:colOff>
      <xdr:row>17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Status">
              <a:extLst>
                <a:ext uri="{FF2B5EF4-FFF2-40B4-BE49-F238E27FC236}">
                  <a16:creationId xmlns:a16="http://schemas.microsoft.com/office/drawing/2014/main" id="{B27317DE-7F2C-E26F-88CF-22D0D7F6226E}"/>
                </a:ext>
                <a:ext uri="{147F2762-F138-4A5C-976F-8EAC2B608ADB}">
                  <a16:predDERef xmlns:a16="http://schemas.microsoft.com/office/drawing/2014/main" pred="{96609310-9736-E53A-0BE4-3F1D6F4717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9500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457200</xdr:colOff>
      <xdr:row>3</xdr:row>
      <xdr:rowOff>38100</xdr:rowOff>
    </xdr:from>
    <xdr:to>
      <xdr:col>9</xdr:col>
      <xdr:colOff>457200</xdr:colOff>
      <xdr:row>17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Region">
              <a:extLst>
                <a:ext uri="{FF2B5EF4-FFF2-40B4-BE49-F238E27FC236}">
                  <a16:creationId xmlns:a16="http://schemas.microsoft.com/office/drawing/2014/main" id="{EC94EC14-3DDB-3A87-E2A7-FABB56FC8256}"/>
                </a:ext>
                <a:ext uri="{147F2762-F138-4A5C-976F-8EAC2B608ADB}">
                  <a16:predDERef xmlns:a16="http://schemas.microsoft.com/office/drawing/2014/main" pred="{B27317DE-7F2C-E26F-88CF-22D0D7F622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8300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114300</xdr:colOff>
      <xdr:row>3</xdr:row>
      <xdr:rowOff>47625</xdr:rowOff>
    </xdr:from>
    <xdr:to>
      <xdr:col>16</xdr:col>
      <xdr:colOff>114300</xdr:colOff>
      <xdr:row>17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Submission_Month">
              <a:extLst>
                <a:ext uri="{FF2B5EF4-FFF2-40B4-BE49-F238E27FC236}">
                  <a16:creationId xmlns:a16="http://schemas.microsoft.com/office/drawing/2014/main" id="{6351B14B-E7C2-A40E-9114-A3D06FBD8DA6}"/>
                </a:ext>
                <a:ext uri="{147F2762-F138-4A5C-976F-8EAC2B608ADB}">
                  <a16:predDERef xmlns:a16="http://schemas.microsoft.com/office/drawing/2014/main" pred="{EC94EC14-3DDB-3A87-E2A7-FABB56FC82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mission_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72600" y="6191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0.798478356483" createdVersion="8" refreshedVersion="8" minRefreshableVersion="3" recordCount="5000" xr:uid="{3F4E3083-7329-49A4-A668-A3DE8A6A285F}">
  <cacheSource type="worksheet">
    <worksheetSource ref="A1:I5001" sheet="in"/>
  </cacheSource>
  <cacheFields count="9">
    <cacheField name="Claim_ID" numFmtId="0">
      <sharedItems containsSemiMixedTypes="0" containsString="0" containsNumber="1" containsInteger="1" minValue="1" maxValue="5000"/>
    </cacheField>
    <cacheField name="Customer_ID" numFmtId="0">
      <sharedItems containsSemiMixedTypes="0" containsString="0" containsNumber="1" containsInteger="1" minValue="10000" maxValue="19994"/>
    </cacheField>
    <cacheField name="Policy_Type" numFmtId="0">
      <sharedItems count="4">
        <s v="Travel"/>
        <s v="Health"/>
        <s v="Property"/>
        <s v="Motor"/>
      </sharedItems>
    </cacheField>
    <cacheField name="Claim_Amount" numFmtId="0">
      <sharedItems containsSemiMixedTypes="0" containsString="0" containsNumber="1" minValue="5049.2299999999996" maxValue="199985.34"/>
    </cacheField>
    <cacheField name="Status" numFmtId="0">
      <sharedItems count="3">
        <s v="Approved"/>
        <s v="Rejected"/>
        <s v="Pending"/>
      </sharedItems>
    </cacheField>
    <cacheField name="Processing_Time_Days" numFmtId="0">
      <sharedItems containsString="0" containsBlank="1" containsNumber="1" containsInteger="1" minValue="2" maxValue="44"/>
    </cacheField>
    <cacheField name="Region" numFmtId="0">
      <sharedItems count="4">
        <s v="East"/>
        <s v="West"/>
        <s v="North"/>
        <s v="South"/>
      </sharedItems>
    </cacheField>
    <cacheField name="Submission_Date" numFmtId="14">
      <sharedItems containsSemiMixedTypes="0" containsNonDate="0" containsDate="1" containsString="0" minDate="2024-01-01T00:00:00" maxDate="2024-12-31T00:00:00"/>
    </cacheField>
    <cacheField name="Approval_Date" numFmtId="0">
      <sharedItems containsNonDate="0" containsDate="1" containsString="0" containsBlank="1" minDate="2024-01-06T00:00:00" maxDate="2025-02-1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0.810687962963" createdVersion="8" refreshedVersion="8" minRefreshableVersion="3" recordCount="5000" xr:uid="{0F15B956-2CDE-4B28-B109-9BA2BBE42FAF}">
  <cacheSource type="worksheet">
    <worksheetSource name="claims"/>
  </cacheSource>
  <cacheFields count="10">
    <cacheField name="Claim_ID" numFmtId="0">
      <sharedItems containsSemiMixedTypes="0" containsString="0" containsNumber="1" containsInteger="1" minValue="1" maxValue="5000"/>
    </cacheField>
    <cacheField name="Customer_ID" numFmtId="0">
      <sharedItems containsSemiMixedTypes="0" containsString="0" containsNumber="1" containsInteger="1" minValue="10000" maxValue="19994"/>
    </cacheField>
    <cacheField name="Policy_Type" numFmtId="0">
      <sharedItems count="4">
        <s v="Travel"/>
        <s v="Health"/>
        <s v="Property"/>
        <s v="Motor"/>
      </sharedItems>
    </cacheField>
    <cacheField name="Claim_Amount" numFmtId="0">
      <sharedItems containsSemiMixedTypes="0" containsString="0" containsNumber="1" minValue="5049.2299999999996" maxValue="199985.34"/>
    </cacheField>
    <cacheField name="Status" numFmtId="0">
      <sharedItems count="3">
        <s v="Approved"/>
        <s v="Rejected"/>
        <s v="Pending"/>
      </sharedItems>
    </cacheField>
    <cacheField name="Processing_Time_Days" numFmtId="0">
      <sharedItems containsString="0" containsBlank="1" containsNumber="1" containsInteger="1" minValue="2" maxValue="44"/>
    </cacheField>
    <cacheField name="Region" numFmtId="0">
      <sharedItems count="4">
        <s v="East"/>
        <s v="West"/>
        <s v="North"/>
        <s v="South"/>
      </sharedItems>
    </cacheField>
    <cacheField name="Submission_Date" numFmtId="14">
      <sharedItems containsSemiMixedTypes="0" containsNonDate="0" containsDate="1" containsString="0" minDate="2024-01-01T00:00:00" maxDate="2024-12-31T00:00:00"/>
    </cacheField>
    <cacheField name="Approval_Date" numFmtId="0">
      <sharedItems containsNonDate="0" containsDate="1" containsString="0" containsBlank="1" minDate="2024-01-06T00:00:00" maxDate="2025-02-13T00:00:00"/>
    </cacheField>
    <cacheField name="Submission_Month" numFmtId="0">
      <sharedItems count="12">
        <s v="Jan-2024"/>
        <s v="Nov-2024"/>
        <s v="Jul-2024"/>
        <s v="May-2024"/>
        <s v="Feb-2024"/>
        <s v="Mar-2024"/>
        <s v="Oct-2024"/>
        <s v="Jun-2024"/>
        <s v="Aug-2024"/>
        <s v="Sep-2024"/>
        <s v="Apr-2024"/>
        <s v="Dec-2024"/>
      </sharedItems>
    </cacheField>
  </cacheFields>
  <extLst>
    <ext xmlns:x14="http://schemas.microsoft.com/office/spreadsheetml/2009/9/main" uri="{725AE2AE-9491-48be-B2B4-4EB974FC3084}">
      <x14:pivotCacheDefinition pivotCacheId="11635367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19671"/>
    <x v="0"/>
    <n v="162309.38"/>
    <x v="0"/>
    <n v="26"/>
    <x v="0"/>
    <d v="2024-01-17T00:00:00"/>
    <d v="2024-02-12T00:00:00"/>
  </r>
  <r>
    <n v="2"/>
    <n v="12369"/>
    <x v="1"/>
    <n v="8225.19"/>
    <x v="1"/>
    <n v="23"/>
    <x v="1"/>
    <d v="2024-11-09T00:00:00"/>
    <d v="2024-12-02T00:00:00"/>
  </r>
  <r>
    <n v="3"/>
    <n v="14065"/>
    <x v="1"/>
    <n v="41427.54"/>
    <x v="0"/>
    <n v="18"/>
    <x v="2"/>
    <d v="2024-07-03T00:00:00"/>
    <d v="2024-07-21T00:00:00"/>
  </r>
  <r>
    <n v="4"/>
    <n v="11463"/>
    <x v="2"/>
    <n v="132706.53"/>
    <x v="0"/>
    <n v="41"/>
    <x v="0"/>
    <d v="2024-11-29T00:00:00"/>
    <d v="2025-01-09T00:00:00"/>
  </r>
  <r>
    <n v="5"/>
    <n v="11907"/>
    <x v="3"/>
    <n v="78273.070000000007"/>
    <x v="0"/>
    <n v="12"/>
    <x v="0"/>
    <d v="2024-07-02T00:00:00"/>
    <d v="2024-07-14T00:00:00"/>
  </r>
  <r>
    <n v="6"/>
    <n v="16201"/>
    <x v="3"/>
    <n v="196584.12"/>
    <x v="2"/>
    <m/>
    <x v="1"/>
    <d v="2024-05-22T00:00:00"/>
    <m/>
  </r>
  <r>
    <n v="7"/>
    <n v="17895"/>
    <x v="0"/>
    <n v="134753.93"/>
    <x v="0"/>
    <n v="6"/>
    <x v="2"/>
    <d v="2024-02-13T00:00:00"/>
    <d v="2024-02-19T00:00:00"/>
  </r>
  <r>
    <n v="8"/>
    <n v="17825"/>
    <x v="3"/>
    <n v="191527.04000000001"/>
    <x v="0"/>
    <n v="22"/>
    <x v="2"/>
    <d v="2024-01-12T00:00:00"/>
    <d v="2024-02-03T00:00:00"/>
  </r>
  <r>
    <n v="9"/>
    <n v="13965"/>
    <x v="0"/>
    <n v="44282.06"/>
    <x v="0"/>
    <n v="27"/>
    <x v="0"/>
    <d v="2024-01-08T00:00:00"/>
    <d v="2024-02-04T00:00:00"/>
  </r>
  <r>
    <n v="10"/>
    <n v="19508"/>
    <x v="0"/>
    <n v="173471.62"/>
    <x v="2"/>
    <m/>
    <x v="3"/>
    <d v="2024-03-20T00:00:00"/>
    <m/>
  </r>
  <r>
    <n v="11"/>
    <n v="10181"/>
    <x v="3"/>
    <n v="67663.7"/>
    <x v="1"/>
    <n v="41"/>
    <x v="0"/>
    <d v="2024-10-23T00:00:00"/>
    <d v="2024-12-03T00:00:00"/>
  </r>
  <r>
    <n v="12"/>
    <n v="16000"/>
    <x v="0"/>
    <n v="197965.14"/>
    <x v="2"/>
    <m/>
    <x v="0"/>
    <d v="2024-06-10T00:00:00"/>
    <m/>
  </r>
  <r>
    <n v="13"/>
    <n v="17245"/>
    <x v="3"/>
    <n v="35749.29"/>
    <x v="0"/>
    <n v="33"/>
    <x v="0"/>
    <d v="2024-10-28T00:00:00"/>
    <d v="2024-11-30T00:00:00"/>
  </r>
  <r>
    <n v="14"/>
    <n v="19152"/>
    <x v="1"/>
    <n v="105686.26"/>
    <x v="0"/>
    <n v="5"/>
    <x v="0"/>
    <d v="2024-08-03T00:00:00"/>
    <d v="2024-08-08T00:00:00"/>
  </r>
  <r>
    <n v="15"/>
    <n v="10989"/>
    <x v="1"/>
    <n v="159604.68"/>
    <x v="0"/>
    <n v="39"/>
    <x v="1"/>
    <d v="2024-09-04T00:00:00"/>
    <d v="2024-10-13T00:00:00"/>
  </r>
  <r>
    <n v="16"/>
    <n v="19917"/>
    <x v="2"/>
    <n v="89365.28"/>
    <x v="1"/>
    <n v="9"/>
    <x v="2"/>
    <d v="2024-01-29T00:00:00"/>
    <d v="2024-02-07T00:00:00"/>
  </r>
  <r>
    <n v="17"/>
    <n v="16272"/>
    <x v="3"/>
    <n v="96276.39"/>
    <x v="0"/>
    <n v="10"/>
    <x v="1"/>
    <d v="2024-09-28T00:00:00"/>
    <d v="2024-10-08T00:00:00"/>
  </r>
  <r>
    <n v="18"/>
    <n v="10706"/>
    <x v="3"/>
    <n v="197339.38"/>
    <x v="0"/>
    <n v="18"/>
    <x v="1"/>
    <d v="2024-05-12T00:00:00"/>
    <d v="2024-05-30T00:00:00"/>
  </r>
  <r>
    <n v="19"/>
    <n v="16652"/>
    <x v="1"/>
    <n v="87935.09"/>
    <x v="1"/>
    <n v="42"/>
    <x v="1"/>
    <d v="2024-01-05T00:00:00"/>
    <d v="2024-02-16T00:00:00"/>
  </r>
  <r>
    <n v="20"/>
    <n v="14847"/>
    <x v="1"/>
    <n v="122794.06"/>
    <x v="0"/>
    <n v="14"/>
    <x v="0"/>
    <d v="2024-08-31T00:00:00"/>
    <d v="2024-09-14T00:00:00"/>
  </r>
  <r>
    <n v="21"/>
    <n v="14330"/>
    <x v="1"/>
    <n v="15635.23"/>
    <x v="0"/>
    <n v="10"/>
    <x v="3"/>
    <d v="2024-01-30T00:00:00"/>
    <d v="2024-02-09T00:00:00"/>
  </r>
  <r>
    <n v="22"/>
    <n v="11620"/>
    <x v="3"/>
    <n v="169230.97"/>
    <x v="0"/>
    <n v="7"/>
    <x v="2"/>
    <d v="2024-04-26T00:00:00"/>
    <d v="2024-05-03T00:00:00"/>
  </r>
  <r>
    <n v="23"/>
    <n v="14649"/>
    <x v="3"/>
    <n v="131392.76999999999"/>
    <x v="0"/>
    <n v="28"/>
    <x v="3"/>
    <d v="2024-06-26T00:00:00"/>
    <d v="2024-07-24T00:00:00"/>
  </r>
  <r>
    <n v="24"/>
    <n v="16596"/>
    <x v="3"/>
    <n v="83783.92"/>
    <x v="1"/>
    <n v="43"/>
    <x v="1"/>
    <d v="2024-09-17T00:00:00"/>
    <d v="2024-10-30T00:00:00"/>
  </r>
  <r>
    <n v="25"/>
    <n v="14681"/>
    <x v="0"/>
    <n v="8153.06"/>
    <x v="0"/>
    <n v="38"/>
    <x v="1"/>
    <d v="2024-08-22T00:00:00"/>
    <d v="2024-09-29T00:00:00"/>
  </r>
  <r>
    <n v="26"/>
    <n v="18044"/>
    <x v="3"/>
    <n v="120375.42"/>
    <x v="0"/>
    <n v="40"/>
    <x v="3"/>
    <d v="2024-05-20T00:00:00"/>
    <d v="2024-06-29T00:00:00"/>
  </r>
  <r>
    <n v="27"/>
    <n v="13580"/>
    <x v="3"/>
    <n v="7468.28"/>
    <x v="0"/>
    <n v="44"/>
    <x v="3"/>
    <d v="2024-10-31T00:00:00"/>
    <d v="2024-12-14T00:00:00"/>
  </r>
  <r>
    <n v="28"/>
    <n v="18614"/>
    <x v="2"/>
    <n v="5234.7"/>
    <x v="0"/>
    <n v="25"/>
    <x v="3"/>
    <d v="2024-12-10T00:00:00"/>
    <d v="2025-01-04T00:00:00"/>
  </r>
  <r>
    <n v="29"/>
    <n v="14015"/>
    <x v="3"/>
    <n v="125139.22"/>
    <x v="0"/>
    <n v="10"/>
    <x v="1"/>
    <d v="2024-02-19T00:00:00"/>
    <d v="2024-02-29T00:00:00"/>
  </r>
  <r>
    <n v="30"/>
    <n v="13196"/>
    <x v="2"/>
    <n v="41858.33"/>
    <x v="0"/>
    <n v="43"/>
    <x v="1"/>
    <d v="2024-09-26T00:00:00"/>
    <d v="2024-11-08T00:00:00"/>
  </r>
  <r>
    <n v="31"/>
    <n v="16149"/>
    <x v="1"/>
    <n v="42418.07"/>
    <x v="0"/>
    <n v="12"/>
    <x v="2"/>
    <d v="2024-04-17T00:00:00"/>
    <d v="2024-04-29T00:00:00"/>
  </r>
  <r>
    <n v="32"/>
    <n v="14553"/>
    <x v="0"/>
    <n v="132387.96"/>
    <x v="0"/>
    <n v="36"/>
    <x v="2"/>
    <d v="2024-02-15T00:00:00"/>
    <d v="2024-03-22T00:00:00"/>
  </r>
  <r>
    <n v="33"/>
    <n v="14010"/>
    <x v="3"/>
    <n v="15470.95"/>
    <x v="0"/>
    <n v="30"/>
    <x v="1"/>
    <d v="2024-03-22T00:00:00"/>
    <d v="2024-04-21T00:00:00"/>
  </r>
  <r>
    <n v="34"/>
    <n v="16665"/>
    <x v="3"/>
    <n v="66114.080000000002"/>
    <x v="0"/>
    <n v="9"/>
    <x v="3"/>
    <d v="2024-05-05T00:00:00"/>
    <d v="2024-05-14T00:00:00"/>
  </r>
  <r>
    <n v="35"/>
    <n v="14646"/>
    <x v="1"/>
    <n v="34139.22"/>
    <x v="1"/>
    <n v="18"/>
    <x v="3"/>
    <d v="2024-03-24T00:00:00"/>
    <d v="2024-04-11T00:00:00"/>
  </r>
  <r>
    <n v="36"/>
    <n v="16090"/>
    <x v="0"/>
    <n v="118134.39"/>
    <x v="1"/>
    <n v="8"/>
    <x v="2"/>
    <d v="2024-10-16T00:00:00"/>
    <d v="2024-10-24T00:00:00"/>
  </r>
  <r>
    <n v="37"/>
    <n v="13750"/>
    <x v="1"/>
    <n v="134044.21"/>
    <x v="1"/>
    <n v="13"/>
    <x v="1"/>
    <d v="2024-03-11T00:00:00"/>
    <d v="2024-03-24T00:00:00"/>
  </r>
  <r>
    <n v="38"/>
    <n v="19837"/>
    <x v="3"/>
    <n v="145621.49"/>
    <x v="0"/>
    <n v="16"/>
    <x v="2"/>
    <d v="2024-06-23T00:00:00"/>
    <d v="2024-07-09T00:00:00"/>
  </r>
  <r>
    <n v="39"/>
    <n v="12536"/>
    <x v="1"/>
    <n v="54770.09"/>
    <x v="0"/>
    <n v="30"/>
    <x v="2"/>
    <d v="2024-11-11T00:00:00"/>
    <d v="2024-12-11T00:00:00"/>
  </r>
  <r>
    <n v="40"/>
    <n v="13259"/>
    <x v="1"/>
    <n v="22403.7"/>
    <x v="0"/>
    <n v="25"/>
    <x v="0"/>
    <d v="2024-11-25T00:00:00"/>
    <d v="2024-12-20T00:00:00"/>
  </r>
  <r>
    <n v="41"/>
    <n v="16879"/>
    <x v="1"/>
    <n v="20343.310000000001"/>
    <x v="0"/>
    <n v="38"/>
    <x v="0"/>
    <d v="2024-12-02T00:00:00"/>
    <d v="2025-01-09T00:00:00"/>
  </r>
  <r>
    <n v="42"/>
    <n v="17438"/>
    <x v="1"/>
    <n v="88099.55"/>
    <x v="0"/>
    <n v="15"/>
    <x v="0"/>
    <d v="2024-12-19T00:00:00"/>
    <d v="2025-01-03T00:00:00"/>
  </r>
  <r>
    <n v="43"/>
    <n v="12511"/>
    <x v="0"/>
    <n v="189439.66"/>
    <x v="0"/>
    <n v="12"/>
    <x v="3"/>
    <d v="2024-03-31T00:00:00"/>
    <d v="2024-04-12T00:00:00"/>
  </r>
  <r>
    <n v="44"/>
    <n v="12090"/>
    <x v="1"/>
    <n v="47457.16"/>
    <x v="2"/>
    <m/>
    <x v="1"/>
    <d v="2024-12-16T00:00:00"/>
    <m/>
  </r>
  <r>
    <n v="45"/>
    <n v="14634"/>
    <x v="3"/>
    <n v="55064.61"/>
    <x v="0"/>
    <n v="18"/>
    <x v="1"/>
    <d v="2024-09-05T00:00:00"/>
    <d v="2024-09-23T00:00:00"/>
  </r>
  <r>
    <n v="46"/>
    <n v="10567"/>
    <x v="3"/>
    <n v="24673.32"/>
    <x v="0"/>
    <n v="28"/>
    <x v="1"/>
    <d v="2024-05-11T00:00:00"/>
    <d v="2024-06-08T00:00:00"/>
  </r>
  <r>
    <n v="47"/>
    <n v="10120"/>
    <x v="3"/>
    <n v="123086.2"/>
    <x v="1"/>
    <n v="4"/>
    <x v="1"/>
    <d v="2024-06-17T00:00:00"/>
    <d v="2024-06-21T00:00:00"/>
  </r>
  <r>
    <n v="48"/>
    <n v="16768"/>
    <x v="3"/>
    <n v="137575.21"/>
    <x v="0"/>
    <n v="3"/>
    <x v="0"/>
    <d v="2024-02-29T00:00:00"/>
    <d v="2024-03-03T00:00:00"/>
  </r>
  <r>
    <n v="49"/>
    <n v="18507"/>
    <x v="3"/>
    <n v="130371.59"/>
    <x v="1"/>
    <n v="5"/>
    <x v="3"/>
    <d v="2024-12-02T00:00:00"/>
    <d v="2024-12-07T00:00:00"/>
  </r>
  <r>
    <n v="50"/>
    <n v="10620"/>
    <x v="3"/>
    <n v="172920.4"/>
    <x v="1"/>
    <n v="19"/>
    <x v="3"/>
    <d v="2024-08-28T00:00:00"/>
    <d v="2024-09-16T00:00:00"/>
  </r>
  <r>
    <n v="51"/>
    <n v="14063"/>
    <x v="3"/>
    <n v="99853.04"/>
    <x v="2"/>
    <m/>
    <x v="0"/>
    <d v="2024-07-08T00:00:00"/>
    <m/>
  </r>
  <r>
    <n v="52"/>
    <n v="10453"/>
    <x v="3"/>
    <n v="31219.119999999999"/>
    <x v="0"/>
    <n v="22"/>
    <x v="3"/>
    <d v="2024-12-05T00:00:00"/>
    <d v="2024-12-27T00:00:00"/>
  </r>
  <r>
    <n v="53"/>
    <n v="12734"/>
    <x v="0"/>
    <n v="61434"/>
    <x v="0"/>
    <n v="15"/>
    <x v="0"/>
    <d v="2024-10-07T00:00:00"/>
    <d v="2024-10-22T00:00:00"/>
  </r>
  <r>
    <n v="54"/>
    <n v="10958"/>
    <x v="2"/>
    <n v="134173.84"/>
    <x v="0"/>
    <n v="9"/>
    <x v="1"/>
    <d v="2024-08-19T00:00:00"/>
    <d v="2024-08-28T00:00:00"/>
  </r>
  <r>
    <n v="55"/>
    <n v="10762"/>
    <x v="3"/>
    <n v="124558.78"/>
    <x v="0"/>
    <n v="3"/>
    <x v="0"/>
    <d v="2024-10-15T00:00:00"/>
    <d v="2024-10-18T00:00:00"/>
  </r>
  <r>
    <n v="56"/>
    <n v="19552"/>
    <x v="2"/>
    <n v="108545.61"/>
    <x v="0"/>
    <n v="27"/>
    <x v="1"/>
    <d v="2024-10-01T00:00:00"/>
    <d v="2024-10-28T00:00:00"/>
  </r>
  <r>
    <n v="57"/>
    <n v="14335"/>
    <x v="1"/>
    <n v="138178.06"/>
    <x v="0"/>
    <n v="20"/>
    <x v="1"/>
    <d v="2024-11-08T00:00:00"/>
    <d v="2024-11-28T00:00:00"/>
  </r>
  <r>
    <n v="58"/>
    <n v="16520"/>
    <x v="3"/>
    <n v="129291.22"/>
    <x v="0"/>
    <n v="43"/>
    <x v="2"/>
    <d v="2024-01-15T00:00:00"/>
    <d v="2024-02-27T00:00:00"/>
  </r>
  <r>
    <n v="59"/>
    <n v="12051"/>
    <x v="3"/>
    <n v="176858.35"/>
    <x v="0"/>
    <n v="29"/>
    <x v="0"/>
    <d v="2024-02-10T00:00:00"/>
    <d v="2024-03-10T00:00:00"/>
  </r>
  <r>
    <n v="60"/>
    <n v="16989"/>
    <x v="1"/>
    <n v="119273.19"/>
    <x v="1"/>
    <n v="30"/>
    <x v="2"/>
    <d v="2024-07-26T00:00:00"/>
    <d v="2024-08-25T00:00:00"/>
  </r>
  <r>
    <n v="61"/>
    <n v="18388"/>
    <x v="1"/>
    <n v="156827.26"/>
    <x v="1"/>
    <n v="6"/>
    <x v="0"/>
    <d v="2024-02-29T00:00:00"/>
    <d v="2024-03-06T00:00:00"/>
  </r>
  <r>
    <n v="62"/>
    <n v="17807"/>
    <x v="1"/>
    <n v="53497.9"/>
    <x v="0"/>
    <n v="44"/>
    <x v="0"/>
    <d v="2024-12-30T00:00:00"/>
    <d v="2025-02-12T00:00:00"/>
  </r>
  <r>
    <n v="63"/>
    <n v="10260"/>
    <x v="3"/>
    <n v="137245.6"/>
    <x v="0"/>
    <n v="29"/>
    <x v="2"/>
    <d v="2024-08-27T00:00:00"/>
    <d v="2024-09-25T00:00:00"/>
  </r>
  <r>
    <n v="64"/>
    <n v="16746"/>
    <x v="3"/>
    <n v="180927.85"/>
    <x v="1"/>
    <n v="42"/>
    <x v="2"/>
    <d v="2024-04-05T00:00:00"/>
    <d v="2024-05-17T00:00:00"/>
  </r>
  <r>
    <n v="65"/>
    <n v="15890"/>
    <x v="3"/>
    <n v="80217.8"/>
    <x v="0"/>
    <n v="27"/>
    <x v="0"/>
    <d v="2024-10-04T00:00:00"/>
    <d v="2024-10-31T00:00:00"/>
  </r>
  <r>
    <n v="66"/>
    <n v="16053"/>
    <x v="3"/>
    <n v="156925.32"/>
    <x v="1"/>
    <n v="6"/>
    <x v="3"/>
    <d v="2024-06-08T00:00:00"/>
    <d v="2024-06-14T00:00:00"/>
  </r>
  <r>
    <n v="67"/>
    <n v="11280"/>
    <x v="3"/>
    <n v="146333.91"/>
    <x v="2"/>
    <m/>
    <x v="1"/>
    <d v="2024-10-08T00:00:00"/>
    <m/>
  </r>
  <r>
    <n v="68"/>
    <n v="10135"/>
    <x v="3"/>
    <n v="16607.61"/>
    <x v="0"/>
    <n v="10"/>
    <x v="2"/>
    <d v="2024-07-27T00:00:00"/>
    <d v="2024-08-06T00:00:00"/>
  </r>
  <r>
    <n v="69"/>
    <n v="16099"/>
    <x v="0"/>
    <n v="118394.12"/>
    <x v="1"/>
    <n v="33"/>
    <x v="1"/>
    <d v="2024-05-12T00:00:00"/>
    <d v="2024-06-14T00:00:00"/>
  </r>
  <r>
    <n v="70"/>
    <n v="17877"/>
    <x v="2"/>
    <n v="30386.92"/>
    <x v="0"/>
    <n v="27"/>
    <x v="3"/>
    <d v="2024-04-06T00:00:00"/>
    <d v="2024-05-03T00:00:00"/>
  </r>
  <r>
    <n v="71"/>
    <n v="12545"/>
    <x v="3"/>
    <n v="193627.24"/>
    <x v="0"/>
    <n v="38"/>
    <x v="3"/>
    <d v="2024-08-06T00:00:00"/>
    <d v="2024-09-13T00:00:00"/>
  </r>
  <r>
    <n v="72"/>
    <n v="18560"/>
    <x v="2"/>
    <n v="163224.46"/>
    <x v="0"/>
    <n v="16"/>
    <x v="3"/>
    <d v="2024-03-11T00:00:00"/>
    <d v="2024-03-27T00:00:00"/>
  </r>
  <r>
    <n v="73"/>
    <n v="13662"/>
    <x v="3"/>
    <n v="26396.14"/>
    <x v="0"/>
    <n v="42"/>
    <x v="2"/>
    <d v="2024-09-30T00:00:00"/>
    <d v="2024-11-11T00:00:00"/>
  </r>
  <r>
    <n v="74"/>
    <n v="16729"/>
    <x v="3"/>
    <n v="28741.64"/>
    <x v="1"/>
    <n v="5"/>
    <x v="3"/>
    <d v="2024-12-16T00:00:00"/>
    <d v="2024-12-21T00:00:00"/>
  </r>
  <r>
    <n v="75"/>
    <n v="13454"/>
    <x v="3"/>
    <n v="120922.4"/>
    <x v="0"/>
    <n v="37"/>
    <x v="2"/>
    <d v="2024-05-13T00:00:00"/>
    <d v="2024-06-19T00:00:00"/>
  </r>
  <r>
    <n v="76"/>
    <n v="14808"/>
    <x v="1"/>
    <n v="72253.39"/>
    <x v="0"/>
    <n v="21"/>
    <x v="3"/>
    <d v="2024-03-06T00:00:00"/>
    <d v="2024-03-27T00:00:00"/>
  </r>
  <r>
    <n v="77"/>
    <n v="18048"/>
    <x v="2"/>
    <n v="11806.64"/>
    <x v="0"/>
    <n v="28"/>
    <x v="1"/>
    <d v="2024-05-06T00:00:00"/>
    <d v="2024-06-03T00:00:00"/>
  </r>
  <r>
    <n v="78"/>
    <n v="16520"/>
    <x v="1"/>
    <n v="110620.09"/>
    <x v="1"/>
    <n v="22"/>
    <x v="1"/>
    <d v="2024-07-23T00:00:00"/>
    <d v="2024-08-14T00:00:00"/>
  </r>
  <r>
    <n v="79"/>
    <n v="10544"/>
    <x v="3"/>
    <n v="80629.789999999994"/>
    <x v="2"/>
    <m/>
    <x v="0"/>
    <d v="2024-10-24T00:00:00"/>
    <m/>
  </r>
  <r>
    <n v="80"/>
    <n v="16216"/>
    <x v="1"/>
    <n v="24709.919999999998"/>
    <x v="1"/>
    <n v="8"/>
    <x v="1"/>
    <d v="2024-04-26T00:00:00"/>
    <d v="2024-05-04T00:00:00"/>
  </r>
  <r>
    <n v="81"/>
    <n v="17117"/>
    <x v="3"/>
    <n v="161374.48000000001"/>
    <x v="0"/>
    <n v="32"/>
    <x v="0"/>
    <d v="2024-09-23T00:00:00"/>
    <d v="2024-10-25T00:00:00"/>
  </r>
  <r>
    <n v="82"/>
    <n v="14599"/>
    <x v="0"/>
    <n v="183439.97"/>
    <x v="0"/>
    <n v="18"/>
    <x v="1"/>
    <d v="2024-10-08T00:00:00"/>
    <d v="2024-10-26T00:00:00"/>
  </r>
  <r>
    <n v="83"/>
    <n v="13423"/>
    <x v="1"/>
    <n v="152535.82"/>
    <x v="0"/>
    <n v="8"/>
    <x v="2"/>
    <d v="2024-05-28T00:00:00"/>
    <d v="2024-06-05T00:00:00"/>
  </r>
  <r>
    <n v="84"/>
    <n v="14805"/>
    <x v="3"/>
    <n v="165372.35"/>
    <x v="0"/>
    <n v="20"/>
    <x v="1"/>
    <d v="2024-07-12T00:00:00"/>
    <d v="2024-08-01T00:00:00"/>
  </r>
  <r>
    <n v="85"/>
    <n v="14483"/>
    <x v="1"/>
    <n v="47215.66"/>
    <x v="0"/>
    <n v="29"/>
    <x v="0"/>
    <d v="2024-06-16T00:00:00"/>
    <d v="2024-07-15T00:00:00"/>
  </r>
  <r>
    <n v="86"/>
    <n v="16971"/>
    <x v="1"/>
    <n v="56396.73"/>
    <x v="0"/>
    <n v="11"/>
    <x v="0"/>
    <d v="2024-11-07T00:00:00"/>
    <d v="2024-11-18T00:00:00"/>
  </r>
  <r>
    <n v="87"/>
    <n v="17119"/>
    <x v="3"/>
    <n v="45662.87"/>
    <x v="0"/>
    <n v="28"/>
    <x v="3"/>
    <d v="2024-06-27T00:00:00"/>
    <d v="2024-07-25T00:00:00"/>
  </r>
  <r>
    <n v="88"/>
    <n v="11097"/>
    <x v="1"/>
    <n v="154187.37"/>
    <x v="1"/>
    <n v="14"/>
    <x v="2"/>
    <d v="2024-05-27T00:00:00"/>
    <d v="2024-06-10T00:00:00"/>
  </r>
  <r>
    <n v="89"/>
    <n v="16860"/>
    <x v="3"/>
    <n v="189843.83"/>
    <x v="0"/>
    <n v="3"/>
    <x v="1"/>
    <d v="2024-02-26T00:00:00"/>
    <d v="2024-02-29T00:00:00"/>
  </r>
  <r>
    <n v="90"/>
    <n v="15435"/>
    <x v="1"/>
    <n v="144783.26"/>
    <x v="0"/>
    <n v="23"/>
    <x v="3"/>
    <d v="2024-01-05T00:00:00"/>
    <d v="2024-01-28T00:00:00"/>
  </r>
  <r>
    <n v="91"/>
    <n v="11943"/>
    <x v="0"/>
    <n v="176886.02"/>
    <x v="0"/>
    <n v="21"/>
    <x v="1"/>
    <d v="2024-01-14T00:00:00"/>
    <d v="2024-02-04T00:00:00"/>
  </r>
  <r>
    <n v="92"/>
    <n v="11719"/>
    <x v="0"/>
    <n v="129546.32"/>
    <x v="1"/>
    <n v="44"/>
    <x v="1"/>
    <d v="2024-10-06T00:00:00"/>
    <d v="2024-11-19T00:00:00"/>
  </r>
  <r>
    <n v="93"/>
    <n v="15768"/>
    <x v="1"/>
    <n v="80593.679999999993"/>
    <x v="1"/>
    <n v="6"/>
    <x v="3"/>
    <d v="2024-11-19T00:00:00"/>
    <d v="2024-11-25T00:00:00"/>
  </r>
  <r>
    <n v="94"/>
    <n v="18482"/>
    <x v="1"/>
    <n v="88023.51"/>
    <x v="1"/>
    <n v="7"/>
    <x v="3"/>
    <d v="2024-10-30T00:00:00"/>
    <d v="2024-11-06T00:00:00"/>
  </r>
  <r>
    <n v="95"/>
    <n v="19166"/>
    <x v="3"/>
    <n v="19687.68"/>
    <x v="0"/>
    <n v="36"/>
    <x v="3"/>
    <d v="2024-08-03T00:00:00"/>
    <d v="2024-09-08T00:00:00"/>
  </r>
  <r>
    <n v="96"/>
    <n v="10414"/>
    <x v="1"/>
    <n v="11134.15"/>
    <x v="2"/>
    <m/>
    <x v="3"/>
    <d v="2024-06-23T00:00:00"/>
    <m/>
  </r>
  <r>
    <n v="97"/>
    <n v="19042"/>
    <x v="3"/>
    <n v="140617.74"/>
    <x v="0"/>
    <n v="36"/>
    <x v="3"/>
    <d v="2024-11-11T00:00:00"/>
    <d v="2024-12-17T00:00:00"/>
  </r>
  <r>
    <n v="98"/>
    <n v="17105"/>
    <x v="3"/>
    <n v="90493.63"/>
    <x v="0"/>
    <n v="4"/>
    <x v="1"/>
    <d v="2024-01-03T00:00:00"/>
    <d v="2024-01-07T00:00:00"/>
  </r>
  <r>
    <n v="99"/>
    <n v="12728"/>
    <x v="3"/>
    <n v="112681.94"/>
    <x v="2"/>
    <m/>
    <x v="3"/>
    <d v="2024-05-16T00:00:00"/>
    <m/>
  </r>
  <r>
    <n v="100"/>
    <n v="17203"/>
    <x v="3"/>
    <n v="113743.94"/>
    <x v="0"/>
    <n v="8"/>
    <x v="2"/>
    <d v="2024-04-09T00:00:00"/>
    <d v="2024-04-17T00:00:00"/>
  </r>
  <r>
    <n v="101"/>
    <n v="14641"/>
    <x v="1"/>
    <n v="59088.28"/>
    <x v="0"/>
    <n v="30"/>
    <x v="0"/>
    <d v="2024-03-23T00:00:00"/>
    <d v="2024-04-22T00:00:00"/>
  </r>
  <r>
    <n v="102"/>
    <n v="10741"/>
    <x v="3"/>
    <n v="97799.039999999994"/>
    <x v="0"/>
    <n v="16"/>
    <x v="3"/>
    <d v="2024-10-06T00:00:00"/>
    <d v="2024-10-22T00:00:00"/>
  </r>
  <r>
    <n v="103"/>
    <n v="10591"/>
    <x v="1"/>
    <n v="96798.24"/>
    <x v="0"/>
    <n v="12"/>
    <x v="3"/>
    <d v="2024-05-11T00:00:00"/>
    <d v="2024-05-23T00:00:00"/>
  </r>
  <r>
    <n v="104"/>
    <n v="10749"/>
    <x v="3"/>
    <n v="80743.31"/>
    <x v="2"/>
    <m/>
    <x v="1"/>
    <d v="2024-01-01T00:00:00"/>
    <m/>
  </r>
  <r>
    <n v="105"/>
    <n v="12219"/>
    <x v="3"/>
    <n v="165031.70000000001"/>
    <x v="0"/>
    <n v="5"/>
    <x v="3"/>
    <d v="2024-04-25T00:00:00"/>
    <d v="2024-04-30T00:00:00"/>
  </r>
  <r>
    <n v="106"/>
    <n v="19029"/>
    <x v="1"/>
    <n v="92976.98"/>
    <x v="0"/>
    <n v="25"/>
    <x v="3"/>
    <d v="2024-07-20T00:00:00"/>
    <d v="2024-08-14T00:00:00"/>
  </r>
  <r>
    <n v="107"/>
    <n v="18725"/>
    <x v="3"/>
    <n v="122710.68"/>
    <x v="0"/>
    <n v="12"/>
    <x v="3"/>
    <d v="2024-05-19T00:00:00"/>
    <d v="2024-05-31T00:00:00"/>
  </r>
  <r>
    <n v="108"/>
    <n v="14460"/>
    <x v="3"/>
    <n v="179626.42"/>
    <x v="0"/>
    <n v="7"/>
    <x v="1"/>
    <d v="2024-05-25T00:00:00"/>
    <d v="2024-06-01T00:00:00"/>
  </r>
  <r>
    <n v="109"/>
    <n v="17511"/>
    <x v="1"/>
    <n v="173915.56"/>
    <x v="0"/>
    <n v="19"/>
    <x v="3"/>
    <d v="2024-09-22T00:00:00"/>
    <d v="2024-10-11T00:00:00"/>
  </r>
  <r>
    <n v="110"/>
    <n v="19965"/>
    <x v="3"/>
    <n v="178632.33"/>
    <x v="0"/>
    <n v="16"/>
    <x v="0"/>
    <d v="2024-07-20T00:00:00"/>
    <d v="2024-08-05T00:00:00"/>
  </r>
  <r>
    <n v="111"/>
    <n v="17508"/>
    <x v="0"/>
    <n v="57650.97"/>
    <x v="0"/>
    <n v="4"/>
    <x v="1"/>
    <d v="2024-05-31T00:00:00"/>
    <d v="2024-06-04T00:00:00"/>
  </r>
  <r>
    <n v="112"/>
    <n v="12653"/>
    <x v="3"/>
    <n v="11821.59"/>
    <x v="0"/>
    <n v="18"/>
    <x v="0"/>
    <d v="2024-08-09T00:00:00"/>
    <d v="2024-08-27T00:00:00"/>
  </r>
  <r>
    <n v="113"/>
    <n v="12570"/>
    <x v="3"/>
    <n v="55908.03"/>
    <x v="2"/>
    <m/>
    <x v="1"/>
    <d v="2024-03-19T00:00:00"/>
    <m/>
  </r>
  <r>
    <n v="114"/>
    <n v="15748"/>
    <x v="1"/>
    <n v="59347.93"/>
    <x v="0"/>
    <n v="35"/>
    <x v="3"/>
    <d v="2024-07-18T00:00:00"/>
    <d v="2024-08-22T00:00:00"/>
  </r>
  <r>
    <n v="115"/>
    <n v="10264"/>
    <x v="3"/>
    <n v="182325.26"/>
    <x v="0"/>
    <n v="31"/>
    <x v="0"/>
    <d v="2024-09-06T00:00:00"/>
    <d v="2024-10-07T00:00:00"/>
  </r>
  <r>
    <n v="116"/>
    <n v="13595"/>
    <x v="3"/>
    <n v="131602.32999999999"/>
    <x v="0"/>
    <n v="20"/>
    <x v="1"/>
    <d v="2024-04-08T00:00:00"/>
    <d v="2024-04-28T00:00:00"/>
  </r>
  <r>
    <n v="117"/>
    <n v="12034"/>
    <x v="3"/>
    <n v="20932.27"/>
    <x v="0"/>
    <n v="10"/>
    <x v="2"/>
    <d v="2024-07-31T00:00:00"/>
    <d v="2024-08-10T00:00:00"/>
  </r>
  <r>
    <n v="118"/>
    <n v="13202"/>
    <x v="3"/>
    <n v="31398.83"/>
    <x v="1"/>
    <n v="41"/>
    <x v="3"/>
    <d v="2024-05-22T00:00:00"/>
    <d v="2024-07-02T00:00:00"/>
  </r>
  <r>
    <n v="119"/>
    <n v="18573"/>
    <x v="0"/>
    <n v="35356.839999999997"/>
    <x v="2"/>
    <m/>
    <x v="1"/>
    <d v="2024-07-08T00:00:00"/>
    <m/>
  </r>
  <r>
    <n v="120"/>
    <n v="19358"/>
    <x v="3"/>
    <n v="127932.24"/>
    <x v="0"/>
    <n v="28"/>
    <x v="2"/>
    <d v="2024-10-27T00:00:00"/>
    <d v="2024-11-24T00:00:00"/>
  </r>
  <r>
    <n v="121"/>
    <n v="10388"/>
    <x v="1"/>
    <n v="148405.73000000001"/>
    <x v="1"/>
    <n v="26"/>
    <x v="1"/>
    <d v="2024-02-21T00:00:00"/>
    <d v="2024-03-18T00:00:00"/>
  </r>
  <r>
    <n v="122"/>
    <n v="16197"/>
    <x v="0"/>
    <n v="172630.56"/>
    <x v="0"/>
    <n v="8"/>
    <x v="2"/>
    <d v="2024-04-21T00:00:00"/>
    <d v="2024-04-29T00:00:00"/>
  </r>
  <r>
    <n v="123"/>
    <n v="12071"/>
    <x v="3"/>
    <n v="188424.13"/>
    <x v="0"/>
    <n v="8"/>
    <x v="3"/>
    <d v="2024-05-14T00:00:00"/>
    <d v="2024-05-22T00:00:00"/>
  </r>
  <r>
    <n v="124"/>
    <n v="18586"/>
    <x v="2"/>
    <n v="44332.39"/>
    <x v="0"/>
    <n v="21"/>
    <x v="0"/>
    <d v="2024-04-21T00:00:00"/>
    <d v="2024-05-12T00:00:00"/>
  </r>
  <r>
    <n v="125"/>
    <n v="17840"/>
    <x v="3"/>
    <n v="65405.63"/>
    <x v="0"/>
    <n v="44"/>
    <x v="2"/>
    <d v="2024-01-13T00:00:00"/>
    <d v="2024-02-26T00:00:00"/>
  </r>
  <r>
    <n v="126"/>
    <n v="13256"/>
    <x v="2"/>
    <n v="51862.96"/>
    <x v="0"/>
    <n v="37"/>
    <x v="1"/>
    <d v="2024-09-29T00:00:00"/>
    <d v="2024-11-05T00:00:00"/>
  </r>
  <r>
    <n v="127"/>
    <n v="14019"/>
    <x v="3"/>
    <n v="74958.509999999995"/>
    <x v="1"/>
    <n v="20"/>
    <x v="3"/>
    <d v="2024-08-20T00:00:00"/>
    <d v="2024-09-09T00:00:00"/>
  </r>
  <r>
    <n v="128"/>
    <n v="16058"/>
    <x v="1"/>
    <n v="183359.7"/>
    <x v="0"/>
    <n v="3"/>
    <x v="2"/>
    <d v="2024-02-13T00:00:00"/>
    <d v="2024-02-16T00:00:00"/>
  </r>
  <r>
    <n v="129"/>
    <n v="16630"/>
    <x v="3"/>
    <n v="117146.95"/>
    <x v="2"/>
    <m/>
    <x v="1"/>
    <d v="2024-03-13T00:00:00"/>
    <m/>
  </r>
  <r>
    <n v="130"/>
    <n v="12859"/>
    <x v="3"/>
    <n v="148947.42000000001"/>
    <x v="1"/>
    <n v="18"/>
    <x v="1"/>
    <d v="2024-09-17T00:00:00"/>
    <d v="2024-10-05T00:00:00"/>
  </r>
  <r>
    <n v="131"/>
    <n v="12393"/>
    <x v="1"/>
    <n v="100573.25"/>
    <x v="0"/>
    <n v="25"/>
    <x v="1"/>
    <d v="2024-08-18T00:00:00"/>
    <d v="2024-09-12T00:00:00"/>
  </r>
  <r>
    <n v="132"/>
    <n v="16819"/>
    <x v="1"/>
    <n v="10627.29"/>
    <x v="0"/>
    <n v="10"/>
    <x v="2"/>
    <d v="2024-02-02T00:00:00"/>
    <d v="2024-02-12T00:00:00"/>
  </r>
  <r>
    <n v="133"/>
    <n v="16071"/>
    <x v="3"/>
    <n v="17518.12"/>
    <x v="0"/>
    <n v="2"/>
    <x v="2"/>
    <d v="2024-03-08T00:00:00"/>
    <d v="2024-03-10T00:00:00"/>
  </r>
  <r>
    <n v="134"/>
    <n v="12050"/>
    <x v="3"/>
    <n v="109894.99"/>
    <x v="2"/>
    <m/>
    <x v="2"/>
    <d v="2024-01-16T00:00:00"/>
    <m/>
  </r>
  <r>
    <n v="135"/>
    <n v="13121"/>
    <x v="1"/>
    <n v="145163.85999999999"/>
    <x v="0"/>
    <n v="29"/>
    <x v="0"/>
    <d v="2024-05-29T00:00:00"/>
    <d v="2024-06-27T00:00:00"/>
  </r>
  <r>
    <n v="136"/>
    <n v="19116"/>
    <x v="1"/>
    <n v="46989.45"/>
    <x v="0"/>
    <n v="16"/>
    <x v="2"/>
    <d v="2024-10-18T00:00:00"/>
    <d v="2024-11-03T00:00:00"/>
  </r>
  <r>
    <n v="137"/>
    <n v="14971"/>
    <x v="2"/>
    <n v="145772.37"/>
    <x v="0"/>
    <n v="22"/>
    <x v="2"/>
    <d v="2024-04-11T00:00:00"/>
    <d v="2024-05-03T00:00:00"/>
  </r>
  <r>
    <n v="138"/>
    <n v="17695"/>
    <x v="1"/>
    <n v="163079.82999999999"/>
    <x v="0"/>
    <n v="16"/>
    <x v="2"/>
    <d v="2024-07-04T00:00:00"/>
    <d v="2024-07-20T00:00:00"/>
  </r>
  <r>
    <n v="139"/>
    <n v="13354"/>
    <x v="2"/>
    <n v="85320.01"/>
    <x v="0"/>
    <n v="24"/>
    <x v="0"/>
    <d v="2024-01-25T00:00:00"/>
    <d v="2024-02-18T00:00:00"/>
  </r>
  <r>
    <n v="140"/>
    <n v="14474"/>
    <x v="1"/>
    <n v="150551.75"/>
    <x v="0"/>
    <n v="3"/>
    <x v="2"/>
    <d v="2024-03-12T00:00:00"/>
    <d v="2024-03-15T00:00:00"/>
  </r>
  <r>
    <n v="141"/>
    <n v="13397"/>
    <x v="3"/>
    <n v="83785.84"/>
    <x v="0"/>
    <n v="37"/>
    <x v="1"/>
    <d v="2024-03-21T00:00:00"/>
    <d v="2024-04-27T00:00:00"/>
  </r>
  <r>
    <n v="142"/>
    <n v="15417"/>
    <x v="3"/>
    <n v="137278.37"/>
    <x v="0"/>
    <n v="10"/>
    <x v="2"/>
    <d v="2024-03-01T00:00:00"/>
    <d v="2024-03-11T00:00:00"/>
  </r>
  <r>
    <n v="143"/>
    <n v="13768"/>
    <x v="1"/>
    <n v="153979.42000000001"/>
    <x v="0"/>
    <n v="3"/>
    <x v="1"/>
    <d v="2024-01-18T00:00:00"/>
    <d v="2024-01-21T00:00:00"/>
  </r>
  <r>
    <n v="144"/>
    <n v="16281"/>
    <x v="1"/>
    <n v="198425.69"/>
    <x v="0"/>
    <n v="3"/>
    <x v="1"/>
    <d v="2024-08-29T00:00:00"/>
    <d v="2024-09-01T00:00:00"/>
  </r>
  <r>
    <n v="145"/>
    <n v="12981"/>
    <x v="3"/>
    <n v="72352.350000000006"/>
    <x v="0"/>
    <n v="19"/>
    <x v="1"/>
    <d v="2024-02-27T00:00:00"/>
    <d v="2024-03-17T00:00:00"/>
  </r>
  <r>
    <n v="146"/>
    <n v="15521"/>
    <x v="3"/>
    <n v="85152.95"/>
    <x v="0"/>
    <n v="18"/>
    <x v="0"/>
    <d v="2024-11-27T00:00:00"/>
    <d v="2024-12-15T00:00:00"/>
  </r>
  <r>
    <n v="147"/>
    <n v="13472"/>
    <x v="2"/>
    <n v="37295.910000000003"/>
    <x v="0"/>
    <n v="42"/>
    <x v="0"/>
    <d v="2024-02-26T00:00:00"/>
    <d v="2024-04-08T00:00:00"/>
  </r>
  <r>
    <n v="148"/>
    <n v="12617"/>
    <x v="1"/>
    <n v="44794.25"/>
    <x v="0"/>
    <n v="9"/>
    <x v="0"/>
    <d v="2024-04-06T00:00:00"/>
    <d v="2024-04-15T00:00:00"/>
  </r>
  <r>
    <n v="149"/>
    <n v="15481"/>
    <x v="3"/>
    <n v="140212.03"/>
    <x v="0"/>
    <n v="35"/>
    <x v="2"/>
    <d v="2024-08-02T00:00:00"/>
    <d v="2024-09-06T00:00:00"/>
  </r>
  <r>
    <n v="150"/>
    <n v="16209"/>
    <x v="3"/>
    <n v="183823.89"/>
    <x v="0"/>
    <n v="35"/>
    <x v="1"/>
    <d v="2024-11-14T00:00:00"/>
    <d v="2024-12-19T00:00:00"/>
  </r>
  <r>
    <n v="151"/>
    <n v="13499"/>
    <x v="3"/>
    <n v="81947.97"/>
    <x v="0"/>
    <n v="6"/>
    <x v="0"/>
    <d v="2024-01-12T00:00:00"/>
    <d v="2024-01-18T00:00:00"/>
  </r>
  <r>
    <n v="152"/>
    <n v="16995"/>
    <x v="3"/>
    <n v="40069.67"/>
    <x v="0"/>
    <n v="30"/>
    <x v="0"/>
    <d v="2024-01-11T00:00:00"/>
    <d v="2024-02-10T00:00:00"/>
  </r>
  <r>
    <n v="153"/>
    <n v="17881"/>
    <x v="3"/>
    <n v="60594.400000000001"/>
    <x v="0"/>
    <n v="29"/>
    <x v="2"/>
    <d v="2024-06-11T00:00:00"/>
    <d v="2024-07-10T00:00:00"/>
  </r>
  <r>
    <n v="154"/>
    <n v="13592"/>
    <x v="3"/>
    <n v="93735.08"/>
    <x v="1"/>
    <n v="17"/>
    <x v="0"/>
    <d v="2024-10-09T00:00:00"/>
    <d v="2024-10-26T00:00:00"/>
  </r>
  <r>
    <n v="155"/>
    <n v="18623"/>
    <x v="1"/>
    <n v="61676.81"/>
    <x v="1"/>
    <n v="15"/>
    <x v="2"/>
    <d v="2024-08-04T00:00:00"/>
    <d v="2024-08-19T00:00:00"/>
  </r>
  <r>
    <n v="156"/>
    <n v="16054"/>
    <x v="3"/>
    <n v="50547.92"/>
    <x v="1"/>
    <n v="3"/>
    <x v="3"/>
    <d v="2024-12-25T00:00:00"/>
    <d v="2024-12-28T00:00:00"/>
  </r>
  <r>
    <n v="157"/>
    <n v="17272"/>
    <x v="0"/>
    <n v="148516.98000000001"/>
    <x v="1"/>
    <n v="41"/>
    <x v="0"/>
    <d v="2024-11-18T00:00:00"/>
    <d v="2024-12-29T00:00:00"/>
  </r>
  <r>
    <n v="158"/>
    <n v="19304"/>
    <x v="0"/>
    <n v="6529.76"/>
    <x v="0"/>
    <n v="5"/>
    <x v="3"/>
    <d v="2024-08-28T00:00:00"/>
    <d v="2024-09-02T00:00:00"/>
  </r>
  <r>
    <n v="159"/>
    <n v="14696"/>
    <x v="3"/>
    <n v="110149.95"/>
    <x v="0"/>
    <n v="42"/>
    <x v="2"/>
    <d v="2024-12-10T00:00:00"/>
    <d v="2025-01-21T00:00:00"/>
  </r>
  <r>
    <n v="160"/>
    <n v="17546"/>
    <x v="1"/>
    <n v="159784.53"/>
    <x v="0"/>
    <n v="32"/>
    <x v="1"/>
    <d v="2024-02-14T00:00:00"/>
    <d v="2024-03-17T00:00:00"/>
  </r>
  <r>
    <n v="161"/>
    <n v="16473"/>
    <x v="3"/>
    <n v="56914.52"/>
    <x v="0"/>
    <n v="27"/>
    <x v="0"/>
    <d v="2024-03-21T00:00:00"/>
    <d v="2024-04-17T00:00:00"/>
  </r>
  <r>
    <n v="162"/>
    <n v="15222"/>
    <x v="0"/>
    <n v="122641.84"/>
    <x v="0"/>
    <n v="28"/>
    <x v="2"/>
    <d v="2024-09-11T00:00:00"/>
    <d v="2024-10-09T00:00:00"/>
  </r>
  <r>
    <n v="163"/>
    <n v="12449"/>
    <x v="3"/>
    <n v="135435.51999999999"/>
    <x v="1"/>
    <n v="35"/>
    <x v="1"/>
    <d v="2024-03-07T00:00:00"/>
    <d v="2024-04-11T00:00:00"/>
  </r>
  <r>
    <n v="164"/>
    <n v="15802"/>
    <x v="1"/>
    <n v="132729.82"/>
    <x v="0"/>
    <n v="32"/>
    <x v="1"/>
    <d v="2024-04-11T00:00:00"/>
    <d v="2024-05-13T00:00:00"/>
  </r>
  <r>
    <n v="165"/>
    <n v="10544"/>
    <x v="1"/>
    <n v="91940.68"/>
    <x v="0"/>
    <n v="12"/>
    <x v="3"/>
    <d v="2024-03-31T00:00:00"/>
    <d v="2024-04-12T00:00:00"/>
  </r>
  <r>
    <n v="166"/>
    <n v="16652"/>
    <x v="3"/>
    <n v="72582.710000000006"/>
    <x v="0"/>
    <n v="9"/>
    <x v="2"/>
    <d v="2024-02-11T00:00:00"/>
    <d v="2024-02-20T00:00:00"/>
  </r>
  <r>
    <n v="167"/>
    <n v="16327"/>
    <x v="3"/>
    <n v="168005.19"/>
    <x v="0"/>
    <n v="13"/>
    <x v="1"/>
    <d v="2024-10-02T00:00:00"/>
    <d v="2024-10-15T00:00:00"/>
  </r>
  <r>
    <n v="168"/>
    <n v="17058"/>
    <x v="1"/>
    <n v="152896.95999999999"/>
    <x v="0"/>
    <n v="36"/>
    <x v="0"/>
    <d v="2024-10-30T00:00:00"/>
    <d v="2024-12-05T00:00:00"/>
  </r>
  <r>
    <n v="169"/>
    <n v="12628"/>
    <x v="1"/>
    <n v="67644.759999999995"/>
    <x v="1"/>
    <n v="35"/>
    <x v="0"/>
    <d v="2024-09-30T00:00:00"/>
    <d v="2024-11-04T00:00:00"/>
  </r>
  <r>
    <n v="170"/>
    <n v="13451"/>
    <x v="3"/>
    <n v="25088.74"/>
    <x v="0"/>
    <n v="14"/>
    <x v="3"/>
    <d v="2024-03-17T00:00:00"/>
    <d v="2024-03-31T00:00:00"/>
  </r>
  <r>
    <n v="171"/>
    <n v="18729"/>
    <x v="1"/>
    <n v="19002.47"/>
    <x v="1"/>
    <n v="28"/>
    <x v="1"/>
    <d v="2024-08-21T00:00:00"/>
    <d v="2024-09-18T00:00:00"/>
  </r>
  <r>
    <n v="172"/>
    <n v="11436"/>
    <x v="3"/>
    <n v="23383.82"/>
    <x v="0"/>
    <n v="9"/>
    <x v="2"/>
    <d v="2024-07-20T00:00:00"/>
    <d v="2024-07-29T00:00:00"/>
  </r>
  <r>
    <n v="173"/>
    <n v="18087"/>
    <x v="1"/>
    <n v="118659.53"/>
    <x v="1"/>
    <n v="22"/>
    <x v="0"/>
    <d v="2024-08-08T00:00:00"/>
    <d v="2024-08-30T00:00:00"/>
  </r>
  <r>
    <n v="174"/>
    <n v="16661"/>
    <x v="3"/>
    <n v="15074.12"/>
    <x v="0"/>
    <n v="42"/>
    <x v="1"/>
    <d v="2024-09-18T00:00:00"/>
    <d v="2024-10-30T00:00:00"/>
  </r>
  <r>
    <n v="175"/>
    <n v="13062"/>
    <x v="0"/>
    <n v="70700.740000000005"/>
    <x v="0"/>
    <n v="12"/>
    <x v="1"/>
    <d v="2024-02-08T00:00:00"/>
    <d v="2024-02-20T00:00:00"/>
  </r>
  <r>
    <n v="176"/>
    <n v="10259"/>
    <x v="3"/>
    <n v="151873.94"/>
    <x v="0"/>
    <n v="23"/>
    <x v="3"/>
    <d v="2024-01-11T00:00:00"/>
    <d v="2024-02-03T00:00:00"/>
  </r>
  <r>
    <n v="177"/>
    <n v="17551"/>
    <x v="3"/>
    <n v="62397.89"/>
    <x v="1"/>
    <n v="22"/>
    <x v="0"/>
    <d v="2024-04-21T00:00:00"/>
    <d v="2024-05-13T00:00:00"/>
  </r>
  <r>
    <n v="178"/>
    <n v="14411"/>
    <x v="3"/>
    <n v="153845.07999999999"/>
    <x v="2"/>
    <m/>
    <x v="0"/>
    <d v="2024-04-17T00:00:00"/>
    <m/>
  </r>
  <r>
    <n v="179"/>
    <n v="14841"/>
    <x v="3"/>
    <n v="150366.07"/>
    <x v="0"/>
    <n v="4"/>
    <x v="2"/>
    <d v="2024-04-03T00:00:00"/>
    <d v="2024-04-07T00:00:00"/>
  </r>
  <r>
    <n v="180"/>
    <n v="17961"/>
    <x v="1"/>
    <n v="52936.29"/>
    <x v="0"/>
    <n v="8"/>
    <x v="0"/>
    <d v="2024-11-06T00:00:00"/>
    <d v="2024-11-14T00:00:00"/>
  </r>
  <r>
    <n v="181"/>
    <n v="10718"/>
    <x v="3"/>
    <n v="147120.32999999999"/>
    <x v="2"/>
    <m/>
    <x v="2"/>
    <d v="2024-03-24T00:00:00"/>
    <m/>
  </r>
  <r>
    <n v="182"/>
    <n v="15196"/>
    <x v="0"/>
    <n v="150816.44"/>
    <x v="0"/>
    <n v="16"/>
    <x v="0"/>
    <d v="2024-02-27T00:00:00"/>
    <d v="2024-03-14T00:00:00"/>
  </r>
  <r>
    <n v="183"/>
    <n v="12727"/>
    <x v="3"/>
    <n v="82503.520000000004"/>
    <x v="0"/>
    <n v="10"/>
    <x v="3"/>
    <d v="2024-10-19T00:00:00"/>
    <d v="2024-10-29T00:00:00"/>
  </r>
  <r>
    <n v="184"/>
    <n v="17546"/>
    <x v="3"/>
    <n v="46031.99"/>
    <x v="0"/>
    <n v="44"/>
    <x v="0"/>
    <d v="2024-01-16T00:00:00"/>
    <d v="2024-02-29T00:00:00"/>
  </r>
  <r>
    <n v="185"/>
    <n v="18652"/>
    <x v="3"/>
    <n v="106647.81"/>
    <x v="0"/>
    <n v="8"/>
    <x v="2"/>
    <d v="2024-11-21T00:00:00"/>
    <d v="2024-11-29T00:00:00"/>
  </r>
  <r>
    <n v="186"/>
    <n v="12854"/>
    <x v="3"/>
    <n v="184672.53"/>
    <x v="1"/>
    <n v="13"/>
    <x v="2"/>
    <d v="2024-04-02T00:00:00"/>
    <d v="2024-04-15T00:00:00"/>
  </r>
  <r>
    <n v="187"/>
    <n v="15200"/>
    <x v="3"/>
    <n v="129725.26"/>
    <x v="1"/>
    <n v="20"/>
    <x v="3"/>
    <d v="2024-06-13T00:00:00"/>
    <d v="2024-07-03T00:00:00"/>
  </r>
  <r>
    <n v="188"/>
    <n v="14067"/>
    <x v="3"/>
    <n v="38719.89"/>
    <x v="0"/>
    <n v="28"/>
    <x v="0"/>
    <d v="2024-08-02T00:00:00"/>
    <d v="2024-08-30T00:00:00"/>
  </r>
  <r>
    <n v="189"/>
    <n v="19894"/>
    <x v="3"/>
    <n v="138137.60000000001"/>
    <x v="0"/>
    <n v="19"/>
    <x v="0"/>
    <d v="2024-05-23T00:00:00"/>
    <d v="2024-06-11T00:00:00"/>
  </r>
  <r>
    <n v="190"/>
    <n v="12977"/>
    <x v="3"/>
    <n v="88304.59"/>
    <x v="1"/>
    <n v="14"/>
    <x v="3"/>
    <d v="2024-09-30T00:00:00"/>
    <d v="2024-10-14T00:00:00"/>
  </r>
  <r>
    <n v="191"/>
    <n v="13480"/>
    <x v="1"/>
    <n v="120348.12"/>
    <x v="0"/>
    <n v="44"/>
    <x v="0"/>
    <d v="2024-05-17T00:00:00"/>
    <d v="2024-06-30T00:00:00"/>
  </r>
  <r>
    <n v="192"/>
    <n v="19933"/>
    <x v="1"/>
    <n v="148142.49"/>
    <x v="1"/>
    <n v="2"/>
    <x v="0"/>
    <d v="2024-07-22T00:00:00"/>
    <d v="2024-07-24T00:00:00"/>
  </r>
  <r>
    <n v="193"/>
    <n v="18221"/>
    <x v="3"/>
    <n v="105414.73"/>
    <x v="0"/>
    <n v="39"/>
    <x v="2"/>
    <d v="2024-10-28T00:00:00"/>
    <d v="2024-12-06T00:00:00"/>
  </r>
  <r>
    <n v="194"/>
    <n v="13493"/>
    <x v="3"/>
    <n v="163726.88"/>
    <x v="0"/>
    <n v="22"/>
    <x v="0"/>
    <d v="2024-07-28T00:00:00"/>
    <d v="2024-08-19T00:00:00"/>
  </r>
  <r>
    <n v="195"/>
    <n v="19173"/>
    <x v="2"/>
    <n v="145820.34"/>
    <x v="2"/>
    <m/>
    <x v="0"/>
    <d v="2024-01-19T00:00:00"/>
    <m/>
  </r>
  <r>
    <n v="196"/>
    <n v="10230"/>
    <x v="1"/>
    <n v="124939.3"/>
    <x v="0"/>
    <n v="14"/>
    <x v="3"/>
    <d v="2024-10-20T00:00:00"/>
    <d v="2024-11-03T00:00:00"/>
  </r>
  <r>
    <n v="197"/>
    <n v="17526"/>
    <x v="1"/>
    <n v="34404.6"/>
    <x v="0"/>
    <n v="42"/>
    <x v="3"/>
    <d v="2024-10-19T00:00:00"/>
    <d v="2024-11-30T00:00:00"/>
  </r>
  <r>
    <n v="198"/>
    <n v="15281"/>
    <x v="3"/>
    <n v="168010.08"/>
    <x v="0"/>
    <n v="24"/>
    <x v="1"/>
    <d v="2024-10-27T00:00:00"/>
    <d v="2024-11-20T00:00:00"/>
  </r>
  <r>
    <n v="199"/>
    <n v="11251"/>
    <x v="1"/>
    <n v="187501.59"/>
    <x v="0"/>
    <n v="2"/>
    <x v="2"/>
    <d v="2024-06-10T00:00:00"/>
    <d v="2024-06-12T00:00:00"/>
  </r>
  <r>
    <n v="200"/>
    <n v="15340"/>
    <x v="1"/>
    <n v="31708.2"/>
    <x v="0"/>
    <n v="24"/>
    <x v="0"/>
    <d v="2024-05-09T00:00:00"/>
    <d v="2024-06-02T00:00:00"/>
  </r>
  <r>
    <n v="201"/>
    <n v="16889"/>
    <x v="1"/>
    <n v="100207.02"/>
    <x v="2"/>
    <m/>
    <x v="0"/>
    <d v="2024-02-13T00:00:00"/>
    <m/>
  </r>
  <r>
    <n v="202"/>
    <n v="11963"/>
    <x v="2"/>
    <n v="55483.3"/>
    <x v="1"/>
    <n v="33"/>
    <x v="1"/>
    <d v="2024-12-18T00:00:00"/>
    <d v="2025-01-20T00:00:00"/>
  </r>
  <r>
    <n v="203"/>
    <n v="13166"/>
    <x v="3"/>
    <n v="152132.04"/>
    <x v="0"/>
    <n v="9"/>
    <x v="0"/>
    <d v="2024-03-23T00:00:00"/>
    <d v="2024-04-01T00:00:00"/>
  </r>
  <r>
    <n v="204"/>
    <n v="11778"/>
    <x v="3"/>
    <n v="145717.78"/>
    <x v="0"/>
    <n v="27"/>
    <x v="2"/>
    <d v="2024-05-03T00:00:00"/>
    <d v="2024-05-30T00:00:00"/>
  </r>
  <r>
    <n v="205"/>
    <n v="18052"/>
    <x v="1"/>
    <n v="32472.6"/>
    <x v="0"/>
    <n v="15"/>
    <x v="1"/>
    <d v="2024-01-27T00:00:00"/>
    <d v="2024-02-11T00:00:00"/>
  </r>
  <r>
    <n v="206"/>
    <n v="14870"/>
    <x v="0"/>
    <n v="176020.32"/>
    <x v="0"/>
    <n v="25"/>
    <x v="2"/>
    <d v="2024-10-30T00:00:00"/>
    <d v="2024-11-24T00:00:00"/>
  </r>
  <r>
    <n v="207"/>
    <n v="11147"/>
    <x v="3"/>
    <n v="40289.75"/>
    <x v="0"/>
    <n v="30"/>
    <x v="1"/>
    <d v="2024-12-15T00:00:00"/>
    <d v="2025-01-14T00:00:00"/>
  </r>
  <r>
    <n v="208"/>
    <n v="12847"/>
    <x v="3"/>
    <n v="160465.51"/>
    <x v="1"/>
    <n v="5"/>
    <x v="1"/>
    <d v="2024-01-07T00:00:00"/>
    <d v="2024-01-12T00:00:00"/>
  </r>
  <r>
    <n v="209"/>
    <n v="13850"/>
    <x v="3"/>
    <n v="94111.17"/>
    <x v="0"/>
    <n v="19"/>
    <x v="3"/>
    <d v="2024-12-06T00:00:00"/>
    <d v="2024-12-25T00:00:00"/>
  </r>
  <r>
    <n v="210"/>
    <n v="13070"/>
    <x v="3"/>
    <n v="69013.100000000006"/>
    <x v="1"/>
    <n v="15"/>
    <x v="2"/>
    <d v="2024-07-17T00:00:00"/>
    <d v="2024-08-01T00:00:00"/>
  </r>
  <r>
    <n v="211"/>
    <n v="10620"/>
    <x v="1"/>
    <n v="35856.660000000003"/>
    <x v="0"/>
    <n v="28"/>
    <x v="0"/>
    <d v="2024-04-21T00:00:00"/>
    <d v="2024-05-19T00:00:00"/>
  </r>
  <r>
    <n v="212"/>
    <n v="10963"/>
    <x v="1"/>
    <n v="37684.78"/>
    <x v="0"/>
    <n v="42"/>
    <x v="0"/>
    <d v="2024-03-29T00:00:00"/>
    <d v="2024-05-10T00:00:00"/>
  </r>
  <r>
    <n v="213"/>
    <n v="17215"/>
    <x v="3"/>
    <n v="134068.66"/>
    <x v="0"/>
    <n v="4"/>
    <x v="2"/>
    <d v="2024-05-07T00:00:00"/>
    <d v="2024-05-11T00:00:00"/>
  </r>
  <r>
    <n v="214"/>
    <n v="12142"/>
    <x v="3"/>
    <n v="112333.93"/>
    <x v="0"/>
    <n v="31"/>
    <x v="0"/>
    <d v="2024-08-17T00:00:00"/>
    <d v="2024-09-17T00:00:00"/>
  </r>
  <r>
    <n v="215"/>
    <n v="19692"/>
    <x v="3"/>
    <n v="28806.66"/>
    <x v="0"/>
    <n v="37"/>
    <x v="0"/>
    <d v="2024-01-18T00:00:00"/>
    <d v="2024-02-24T00:00:00"/>
  </r>
  <r>
    <n v="216"/>
    <n v="17418"/>
    <x v="3"/>
    <n v="26976.080000000002"/>
    <x v="2"/>
    <m/>
    <x v="2"/>
    <d v="2024-10-15T00:00:00"/>
    <m/>
  </r>
  <r>
    <n v="217"/>
    <n v="11326"/>
    <x v="1"/>
    <n v="19100.560000000001"/>
    <x v="0"/>
    <n v="19"/>
    <x v="1"/>
    <d v="2024-06-09T00:00:00"/>
    <d v="2024-06-28T00:00:00"/>
  </r>
  <r>
    <n v="218"/>
    <n v="10121"/>
    <x v="2"/>
    <n v="150034.63"/>
    <x v="2"/>
    <m/>
    <x v="2"/>
    <d v="2024-12-17T00:00:00"/>
    <m/>
  </r>
  <r>
    <n v="219"/>
    <n v="14313"/>
    <x v="0"/>
    <n v="143817.01"/>
    <x v="0"/>
    <n v="11"/>
    <x v="1"/>
    <d v="2024-10-07T00:00:00"/>
    <d v="2024-10-18T00:00:00"/>
  </r>
  <r>
    <n v="220"/>
    <n v="11076"/>
    <x v="3"/>
    <n v="16394.04"/>
    <x v="2"/>
    <m/>
    <x v="0"/>
    <d v="2024-06-14T00:00:00"/>
    <m/>
  </r>
  <r>
    <n v="221"/>
    <n v="11182"/>
    <x v="0"/>
    <n v="114252.66"/>
    <x v="0"/>
    <n v="42"/>
    <x v="0"/>
    <d v="2024-09-16T00:00:00"/>
    <d v="2024-10-28T00:00:00"/>
  </r>
  <r>
    <n v="222"/>
    <n v="10794"/>
    <x v="1"/>
    <n v="21511.85"/>
    <x v="2"/>
    <m/>
    <x v="0"/>
    <d v="2024-12-29T00:00:00"/>
    <m/>
  </r>
  <r>
    <n v="223"/>
    <n v="19816"/>
    <x v="1"/>
    <n v="181230.43"/>
    <x v="0"/>
    <n v="33"/>
    <x v="3"/>
    <d v="2024-07-08T00:00:00"/>
    <d v="2024-08-10T00:00:00"/>
  </r>
  <r>
    <n v="224"/>
    <n v="14271"/>
    <x v="3"/>
    <n v="181887.9"/>
    <x v="1"/>
    <n v="18"/>
    <x v="1"/>
    <d v="2024-12-03T00:00:00"/>
    <d v="2024-12-21T00:00:00"/>
  </r>
  <r>
    <n v="225"/>
    <n v="18483"/>
    <x v="3"/>
    <n v="141155.43"/>
    <x v="2"/>
    <m/>
    <x v="3"/>
    <d v="2024-09-22T00:00:00"/>
    <m/>
  </r>
  <r>
    <n v="226"/>
    <n v="17326"/>
    <x v="3"/>
    <n v="185606.84"/>
    <x v="0"/>
    <n v="15"/>
    <x v="3"/>
    <d v="2024-10-17T00:00:00"/>
    <d v="2024-11-01T00:00:00"/>
  </r>
  <r>
    <n v="227"/>
    <n v="18682"/>
    <x v="3"/>
    <n v="163233.34"/>
    <x v="0"/>
    <n v="38"/>
    <x v="2"/>
    <d v="2024-12-20T00:00:00"/>
    <d v="2025-01-27T00:00:00"/>
  </r>
  <r>
    <n v="228"/>
    <n v="12808"/>
    <x v="3"/>
    <n v="166565.01999999999"/>
    <x v="0"/>
    <n v="10"/>
    <x v="3"/>
    <d v="2024-12-25T00:00:00"/>
    <d v="2025-01-04T00:00:00"/>
  </r>
  <r>
    <n v="229"/>
    <n v="13428"/>
    <x v="3"/>
    <n v="116093.03"/>
    <x v="2"/>
    <m/>
    <x v="2"/>
    <d v="2024-10-05T00:00:00"/>
    <m/>
  </r>
  <r>
    <n v="230"/>
    <n v="18825"/>
    <x v="3"/>
    <n v="64681.54"/>
    <x v="0"/>
    <n v="25"/>
    <x v="2"/>
    <d v="2024-08-04T00:00:00"/>
    <d v="2024-08-29T00:00:00"/>
  </r>
  <r>
    <n v="231"/>
    <n v="13499"/>
    <x v="1"/>
    <n v="47470.83"/>
    <x v="0"/>
    <n v="24"/>
    <x v="3"/>
    <d v="2024-11-16T00:00:00"/>
    <d v="2024-12-10T00:00:00"/>
  </r>
  <r>
    <n v="232"/>
    <n v="12172"/>
    <x v="3"/>
    <n v="68804"/>
    <x v="0"/>
    <n v="32"/>
    <x v="1"/>
    <d v="2024-12-03T00:00:00"/>
    <d v="2025-01-04T00:00:00"/>
  </r>
  <r>
    <n v="233"/>
    <n v="15986"/>
    <x v="3"/>
    <n v="127556.61"/>
    <x v="0"/>
    <n v="40"/>
    <x v="1"/>
    <d v="2024-07-25T00:00:00"/>
    <d v="2024-09-03T00:00:00"/>
  </r>
  <r>
    <n v="234"/>
    <n v="13907"/>
    <x v="2"/>
    <n v="38668.019999999997"/>
    <x v="1"/>
    <n v="3"/>
    <x v="1"/>
    <d v="2024-06-01T00:00:00"/>
    <d v="2024-06-04T00:00:00"/>
  </r>
  <r>
    <n v="235"/>
    <n v="14699"/>
    <x v="2"/>
    <n v="55434.85"/>
    <x v="0"/>
    <n v="19"/>
    <x v="1"/>
    <d v="2024-06-29T00:00:00"/>
    <d v="2024-07-18T00:00:00"/>
  </r>
  <r>
    <n v="236"/>
    <n v="17081"/>
    <x v="1"/>
    <n v="96271.87"/>
    <x v="0"/>
    <n v="17"/>
    <x v="1"/>
    <d v="2024-07-30T00:00:00"/>
    <d v="2024-08-16T00:00:00"/>
  </r>
  <r>
    <n v="237"/>
    <n v="15224"/>
    <x v="2"/>
    <n v="50444.77"/>
    <x v="2"/>
    <m/>
    <x v="3"/>
    <d v="2024-09-29T00:00:00"/>
    <m/>
  </r>
  <r>
    <n v="238"/>
    <n v="13468"/>
    <x v="1"/>
    <n v="119785.52"/>
    <x v="0"/>
    <n v="12"/>
    <x v="3"/>
    <d v="2024-07-21T00:00:00"/>
    <d v="2024-08-02T00:00:00"/>
  </r>
  <r>
    <n v="239"/>
    <n v="15760"/>
    <x v="2"/>
    <n v="185019.33"/>
    <x v="0"/>
    <n v="3"/>
    <x v="0"/>
    <d v="2024-07-23T00:00:00"/>
    <d v="2024-07-26T00:00:00"/>
  </r>
  <r>
    <n v="240"/>
    <n v="10490"/>
    <x v="3"/>
    <n v="150877.43"/>
    <x v="0"/>
    <n v="15"/>
    <x v="1"/>
    <d v="2024-06-01T00:00:00"/>
    <d v="2024-06-16T00:00:00"/>
  </r>
  <r>
    <n v="241"/>
    <n v="14263"/>
    <x v="3"/>
    <n v="134953.19"/>
    <x v="0"/>
    <n v="5"/>
    <x v="3"/>
    <d v="2024-06-18T00:00:00"/>
    <d v="2024-06-23T00:00:00"/>
  </r>
  <r>
    <n v="242"/>
    <n v="17769"/>
    <x v="3"/>
    <n v="118630.69"/>
    <x v="0"/>
    <n v="40"/>
    <x v="0"/>
    <d v="2024-08-28T00:00:00"/>
    <d v="2024-10-07T00:00:00"/>
  </r>
  <r>
    <n v="243"/>
    <n v="18950"/>
    <x v="3"/>
    <n v="100149.84"/>
    <x v="1"/>
    <n v="35"/>
    <x v="1"/>
    <d v="2024-10-13T00:00:00"/>
    <d v="2024-11-17T00:00:00"/>
  </r>
  <r>
    <n v="244"/>
    <n v="11197"/>
    <x v="3"/>
    <n v="41379.949999999997"/>
    <x v="0"/>
    <n v="40"/>
    <x v="2"/>
    <d v="2024-09-01T00:00:00"/>
    <d v="2024-10-11T00:00:00"/>
  </r>
  <r>
    <n v="245"/>
    <n v="11904"/>
    <x v="1"/>
    <n v="179468.54"/>
    <x v="0"/>
    <n v="10"/>
    <x v="0"/>
    <d v="2024-11-16T00:00:00"/>
    <d v="2024-11-26T00:00:00"/>
  </r>
  <r>
    <n v="246"/>
    <n v="15269"/>
    <x v="1"/>
    <n v="53464.52"/>
    <x v="0"/>
    <n v="41"/>
    <x v="3"/>
    <d v="2024-03-20T00:00:00"/>
    <d v="2024-04-30T00:00:00"/>
  </r>
  <r>
    <n v="247"/>
    <n v="11650"/>
    <x v="1"/>
    <n v="22805.23"/>
    <x v="0"/>
    <n v="42"/>
    <x v="2"/>
    <d v="2024-04-01T00:00:00"/>
    <d v="2024-05-13T00:00:00"/>
  </r>
  <r>
    <n v="248"/>
    <n v="13191"/>
    <x v="3"/>
    <n v="151252.96"/>
    <x v="1"/>
    <n v="8"/>
    <x v="2"/>
    <d v="2024-05-28T00:00:00"/>
    <d v="2024-06-05T00:00:00"/>
  </r>
  <r>
    <n v="249"/>
    <n v="10027"/>
    <x v="0"/>
    <n v="39245.03"/>
    <x v="0"/>
    <n v="18"/>
    <x v="2"/>
    <d v="2024-01-30T00:00:00"/>
    <d v="2024-02-17T00:00:00"/>
  </r>
  <r>
    <n v="250"/>
    <n v="16260"/>
    <x v="1"/>
    <n v="77519.72"/>
    <x v="0"/>
    <n v="24"/>
    <x v="0"/>
    <d v="2024-05-02T00:00:00"/>
    <d v="2024-05-26T00:00:00"/>
  </r>
  <r>
    <n v="251"/>
    <n v="12750"/>
    <x v="3"/>
    <n v="10515.56"/>
    <x v="0"/>
    <n v="12"/>
    <x v="3"/>
    <d v="2024-11-21T00:00:00"/>
    <d v="2024-12-03T00:00:00"/>
  </r>
  <r>
    <n v="252"/>
    <n v="12879"/>
    <x v="1"/>
    <n v="31728.25"/>
    <x v="0"/>
    <n v="23"/>
    <x v="2"/>
    <d v="2024-01-29T00:00:00"/>
    <d v="2024-02-21T00:00:00"/>
  </r>
  <r>
    <n v="253"/>
    <n v="14357"/>
    <x v="3"/>
    <n v="38774.71"/>
    <x v="0"/>
    <n v="19"/>
    <x v="1"/>
    <d v="2024-09-15T00:00:00"/>
    <d v="2024-10-04T00:00:00"/>
  </r>
  <r>
    <n v="254"/>
    <n v="12832"/>
    <x v="3"/>
    <n v="15609.97"/>
    <x v="0"/>
    <n v="29"/>
    <x v="2"/>
    <d v="2024-07-04T00:00:00"/>
    <d v="2024-08-02T00:00:00"/>
  </r>
  <r>
    <n v="255"/>
    <n v="13109"/>
    <x v="2"/>
    <n v="133048.10999999999"/>
    <x v="0"/>
    <n v="17"/>
    <x v="2"/>
    <d v="2024-03-15T00:00:00"/>
    <d v="2024-04-01T00:00:00"/>
  </r>
  <r>
    <n v="256"/>
    <n v="19652"/>
    <x v="3"/>
    <n v="168216.52"/>
    <x v="1"/>
    <n v="43"/>
    <x v="0"/>
    <d v="2024-02-14T00:00:00"/>
    <d v="2024-03-28T00:00:00"/>
  </r>
  <r>
    <n v="257"/>
    <n v="15758"/>
    <x v="3"/>
    <n v="77796.5"/>
    <x v="0"/>
    <n v="5"/>
    <x v="0"/>
    <d v="2024-03-09T00:00:00"/>
    <d v="2024-03-14T00:00:00"/>
  </r>
  <r>
    <n v="258"/>
    <n v="12921"/>
    <x v="0"/>
    <n v="175542.41"/>
    <x v="1"/>
    <n v="37"/>
    <x v="3"/>
    <d v="2024-07-28T00:00:00"/>
    <d v="2024-09-03T00:00:00"/>
  </r>
  <r>
    <n v="259"/>
    <n v="11433"/>
    <x v="1"/>
    <n v="46602.58"/>
    <x v="1"/>
    <n v="23"/>
    <x v="1"/>
    <d v="2024-08-26T00:00:00"/>
    <d v="2024-09-18T00:00:00"/>
  </r>
  <r>
    <n v="260"/>
    <n v="14428"/>
    <x v="3"/>
    <n v="68451.13"/>
    <x v="0"/>
    <n v="12"/>
    <x v="0"/>
    <d v="2024-12-05T00:00:00"/>
    <d v="2024-12-17T00:00:00"/>
  </r>
  <r>
    <n v="261"/>
    <n v="17698"/>
    <x v="3"/>
    <n v="34393.71"/>
    <x v="0"/>
    <n v="22"/>
    <x v="2"/>
    <d v="2024-11-03T00:00:00"/>
    <d v="2024-11-25T00:00:00"/>
  </r>
  <r>
    <n v="262"/>
    <n v="18111"/>
    <x v="3"/>
    <n v="126009.04"/>
    <x v="0"/>
    <n v="41"/>
    <x v="3"/>
    <d v="2024-07-10T00:00:00"/>
    <d v="2024-08-20T00:00:00"/>
  </r>
  <r>
    <n v="263"/>
    <n v="13536"/>
    <x v="1"/>
    <n v="86874.57"/>
    <x v="0"/>
    <n v="42"/>
    <x v="2"/>
    <d v="2024-04-12T00:00:00"/>
    <d v="2024-05-24T00:00:00"/>
  </r>
  <r>
    <n v="264"/>
    <n v="16863"/>
    <x v="3"/>
    <n v="124590.25"/>
    <x v="1"/>
    <n v="17"/>
    <x v="2"/>
    <d v="2024-08-28T00:00:00"/>
    <d v="2024-09-14T00:00:00"/>
  </r>
  <r>
    <n v="265"/>
    <n v="11181"/>
    <x v="3"/>
    <n v="153526.60999999999"/>
    <x v="0"/>
    <n v="43"/>
    <x v="0"/>
    <d v="2024-09-09T00:00:00"/>
    <d v="2024-10-22T00:00:00"/>
  </r>
  <r>
    <n v="266"/>
    <n v="13405"/>
    <x v="2"/>
    <n v="111412.09"/>
    <x v="0"/>
    <n v="10"/>
    <x v="3"/>
    <d v="2024-08-07T00:00:00"/>
    <d v="2024-08-17T00:00:00"/>
  </r>
  <r>
    <n v="267"/>
    <n v="13914"/>
    <x v="1"/>
    <n v="127387.92"/>
    <x v="0"/>
    <n v="36"/>
    <x v="1"/>
    <d v="2024-12-01T00:00:00"/>
    <d v="2025-01-06T00:00:00"/>
  </r>
  <r>
    <n v="268"/>
    <n v="19975"/>
    <x v="3"/>
    <n v="187373.81"/>
    <x v="0"/>
    <n v="35"/>
    <x v="1"/>
    <d v="2024-08-04T00:00:00"/>
    <d v="2024-09-08T00:00:00"/>
  </r>
  <r>
    <n v="269"/>
    <n v="13722"/>
    <x v="1"/>
    <n v="63317.54"/>
    <x v="0"/>
    <n v="10"/>
    <x v="0"/>
    <d v="2024-07-20T00:00:00"/>
    <d v="2024-07-30T00:00:00"/>
  </r>
  <r>
    <n v="270"/>
    <n v="12642"/>
    <x v="1"/>
    <n v="75036.97"/>
    <x v="1"/>
    <n v="14"/>
    <x v="0"/>
    <d v="2024-01-29T00:00:00"/>
    <d v="2024-02-12T00:00:00"/>
  </r>
  <r>
    <n v="271"/>
    <n v="17577"/>
    <x v="3"/>
    <n v="144952.16"/>
    <x v="0"/>
    <n v="7"/>
    <x v="3"/>
    <d v="2024-07-30T00:00:00"/>
    <d v="2024-08-06T00:00:00"/>
  </r>
  <r>
    <n v="272"/>
    <n v="13711"/>
    <x v="3"/>
    <n v="124204.58"/>
    <x v="1"/>
    <n v="5"/>
    <x v="1"/>
    <d v="2024-06-02T00:00:00"/>
    <d v="2024-06-07T00:00:00"/>
  </r>
  <r>
    <n v="273"/>
    <n v="12960"/>
    <x v="0"/>
    <n v="39813.919999999998"/>
    <x v="0"/>
    <n v="29"/>
    <x v="1"/>
    <d v="2024-08-18T00:00:00"/>
    <d v="2024-09-16T00:00:00"/>
  </r>
  <r>
    <n v="274"/>
    <n v="14830"/>
    <x v="3"/>
    <n v="78348.73"/>
    <x v="0"/>
    <n v="12"/>
    <x v="1"/>
    <d v="2024-04-11T00:00:00"/>
    <d v="2024-04-23T00:00:00"/>
  </r>
  <r>
    <n v="275"/>
    <n v="15458"/>
    <x v="1"/>
    <n v="96228.41"/>
    <x v="0"/>
    <n v="35"/>
    <x v="2"/>
    <d v="2024-11-10T00:00:00"/>
    <d v="2024-12-15T00:00:00"/>
  </r>
  <r>
    <n v="276"/>
    <n v="19771"/>
    <x v="3"/>
    <n v="86781.02"/>
    <x v="0"/>
    <n v="36"/>
    <x v="1"/>
    <d v="2024-06-25T00:00:00"/>
    <d v="2024-07-31T00:00:00"/>
  </r>
  <r>
    <n v="277"/>
    <n v="11619"/>
    <x v="3"/>
    <n v="39763.589999999997"/>
    <x v="0"/>
    <n v="6"/>
    <x v="2"/>
    <d v="2024-06-29T00:00:00"/>
    <d v="2024-07-05T00:00:00"/>
  </r>
  <r>
    <n v="278"/>
    <n v="16138"/>
    <x v="3"/>
    <n v="185263.87"/>
    <x v="1"/>
    <n v="40"/>
    <x v="3"/>
    <d v="2024-08-19T00:00:00"/>
    <d v="2024-09-28T00:00:00"/>
  </r>
  <r>
    <n v="279"/>
    <n v="16680"/>
    <x v="3"/>
    <n v="153652.16"/>
    <x v="1"/>
    <n v="12"/>
    <x v="2"/>
    <d v="2024-01-12T00:00:00"/>
    <d v="2024-01-24T00:00:00"/>
  </r>
  <r>
    <n v="280"/>
    <n v="12340"/>
    <x v="3"/>
    <n v="98864.39"/>
    <x v="0"/>
    <n v="13"/>
    <x v="3"/>
    <d v="2024-07-04T00:00:00"/>
    <d v="2024-07-17T00:00:00"/>
  </r>
  <r>
    <n v="281"/>
    <n v="19419"/>
    <x v="3"/>
    <n v="137611.9"/>
    <x v="0"/>
    <n v="44"/>
    <x v="1"/>
    <d v="2024-09-05T00:00:00"/>
    <d v="2024-10-19T00:00:00"/>
  </r>
  <r>
    <n v="282"/>
    <n v="11728"/>
    <x v="0"/>
    <n v="179970.12"/>
    <x v="0"/>
    <n v="20"/>
    <x v="1"/>
    <d v="2024-09-22T00:00:00"/>
    <d v="2024-10-12T00:00:00"/>
  </r>
  <r>
    <n v="283"/>
    <n v="13585"/>
    <x v="2"/>
    <n v="31553.96"/>
    <x v="1"/>
    <n v="14"/>
    <x v="3"/>
    <d v="2024-05-14T00:00:00"/>
    <d v="2024-05-28T00:00:00"/>
  </r>
  <r>
    <n v="284"/>
    <n v="10201"/>
    <x v="1"/>
    <n v="53822.74"/>
    <x v="0"/>
    <n v="5"/>
    <x v="0"/>
    <d v="2024-09-01T00:00:00"/>
    <d v="2024-09-06T00:00:00"/>
  </r>
  <r>
    <n v="285"/>
    <n v="15985"/>
    <x v="0"/>
    <n v="110826.74"/>
    <x v="2"/>
    <m/>
    <x v="3"/>
    <d v="2024-01-31T00:00:00"/>
    <m/>
  </r>
  <r>
    <n v="286"/>
    <n v="16175"/>
    <x v="3"/>
    <n v="160807.01999999999"/>
    <x v="0"/>
    <n v="3"/>
    <x v="0"/>
    <d v="2024-12-12T00:00:00"/>
    <d v="2024-12-15T00:00:00"/>
  </r>
  <r>
    <n v="287"/>
    <n v="13160"/>
    <x v="2"/>
    <n v="12069.7"/>
    <x v="0"/>
    <n v="9"/>
    <x v="2"/>
    <d v="2024-09-15T00:00:00"/>
    <d v="2024-09-24T00:00:00"/>
  </r>
  <r>
    <n v="288"/>
    <n v="11713"/>
    <x v="3"/>
    <n v="196883.54"/>
    <x v="2"/>
    <m/>
    <x v="2"/>
    <d v="2024-04-13T00:00:00"/>
    <m/>
  </r>
  <r>
    <n v="289"/>
    <n v="17872"/>
    <x v="2"/>
    <n v="93706.79"/>
    <x v="0"/>
    <n v="14"/>
    <x v="2"/>
    <d v="2024-01-01T00:00:00"/>
    <d v="2024-01-15T00:00:00"/>
  </r>
  <r>
    <n v="290"/>
    <n v="17839"/>
    <x v="2"/>
    <n v="75050.070000000007"/>
    <x v="0"/>
    <n v="22"/>
    <x v="1"/>
    <d v="2024-07-25T00:00:00"/>
    <d v="2024-08-16T00:00:00"/>
  </r>
  <r>
    <n v="291"/>
    <n v="16859"/>
    <x v="1"/>
    <n v="62081.27"/>
    <x v="0"/>
    <n v="22"/>
    <x v="2"/>
    <d v="2024-05-14T00:00:00"/>
    <d v="2024-06-05T00:00:00"/>
  </r>
  <r>
    <n v="292"/>
    <n v="10752"/>
    <x v="2"/>
    <n v="38999.56"/>
    <x v="0"/>
    <n v="29"/>
    <x v="0"/>
    <d v="2024-09-27T00:00:00"/>
    <d v="2024-10-26T00:00:00"/>
  </r>
  <r>
    <n v="293"/>
    <n v="10114"/>
    <x v="1"/>
    <n v="159356.91"/>
    <x v="0"/>
    <n v="34"/>
    <x v="2"/>
    <d v="2024-03-29T00:00:00"/>
    <d v="2024-05-02T00:00:00"/>
  </r>
  <r>
    <n v="294"/>
    <n v="15341"/>
    <x v="3"/>
    <n v="191305.76"/>
    <x v="0"/>
    <n v="30"/>
    <x v="3"/>
    <d v="2024-07-13T00:00:00"/>
    <d v="2024-08-12T00:00:00"/>
  </r>
  <r>
    <n v="295"/>
    <n v="13980"/>
    <x v="3"/>
    <n v="85660.73"/>
    <x v="1"/>
    <n v="38"/>
    <x v="3"/>
    <d v="2024-05-01T00:00:00"/>
    <d v="2024-06-08T00:00:00"/>
  </r>
  <r>
    <n v="296"/>
    <n v="16325"/>
    <x v="1"/>
    <n v="190722.04"/>
    <x v="0"/>
    <n v="23"/>
    <x v="1"/>
    <d v="2024-04-25T00:00:00"/>
    <d v="2024-05-18T00:00:00"/>
  </r>
  <r>
    <n v="297"/>
    <n v="12818"/>
    <x v="3"/>
    <n v="165640.54"/>
    <x v="2"/>
    <m/>
    <x v="3"/>
    <d v="2024-07-14T00:00:00"/>
    <m/>
  </r>
  <r>
    <n v="298"/>
    <n v="10468"/>
    <x v="1"/>
    <n v="98804.97"/>
    <x v="0"/>
    <n v="12"/>
    <x v="0"/>
    <d v="2024-02-05T00:00:00"/>
    <d v="2024-02-17T00:00:00"/>
  </r>
  <r>
    <n v="299"/>
    <n v="10425"/>
    <x v="2"/>
    <n v="136435.1"/>
    <x v="0"/>
    <n v="12"/>
    <x v="2"/>
    <d v="2024-03-07T00:00:00"/>
    <d v="2024-03-19T00:00:00"/>
  </r>
  <r>
    <n v="300"/>
    <n v="18141"/>
    <x v="3"/>
    <n v="89821.91"/>
    <x v="0"/>
    <n v="35"/>
    <x v="1"/>
    <d v="2024-05-12T00:00:00"/>
    <d v="2024-06-16T00:00:00"/>
  </r>
  <r>
    <n v="301"/>
    <n v="11575"/>
    <x v="1"/>
    <n v="113951.06"/>
    <x v="0"/>
    <n v="20"/>
    <x v="2"/>
    <d v="2024-10-07T00:00:00"/>
    <d v="2024-10-27T00:00:00"/>
  </r>
  <r>
    <n v="302"/>
    <n v="10833"/>
    <x v="2"/>
    <n v="16319.04"/>
    <x v="0"/>
    <n v="38"/>
    <x v="2"/>
    <d v="2024-01-11T00:00:00"/>
    <d v="2024-02-18T00:00:00"/>
  </r>
  <r>
    <n v="303"/>
    <n v="14106"/>
    <x v="2"/>
    <n v="140771.38"/>
    <x v="2"/>
    <m/>
    <x v="0"/>
    <d v="2024-08-05T00:00:00"/>
    <m/>
  </r>
  <r>
    <n v="304"/>
    <n v="13703"/>
    <x v="2"/>
    <n v="15300.81"/>
    <x v="0"/>
    <n v="30"/>
    <x v="3"/>
    <d v="2024-11-17T00:00:00"/>
    <d v="2024-12-17T00:00:00"/>
  </r>
  <r>
    <n v="305"/>
    <n v="11408"/>
    <x v="1"/>
    <n v="164331.56"/>
    <x v="0"/>
    <n v="20"/>
    <x v="3"/>
    <d v="2024-06-04T00:00:00"/>
    <d v="2024-06-24T00:00:00"/>
  </r>
  <r>
    <n v="306"/>
    <n v="13481"/>
    <x v="2"/>
    <n v="165864.65"/>
    <x v="0"/>
    <n v="38"/>
    <x v="2"/>
    <d v="2024-08-27T00:00:00"/>
    <d v="2024-10-04T00:00:00"/>
  </r>
  <r>
    <n v="307"/>
    <n v="16185"/>
    <x v="1"/>
    <n v="51230.07"/>
    <x v="1"/>
    <n v="22"/>
    <x v="1"/>
    <d v="2024-02-29T00:00:00"/>
    <d v="2024-03-22T00:00:00"/>
  </r>
  <r>
    <n v="308"/>
    <n v="15821"/>
    <x v="3"/>
    <n v="68114.240000000005"/>
    <x v="1"/>
    <n v="25"/>
    <x v="3"/>
    <d v="2024-05-17T00:00:00"/>
    <d v="2024-06-11T00:00:00"/>
  </r>
  <r>
    <n v="309"/>
    <n v="16844"/>
    <x v="3"/>
    <n v="98855.52"/>
    <x v="0"/>
    <n v="27"/>
    <x v="1"/>
    <d v="2024-02-19T00:00:00"/>
    <d v="2024-03-17T00:00:00"/>
  </r>
  <r>
    <n v="310"/>
    <n v="16395"/>
    <x v="1"/>
    <n v="121349.27"/>
    <x v="0"/>
    <n v="42"/>
    <x v="3"/>
    <d v="2024-06-15T00:00:00"/>
    <d v="2024-07-27T00:00:00"/>
  </r>
  <r>
    <n v="311"/>
    <n v="18795"/>
    <x v="3"/>
    <n v="61033.96"/>
    <x v="0"/>
    <n v="13"/>
    <x v="1"/>
    <d v="2024-06-13T00:00:00"/>
    <d v="2024-06-26T00:00:00"/>
  </r>
  <r>
    <n v="312"/>
    <n v="10212"/>
    <x v="1"/>
    <n v="120534.85"/>
    <x v="0"/>
    <n v="20"/>
    <x v="0"/>
    <d v="2024-11-14T00:00:00"/>
    <d v="2024-12-04T00:00:00"/>
  </r>
  <r>
    <n v="313"/>
    <n v="16411"/>
    <x v="1"/>
    <n v="63068.480000000003"/>
    <x v="0"/>
    <n v="31"/>
    <x v="1"/>
    <d v="2024-07-07T00:00:00"/>
    <d v="2024-08-07T00:00:00"/>
  </r>
  <r>
    <n v="314"/>
    <n v="14801"/>
    <x v="3"/>
    <n v="15820.69"/>
    <x v="0"/>
    <n v="16"/>
    <x v="0"/>
    <d v="2024-04-01T00:00:00"/>
    <d v="2024-04-17T00:00:00"/>
  </r>
  <r>
    <n v="315"/>
    <n v="11758"/>
    <x v="1"/>
    <n v="5492.87"/>
    <x v="0"/>
    <n v="4"/>
    <x v="0"/>
    <d v="2024-10-20T00:00:00"/>
    <d v="2024-10-24T00:00:00"/>
  </r>
  <r>
    <n v="316"/>
    <n v="15780"/>
    <x v="1"/>
    <n v="24724.46"/>
    <x v="0"/>
    <n v="14"/>
    <x v="1"/>
    <d v="2024-10-15T00:00:00"/>
    <d v="2024-10-29T00:00:00"/>
  </r>
  <r>
    <n v="317"/>
    <n v="18973"/>
    <x v="3"/>
    <n v="159488.89000000001"/>
    <x v="0"/>
    <n v="10"/>
    <x v="0"/>
    <d v="2024-03-15T00:00:00"/>
    <d v="2024-03-25T00:00:00"/>
  </r>
  <r>
    <n v="318"/>
    <n v="11526"/>
    <x v="3"/>
    <n v="192479.11"/>
    <x v="2"/>
    <m/>
    <x v="2"/>
    <d v="2024-02-14T00:00:00"/>
    <m/>
  </r>
  <r>
    <n v="319"/>
    <n v="10840"/>
    <x v="3"/>
    <n v="88258.41"/>
    <x v="2"/>
    <m/>
    <x v="0"/>
    <d v="2024-02-22T00:00:00"/>
    <m/>
  </r>
  <r>
    <n v="320"/>
    <n v="11341"/>
    <x v="3"/>
    <n v="104973.37"/>
    <x v="0"/>
    <n v="15"/>
    <x v="3"/>
    <d v="2024-06-23T00:00:00"/>
    <d v="2024-07-08T00:00:00"/>
  </r>
  <r>
    <n v="321"/>
    <n v="11500"/>
    <x v="2"/>
    <n v="33635.39"/>
    <x v="0"/>
    <n v="9"/>
    <x v="1"/>
    <d v="2024-06-09T00:00:00"/>
    <d v="2024-06-18T00:00:00"/>
  </r>
  <r>
    <n v="322"/>
    <n v="18121"/>
    <x v="3"/>
    <n v="112451.11"/>
    <x v="0"/>
    <n v="20"/>
    <x v="2"/>
    <d v="2024-03-07T00:00:00"/>
    <d v="2024-03-27T00:00:00"/>
  </r>
  <r>
    <n v="323"/>
    <n v="15559"/>
    <x v="1"/>
    <n v="33207.71"/>
    <x v="0"/>
    <n v="33"/>
    <x v="1"/>
    <d v="2024-12-26T00:00:00"/>
    <d v="2025-01-28T00:00:00"/>
  </r>
  <r>
    <n v="324"/>
    <n v="15926"/>
    <x v="3"/>
    <n v="124186.79"/>
    <x v="1"/>
    <n v="36"/>
    <x v="3"/>
    <d v="2024-09-26T00:00:00"/>
    <d v="2024-11-01T00:00:00"/>
  </r>
  <r>
    <n v="325"/>
    <n v="18707"/>
    <x v="3"/>
    <n v="186985.44"/>
    <x v="0"/>
    <n v="24"/>
    <x v="3"/>
    <d v="2024-05-03T00:00:00"/>
    <d v="2024-05-27T00:00:00"/>
  </r>
  <r>
    <n v="326"/>
    <n v="17675"/>
    <x v="0"/>
    <n v="43161.22"/>
    <x v="1"/>
    <n v="22"/>
    <x v="3"/>
    <d v="2024-06-30T00:00:00"/>
    <d v="2024-07-22T00:00:00"/>
  </r>
  <r>
    <n v="327"/>
    <n v="19339"/>
    <x v="1"/>
    <n v="154089.93"/>
    <x v="2"/>
    <m/>
    <x v="0"/>
    <d v="2024-06-30T00:00:00"/>
    <m/>
  </r>
  <r>
    <n v="328"/>
    <n v="16457"/>
    <x v="3"/>
    <n v="9582.9699999999993"/>
    <x v="0"/>
    <n v="15"/>
    <x v="0"/>
    <d v="2024-02-05T00:00:00"/>
    <d v="2024-02-20T00:00:00"/>
  </r>
  <r>
    <n v="329"/>
    <n v="13256"/>
    <x v="3"/>
    <n v="78221.960000000006"/>
    <x v="0"/>
    <n v="17"/>
    <x v="1"/>
    <d v="2024-07-30T00:00:00"/>
    <d v="2024-08-16T00:00:00"/>
  </r>
  <r>
    <n v="330"/>
    <n v="12594"/>
    <x v="3"/>
    <n v="26595.96"/>
    <x v="0"/>
    <n v="25"/>
    <x v="1"/>
    <d v="2024-05-13T00:00:00"/>
    <d v="2024-06-07T00:00:00"/>
  </r>
  <r>
    <n v="331"/>
    <n v="13656"/>
    <x v="3"/>
    <n v="73732.710000000006"/>
    <x v="0"/>
    <n v="33"/>
    <x v="2"/>
    <d v="2024-12-18T00:00:00"/>
    <d v="2025-01-20T00:00:00"/>
  </r>
  <r>
    <n v="332"/>
    <n v="19740"/>
    <x v="1"/>
    <n v="38839.699999999997"/>
    <x v="0"/>
    <n v="12"/>
    <x v="2"/>
    <d v="2024-06-26T00:00:00"/>
    <d v="2024-07-08T00:00:00"/>
  </r>
  <r>
    <n v="333"/>
    <n v="12086"/>
    <x v="3"/>
    <n v="77794.47"/>
    <x v="0"/>
    <n v="12"/>
    <x v="1"/>
    <d v="2024-06-14T00:00:00"/>
    <d v="2024-06-26T00:00:00"/>
  </r>
  <r>
    <n v="334"/>
    <n v="13155"/>
    <x v="3"/>
    <n v="86416.95"/>
    <x v="1"/>
    <n v="5"/>
    <x v="0"/>
    <d v="2024-12-02T00:00:00"/>
    <d v="2024-12-07T00:00:00"/>
  </r>
  <r>
    <n v="335"/>
    <n v="17188"/>
    <x v="3"/>
    <n v="63615.27"/>
    <x v="0"/>
    <n v="27"/>
    <x v="3"/>
    <d v="2024-11-24T00:00:00"/>
    <d v="2024-12-21T00:00:00"/>
  </r>
  <r>
    <n v="336"/>
    <n v="16396"/>
    <x v="2"/>
    <n v="133041.28"/>
    <x v="0"/>
    <n v="6"/>
    <x v="1"/>
    <d v="2024-11-22T00:00:00"/>
    <d v="2024-11-28T00:00:00"/>
  </r>
  <r>
    <n v="337"/>
    <n v="10978"/>
    <x v="2"/>
    <n v="184176.15"/>
    <x v="0"/>
    <n v="37"/>
    <x v="2"/>
    <d v="2024-02-15T00:00:00"/>
    <d v="2024-03-23T00:00:00"/>
  </r>
  <r>
    <n v="338"/>
    <n v="13047"/>
    <x v="3"/>
    <n v="83116.100000000006"/>
    <x v="0"/>
    <n v="34"/>
    <x v="0"/>
    <d v="2024-06-04T00:00:00"/>
    <d v="2024-07-08T00:00:00"/>
  </r>
  <r>
    <n v="339"/>
    <n v="12589"/>
    <x v="1"/>
    <n v="42506.92"/>
    <x v="0"/>
    <n v="15"/>
    <x v="1"/>
    <d v="2024-08-23T00:00:00"/>
    <d v="2024-09-07T00:00:00"/>
  </r>
  <r>
    <n v="340"/>
    <n v="12006"/>
    <x v="3"/>
    <n v="57790.94"/>
    <x v="1"/>
    <n v="33"/>
    <x v="1"/>
    <d v="2024-11-11T00:00:00"/>
    <d v="2024-12-14T00:00:00"/>
  </r>
  <r>
    <n v="341"/>
    <n v="16783"/>
    <x v="3"/>
    <n v="171530.16"/>
    <x v="0"/>
    <n v="8"/>
    <x v="0"/>
    <d v="2024-02-29T00:00:00"/>
    <d v="2024-03-08T00:00:00"/>
  </r>
  <r>
    <n v="342"/>
    <n v="15942"/>
    <x v="1"/>
    <n v="116469.75"/>
    <x v="0"/>
    <n v="11"/>
    <x v="1"/>
    <d v="2024-01-05T00:00:00"/>
    <d v="2024-01-16T00:00:00"/>
  </r>
  <r>
    <n v="343"/>
    <n v="12599"/>
    <x v="2"/>
    <n v="93727.15"/>
    <x v="0"/>
    <n v="3"/>
    <x v="0"/>
    <d v="2024-06-29T00:00:00"/>
    <d v="2024-07-02T00:00:00"/>
  </r>
  <r>
    <n v="344"/>
    <n v="12508"/>
    <x v="2"/>
    <n v="34179.160000000003"/>
    <x v="0"/>
    <n v="11"/>
    <x v="3"/>
    <d v="2024-05-24T00:00:00"/>
    <d v="2024-06-04T00:00:00"/>
  </r>
  <r>
    <n v="345"/>
    <n v="18471"/>
    <x v="1"/>
    <n v="92696.83"/>
    <x v="1"/>
    <n v="36"/>
    <x v="0"/>
    <d v="2024-11-10T00:00:00"/>
    <d v="2024-12-16T00:00:00"/>
  </r>
  <r>
    <n v="346"/>
    <n v="11193"/>
    <x v="3"/>
    <n v="59305.94"/>
    <x v="0"/>
    <n v="22"/>
    <x v="0"/>
    <d v="2024-09-21T00:00:00"/>
    <d v="2024-10-13T00:00:00"/>
  </r>
  <r>
    <n v="347"/>
    <n v="15915"/>
    <x v="1"/>
    <n v="188916.81"/>
    <x v="1"/>
    <n v="41"/>
    <x v="0"/>
    <d v="2024-08-10T00:00:00"/>
    <d v="2024-09-20T00:00:00"/>
  </r>
  <r>
    <n v="348"/>
    <n v="19949"/>
    <x v="3"/>
    <n v="177393.67"/>
    <x v="0"/>
    <n v="43"/>
    <x v="1"/>
    <d v="2024-10-27T00:00:00"/>
    <d v="2024-12-09T00:00:00"/>
  </r>
  <r>
    <n v="349"/>
    <n v="12045"/>
    <x v="1"/>
    <n v="21361"/>
    <x v="0"/>
    <n v="9"/>
    <x v="1"/>
    <d v="2024-12-01T00:00:00"/>
    <d v="2024-12-10T00:00:00"/>
  </r>
  <r>
    <n v="350"/>
    <n v="17796"/>
    <x v="3"/>
    <n v="105747.43"/>
    <x v="0"/>
    <n v="19"/>
    <x v="0"/>
    <d v="2024-08-24T00:00:00"/>
    <d v="2024-09-12T00:00:00"/>
  </r>
  <r>
    <n v="351"/>
    <n v="18439"/>
    <x v="1"/>
    <n v="48886.38"/>
    <x v="0"/>
    <n v="10"/>
    <x v="1"/>
    <d v="2024-01-13T00:00:00"/>
    <d v="2024-01-23T00:00:00"/>
  </r>
  <r>
    <n v="352"/>
    <n v="19576"/>
    <x v="3"/>
    <n v="85101.53"/>
    <x v="0"/>
    <n v="42"/>
    <x v="2"/>
    <d v="2024-12-04T00:00:00"/>
    <d v="2025-01-15T00:00:00"/>
  </r>
  <r>
    <n v="353"/>
    <n v="19564"/>
    <x v="3"/>
    <n v="175985.36"/>
    <x v="1"/>
    <n v="31"/>
    <x v="2"/>
    <d v="2024-09-24T00:00:00"/>
    <d v="2024-10-25T00:00:00"/>
  </r>
  <r>
    <n v="354"/>
    <n v="17602"/>
    <x v="2"/>
    <n v="107865.33"/>
    <x v="0"/>
    <n v="5"/>
    <x v="1"/>
    <d v="2024-09-22T00:00:00"/>
    <d v="2024-09-27T00:00:00"/>
  </r>
  <r>
    <n v="355"/>
    <n v="13672"/>
    <x v="3"/>
    <n v="70171.98"/>
    <x v="0"/>
    <n v="36"/>
    <x v="1"/>
    <d v="2024-01-16T00:00:00"/>
    <d v="2024-02-21T00:00:00"/>
  </r>
  <r>
    <n v="356"/>
    <n v="17181"/>
    <x v="1"/>
    <n v="45538.23"/>
    <x v="0"/>
    <n v="15"/>
    <x v="0"/>
    <d v="2024-04-01T00:00:00"/>
    <d v="2024-04-16T00:00:00"/>
  </r>
  <r>
    <n v="357"/>
    <n v="10044"/>
    <x v="3"/>
    <n v="161063.35"/>
    <x v="0"/>
    <n v="15"/>
    <x v="3"/>
    <d v="2024-09-04T00:00:00"/>
    <d v="2024-09-19T00:00:00"/>
  </r>
  <r>
    <n v="358"/>
    <n v="12085"/>
    <x v="3"/>
    <n v="126781.01"/>
    <x v="0"/>
    <n v="38"/>
    <x v="1"/>
    <d v="2024-01-19T00:00:00"/>
    <d v="2024-02-26T00:00:00"/>
  </r>
  <r>
    <n v="359"/>
    <n v="14511"/>
    <x v="3"/>
    <n v="96272.76"/>
    <x v="0"/>
    <n v="21"/>
    <x v="2"/>
    <d v="2024-12-25T00:00:00"/>
    <d v="2025-01-15T00:00:00"/>
  </r>
  <r>
    <n v="360"/>
    <n v="16388"/>
    <x v="3"/>
    <n v="47409.45"/>
    <x v="0"/>
    <n v="30"/>
    <x v="0"/>
    <d v="2024-04-12T00:00:00"/>
    <d v="2024-05-12T00:00:00"/>
  </r>
  <r>
    <n v="361"/>
    <n v="17775"/>
    <x v="0"/>
    <n v="70178.039999999994"/>
    <x v="0"/>
    <n v="24"/>
    <x v="1"/>
    <d v="2024-04-04T00:00:00"/>
    <d v="2024-04-28T00:00:00"/>
  </r>
  <r>
    <n v="362"/>
    <n v="15371"/>
    <x v="3"/>
    <n v="192169.47"/>
    <x v="0"/>
    <n v="22"/>
    <x v="2"/>
    <d v="2024-10-09T00:00:00"/>
    <d v="2024-10-31T00:00:00"/>
  </r>
  <r>
    <n v="363"/>
    <n v="17948"/>
    <x v="2"/>
    <n v="106417.54"/>
    <x v="0"/>
    <n v="32"/>
    <x v="2"/>
    <d v="2024-07-31T00:00:00"/>
    <d v="2024-09-01T00:00:00"/>
  </r>
  <r>
    <n v="364"/>
    <n v="16223"/>
    <x v="1"/>
    <n v="83136.36"/>
    <x v="0"/>
    <n v="33"/>
    <x v="3"/>
    <d v="2024-02-06T00:00:00"/>
    <d v="2024-03-10T00:00:00"/>
  </r>
  <r>
    <n v="365"/>
    <n v="14323"/>
    <x v="3"/>
    <n v="106677.3"/>
    <x v="0"/>
    <n v="42"/>
    <x v="0"/>
    <d v="2024-03-01T00:00:00"/>
    <d v="2024-04-12T00:00:00"/>
  </r>
  <r>
    <n v="366"/>
    <n v="16626"/>
    <x v="1"/>
    <n v="156902.76"/>
    <x v="2"/>
    <m/>
    <x v="0"/>
    <d v="2024-10-17T00:00:00"/>
    <m/>
  </r>
  <r>
    <n v="367"/>
    <n v="18814"/>
    <x v="1"/>
    <n v="71321.240000000005"/>
    <x v="0"/>
    <n v="14"/>
    <x v="3"/>
    <d v="2024-12-27T00:00:00"/>
    <d v="2025-01-10T00:00:00"/>
  </r>
  <r>
    <n v="368"/>
    <n v="18049"/>
    <x v="1"/>
    <n v="39847.69"/>
    <x v="0"/>
    <n v="24"/>
    <x v="3"/>
    <d v="2024-10-29T00:00:00"/>
    <d v="2024-11-22T00:00:00"/>
  </r>
  <r>
    <n v="369"/>
    <n v="17091"/>
    <x v="3"/>
    <n v="119062.54"/>
    <x v="0"/>
    <n v="9"/>
    <x v="0"/>
    <d v="2024-08-31T00:00:00"/>
    <d v="2024-09-09T00:00:00"/>
  </r>
  <r>
    <n v="370"/>
    <n v="18676"/>
    <x v="3"/>
    <n v="134714.79999999999"/>
    <x v="0"/>
    <n v="13"/>
    <x v="0"/>
    <d v="2024-11-06T00:00:00"/>
    <d v="2024-11-19T00:00:00"/>
  </r>
  <r>
    <n v="371"/>
    <n v="18216"/>
    <x v="0"/>
    <n v="143980.01"/>
    <x v="1"/>
    <n v="37"/>
    <x v="1"/>
    <d v="2024-12-09T00:00:00"/>
    <d v="2025-01-15T00:00:00"/>
  </r>
  <r>
    <n v="372"/>
    <n v="11225"/>
    <x v="2"/>
    <n v="176987.58"/>
    <x v="0"/>
    <n v="17"/>
    <x v="1"/>
    <d v="2024-12-16T00:00:00"/>
    <d v="2025-01-02T00:00:00"/>
  </r>
  <r>
    <n v="373"/>
    <n v="11248"/>
    <x v="0"/>
    <n v="77378.95"/>
    <x v="2"/>
    <m/>
    <x v="3"/>
    <d v="2024-01-06T00:00:00"/>
    <m/>
  </r>
  <r>
    <n v="374"/>
    <n v="18970"/>
    <x v="3"/>
    <n v="19694.2"/>
    <x v="1"/>
    <n v="30"/>
    <x v="1"/>
    <d v="2024-11-01T00:00:00"/>
    <d v="2024-12-01T00:00:00"/>
  </r>
  <r>
    <n v="375"/>
    <n v="15026"/>
    <x v="1"/>
    <n v="191877.97"/>
    <x v="0"/>
    <n v="30"/>
    <x v="2"/>
    <d v="2024-06-13T00:00:00"/>
    <d v="2024-07-13T00:00:00"/>
  </r>
  <r>
    <n v="376"/>
    <n v="12842"/>
    <x v="3"/>
    <n v="89827.33"/>
    <x v="0"/>
    <n v="7"/>
    <x v="1"/>
    <d v="2024-01-13T00:00:00"/>
    <d v="2024-01-20T00:00:00"/>
  </r>
  <r>
    <n v="377"/>
    <n v="15698"/>
    <x v="3"/>
    <n v="126535.21"/>
    <x v="0"/>
    <n v="38"/>
    <x v="1"/>
    <d v="2024-01-25T00:00:00"/>
    <d v="2024-03-03T00:00:00"/>
  </r>
  <r>
    <n v="378"/>
    <n v="11582"/>
    <x v="3"/>
    <n v="134929.54"/>
    <x v="0"/>
    <n v="34"/>
    <x v="2"/>
    <d v="2024-08-11T00:00:00"/>
    <d v="2024-09-14T00:00:00"/>
  </r>
  <r>
    <n v="379"/>
    <n v="14848"/>
    <x v="1"/>
    <n v="111570.17"/>
    <x v="0"/>
    <n v="32"/>
    <x v="3"/>
    <d v="2024-05-02T00:00:00"/>
    <d v="2024-06-03T00:00:00"/>
  </r>
  <r>
    <n v="380"/>
    <n v="19905"/>
    <x v="3"/>
    <n v="45025.22"/>
    <x v="0"/>
    <n v="42"/>
    <x v="2"/>
    <d v="2024-05-08T00:00:00"/>
    <d v="2024-06-19T00:00:00"/>
  </r>
  <r>
    <n v="381"/>
    <n v="13138"/>
    <x v="3"/>
    <n v="152252.89000000001"/>
    <x v="0"/>
    <n v="19"/>
    <x v="1"/>
    <d v="2024-10-31T00:00:00"/>
    <d v="2024-11-19T00:00:00"/>
  </r>
  <r>
    <n v="382"/>
    <n v="14755"/>
    <x v="0"/>
    <n v="161731.63"/>
    <x v="0"/>
    <n v="39"/>
    <x v="3"/>
    <d v="2024-05-01T00:00:00"/>
    <d v="2024-06-09T00:00:00"/>
  </r>
  <r>
    <n v="383"/>
    <n v="11517"/>
    <x v="3"/>
    <n v="112830.24"/>
    <x v="0"/>
    <n v="32"/>
    <x v="1"/>
    <d v="2024-02-04T00:00:00"/>
    <d v="2024-03-07T00:00:00"/>
  </r>
  <r>
    <n v="384"/>
    <n v="14642"/>
    <x v="3"/>
    <n v="100269.43"/>
    <x v="1"/>
    <n v="17"/>
    <x v="2"/>
    <d v="2024-03-23T00:00:00"/>
    <d v="2024-04-09T00:00:00"/>
  </r>
  <r>
    <n v="385"/>
    <n v="15196"/>
    <x v="3"/>
    <n v="27217.95"/>
    <x v="0"/>
    <n v="41"/>
    <x v="2"/>
    <d v="2024-11-04T00:00:00"/>
    <d v="2024-12-15T00:00:00"/>
  </r>
  <r>
    <n v="386"/>
    <n v="13768"/>
    <x v="2"/>
    <n v="21370.57"/>
    <x v="1"/>
    <n v="38"/>
    <x v="1"/>
    <d v="2024-06-30T00:00:00"/>
    <d v="2024-08-07T00:00:00"/>
  </r>
  <r>
    <n v="387"/>
    <n v="16198"/>
    <x v="1"/>
    <n v="71215.14"/>
    <x v="0"/>
    <n v="15"/>
    <x v="0"/>
    <d v="2024-03-16T00:00:00"/>
    <d v="2024-03-31T00:00:00"/>
  </r>
  <r>
    <n v="388"/>
    <n v="18072"/>
    <x v="3"/>
    <n v="65615"/>
    <x v="0"/>
    <n v="40"/>
    <x v="0"/>
    <d v="2024-04-13T00:00:00"/>
    <d v="2024-05-23T00:00:00"/>
  </r>
  <r>
    <n v="389"/>
    <n v="19688"/>
    <x v="0"/>
    <n v="190963.01"/>
    <x v="0"/>
    <n v="5"/>
    <x v="2"/>
    <d v="2024-08-19T00:00:00"/>
    <d v="2024-08-24T00:00:00"/>
  </r>
  <r>
    <n v="390"/>
    <n v="15558"/>
    <x v="0"/>
    <n v="157806.43"/>
    <x v="0"/>
    <n v="31"/>
    <x v="2"/>
    <d v="2024-10-29T00:00:00"/>
    <d v="2024-11-29T00:00:00"/>
  </r>
  <r>
    <n v="391"/>
    <n v="19927"/>
    <x v="3"/>
    <n v="133685.24"/>
    <x v="0"/>
    <n v="34"/>
    <x v="0"/>
    <d v="2024-02-12T00:00:00"/>
    <d v="2024-03-17T00:00:00"/>
  </r>
  <r>
    <n v="392"/>
    <n v="11343"/>
    <x v="1"/>
    <n v="105941.38"/>
    <x v="0"/>
    <n v="37"/>
    <x v="0"/>
    <d v="2024-04-02T00:00:00"/>
    <d v="2024-05-09T00:00:00"/>
  </r>
  <r>
    <n v="393"/>
    <n v="15490"/>
    <x v="1"/>
    <n v="37636.67"/>
    <x v="1"/>
    <n v="31"/>
    <x v="1"/>
    <d v="2024-05-23T00:00:00"/>
    <d v="2024-06-23T00:00:00"/>
  </r>
  <r>
    <n v="394"/>
    <n v="15335"/>
    <x v="1"/>
    <n v="195799.05"/>
    <x v="0"/>
    <n v="15"/>
    <x v="1"/>
    <d v="2024-09-10T00:00:00"/>
    <d v="2024-09-25T00:00:00"/>
  </r>
  <r>
    <n v="395"/>
    <n v="10048"/>
    <x v="3"/>
    <n v="78132.94"/>
    <x v="0"/>
    <n v="24"/>
    <x v="0"/>
    <d v="2024-03-18T00:00:00"/>
    <d v="2024-04-11T00:00:00"/>
  </r>
  <r>
    <n v="396"/>
    <n v="15916"/>
    <x v="0"/>
    <n v="25850.49"/>
    <x v="1"/>
    <n v="29"/>
    <x v="1"/>
    <d v="2024-09-19T00:00:00"/>
    <d v="2024-10-18T00:00:00"/>
  </r>
  <r>
    <n v="397"/>
    <n v="12510"/>
    <x v="1"/>
    <n v="101290.78"/>
    <x v="1"/>
    <n v="8"/>
    <x v="1"/>
    <d v="2024-03-10T00:00:00"/>
    <d v="2024-03-18T00:00:00"/>
  </r>
  <r>
    <n v="398"/>
    <n v="16225"/>
    <x v="3"/>
    <n v="175429.61"/>
    <x v="0"/>
    <n v="43"/>
    <x v="3"/>
    <d v="2024-05-28T00:00:00"/>
    <d v="2024-07-10T00:00:00"/>
  </r>
  <r>
    <n v="399"/>
    <n v="13660"/>
    <x v="3"/>
    <n v="178021.75"/>
    <x v="0"/>
    <n v="11"/>
    <x v="1"/>
    <d v="2024-10-18T00:00:00"/>
    <d v="2024-10-29T00:00:00"/>
  </r>
  <r>
    <n v="400"/>
    <n v="11746"/>
    <x v="3"/>
    <n v="7138.35"/>
    <x v="1"/>
    <n v="5"/>
    <x v="2"/>
    <d v="2024-08-01T00:00:00"/>
    <d v="2024-08-06T00:00:00"/>
  </r>
  <r>
    <n v="401"/>
    <n v="18687"/>
    <x v="3"/>
    <n v="177827.67"/>
    <x v="0"/>
    <n v="39"/>
    <x v="1"/>
    <d v="2024-12-25T00:00:00"/>
    <d v="2025-02-02T00:00:00"/>
  </r>
  <r>
    <n v="402"/>
    <n v="18170"/>
    <x v="1"/>
    <n v="57939.42"/>
    <x v="0"/>
    <n v="14"/>
    <x v="1"/>
    <d v="2024-11-05T00:00:00"/>
    <d v="2024-11-19T00:00:00"/>
  </r>
  <r>
    <n v="403"/>
    <n v="10633"/>
    <x v="3"/>
    <n v="12599.61"/>
    <x v="0"/>
    <n v="22"/>
    <x v="0"/>
    <d v="2024-05-26T00:00:00"/>
    <d v="2024-06-17T00:00:00"/>
  </r>
  <r>
    <n v="404"/>
    <n v="16980"/>
    <x v="3"/>
    <n v="170319.1"/>
    <x v="1"/>
    <n v="34"/>
    <x v="2"/>
    <d v="2024-01-25T00:00:00"/>
    <d v="2024-02-28T00:00:00"/>
  </r>
  <r>
    <n v="405"/>
    <n v="12720"/>
    <x v="1"/>
    <n v="173454.02"/>
    <x v="0"/>
    <n v="41"/>
    <x v="1"/>
    <d v="2024-11-18T00:00:00"/>
    <d v="2024-12-29T00:00:00"/>
  </r>
  <r>
    <n v="406"/>
    <n v="10175"/>
    <x v="3"/>
    <n v="121265.06"/>
    <x v="2"/>
    <m/>
    <x v="1"/>
    <d v="2024-04-18T00:00:00"/>
    <m/>
  </r>
  <r>
    <n v="407"/>
    <n v="18830"/>
    <x v="2"/>
    <n v="117014.58"/>
    <x v="0"/>
    <n v="24"/>
    <x v="3"/>
    <d v="2024-06-29T00:00:00"/>
    <d v="2024-07-23T00:00:00"/>
  </r>
  <r>
    <n v="408"/>
    <n v="18152"/>
    <x v="3"/>
    <n v="163558.45000000001"/>
    <x v="1"/>
    <n v="33"/>
    <x v="1"/>
    <d v="2024-09-07T00:00:00"/>
    <d v="2024-10-10T00:00:00"/>
  </r>
  <r>
    <n v="409"/>
    <n v="13357"/>
    <x v="3"/>
    <n v="158330.35999999999"/>
    <x v="0"/>
    <n v="6"/>
    <x v="1"/>
    <d v="2024-07-21T00:00:00"/>
    <d v="2024-07-27T00:00:00"/>
  </r>
  <r>
    <n v="410"/>
    <n v="14392"/>
    <x v="3"/>
    <n v="178570.57"/>
    <x v="0"/>
    <n v="27"/>
    <x v="3"/>
    <d v="2024-10-30T00:00:00"/>
    <d v="2024-11-26T00:00:00"/>
  </r>
  <r>
    <n v="411"/>
    <n v="15379"/>
    <x v="3"/>
    <n v="112785.75"/>
    <x v="1"/>
    <n v="40"/>
    <x v="0"/>
    <d v="2024-06-18T00:00:00"/>
    <d v="2024-07-28T00:00:00"/>
  </r>
  <r>
    <n v="412"/>
    <n v="15970"/>
    <x v="3"/>
    <n v="193691.18"/>
    <x v="0"/>
    <n v="27"/>
    <x v="1"/>
    <d v="2024-06-23T00:00:00"/>
    <d v="2024-07-20T00:00:00"/>
  </r>
  <r>
    <n v="413"/>
    <n v="18666"/>
    <x v="1"/>
    <n v="199248.63"/>
    <x v="0"/>
    <n v="4"/>
    <x v="3"/>
    <d v="2024-12-12T00:00:00"/>
    <d v="2024-12-16T00:00:00"/>
  </r>
  <r>
    <n v="414"/>
    <n v="19838"/>
    <x v="2"/>
    <n v="27726.2"/>
    <x v="0"/>
    <n v="25"/>
    <x v="2"/>
    <d v="2024-06-18T00:00:00"/>
    <d v="2024-07-13T00:00:00"/>
  </r>
  <r>
    <n v="415"/>
    <n v="11958"/>
    <x v="3"/>
    <n v="170661.03"/>
    <x v="0"/>
    <n v="35"/>
    <x v="0"/>
    <d v="2024-01-02T00:00:00"/>
    <d v="2024-02-06T00:00:00"/>
  </r>
  <r>
    <n v="416"/>
    <n v="16679"/>
    <x v="1"/>
    <n v="102465.34"/>
    <x v="0"/>
    <n v="35"/>
    <x v="2"/>
    <d v="2024-05-13T00:00:00"/>
    <d v="2024-06-17T00:00:00"/>
  </r>
  <r>
    <n v="417"/>
    <n v="17348"/>
    <x v="1"/>
    <n v="80575.44"/>
    <x v="0"/>
    <n v="21"/>
    <x v="2"/>
    <d v="2024-05-06T00:00:00"/>
    <d v="2024-05-27T00:00:00"/>
  </r>
  <r>
    <n v="418"/>
    <n v="15884"/>
    <x v="0"/>
    <n v="124549.1"/>
    <x v="0"/>
    <n v="31"/>
    <x v="3"/>
    <d v="2024-02-15T00:00:00"/>
    <d v="2024-03-17T00:00:00"/>
  </r>
  <r>
    <n v="419"/>
    <n v="18540"/>
    <x v="3"/>
    <n v="15913.28"/>
    <x v="0"/>
    <n v="43"/>
    <x v="1"/>
    <d v="2024-07-12T00:00:00"/>
    <d v="2024-08-24T00:00:00"/>
  </r>
  <r>
    <n v="420"/>
    <n v="18828"/>
    <x v="3"/>
    <n v="103759.92"/>
    <x v="0"/>
    <n v="21"/>
    <x v="3"/>
    <d v="2024-12-27T00:00:00"/>
    <d v="2025-01-17T00:00:00"/>
  </r>
  <r>
    <n v="421"/>
    <n v="13614"/>
    <x v="3"/>
    <n v="174823.66"/>
    <x v="0"/>
    <n v="42"/>
    <x v="3"/>
    <d v="2024-07-27T00:00:00"/>
    <d v="2024-09-07T00:00:00"/>
  </r>
  <r>
    <n v="422"/>
    <n v="13820"/>
    <x v="1"/>
    <n v="46625"/>
    <x v="1"/>
    <n v="19"/>
    <x v="3"/>
    <d v="2024-10-22T00:00:00"/>
    <d v="2024-11-10T00:00:00"/>
  </r>
  <r>
    <n v="423"/>
    <n v="14322"/>
    <x v="0"/>
    <n v="88146.03"/>
    <x v="0"/>
    <n v="39"/>
    <x v="3"/>
    <d v="2024-02-27T00:00:00"/>
    <d v="2024-04-06T00:00:00"/>
  </r>
  <r>
    <n v="424"/>
    <n v="15467"/>
    <x v="3"/>
    <n v="188198.77"/>
    <x v="0"/>
    <n v="21"/>
    <x v="0"/>
    <d v="2024-03-18T00:00:00"/>
    <d v="2024-04-08T00:00:00"/>
  </r>
  <r>
    <n v="425"/>
    <n v="15502"/>
    <x v="3"/>
    <n v="88569.95"/>
    <x v="2"/>
    <m/>
    <x v="1"/>
    <d v="2024-07-20T00:00:00"/>
    <m/>
  </r>
  <r>
    <n v="426"/>
    <n v="16379"/>
    <x v="2"/>
    <n v="74881.69"/>
    <x v="0"/>
    <n v="43"/>
    <x v="2"/>
    <d v="2024-10-15T00:00:00"/>
    <d v="2024-11-27T00:00:00"/>
  </r>
  <r>
    <n v="427"/>
    <n v="11204"/>
    <x v="0"/>
    <n v="90904.65"/>
    <x v="1"/>
    <n v="26"/>
    <x v="2"/>
    <d v="2024-03-02T00:00:00"/>
    <d v="2024-03-28T00:00:00"/>
  </r>
  <r>
    <n v="428"/>
    <n v="16449"/>
    <x v="2"/>
    <n v="106293.29"/>
    <x v="1"/>
    <n v="42"/>
    <x v="1"/>
    <d v="2024-09-24T00:00:00"/>
    <d v="2024-11-05T00:00:00"/>
  </r>
  <r>
    <n v="429"/>
    <n v="18539"/>
    <x v="1"/>
    <n v="128238.31"/>
    <x v="1"/>
    <n v="42"/>
    <x v="2"/>
    <d v="2024-05-05T00:00:00"/>
    <d v="2024-06-16T00:00:00"/>
  </r>
  <r>
    <n v="430"/>
    <n v="11203"/>
    <x v="3"/>
    <n v="161135.1"/>
    <x v="0"/>
    <n v="4"/>
    <x v="1"/>
    <d v="2024-02-18T00:00:00"/>
    <d v="2024-02-22T00:00:00"/>
  </r>
  <r>
    <n v="431"/>
    <n v="16558"/>
    <x v="1"/>
    <n v="93159.93"/>
    <x v="1"/>
    <n v="44"/>
    <x v="2"/>
    <d v="2024-03-28T00:00:00"/>
    <d v="2024-05-11T00:00:00"/>
  </r>
  <r>
    <n v="432"/>
    <n v="10982"/>
    <x v="1"/>
    <n v="164408.78"/>
    <x v="1"/>
    <n v="20"/>
    <x v="3"/>
    <d v="2024-11-29T00:00:00"/>
    <d v="2024-12-19T00:00:00"/>
  </r>
  <r>
    <n v="433"/>
    <n v="18923"/>
    <x v="3"/>
    <n v="109075.53"/>
    <x v="0"/>
    <n v="11"/>
    <x v="2"/>
    <d v="2024-09-17T00:00:00"/>
    <d v="2024-09-28T00:00:00"/>
  </r>
  <r>
    <n v="434"/>
    <n v="16528"/>
    <x v="1"/>
    <n v="71003.7"/>
    <x v="0"/>
    <n v="6"/>
    <x v="1"/>
    <d v="2024-06-27T00:00:00"/>
    <d v="2024-07-03T00:00:00"/>
  </r>
  <r>
    <n v="435"/>
    <n v="16655"/>
    <x v="1"/>
    <n v="133300.41"/>
    <x v="0"/>
    <n v="23"/>
    <x v="1"/>
    <d v="2024-03-09T00:00:00"/>
    <d v="2024-04-01T00:00:00"/>
  </r>
  <r>
    <n v="436"/>
    <n v="15599"/>
    <x v="3"/>
    <n v="144955.84"/>
    <x v="0"/>
    <n v="10"/>
    <x v="1"/>
    <d v="2024-02-29T00:00:00"/>
    <d v="2024-03-10T00:00:00"/>
  </r>
  <r>
    <n v="437"/>
    <n v="15690"/>
    <x v="1"/>
    <n v="113819.55"/>
    <x v="0"/>
    <n v="34"/>
    <x v="1"/>
    <d v="2024-10-28T00:00:00"/>
    <d v="2024-12-01T00:00:00"/>
  </r>
  <r>
    <n v="438"/>
    <n v="15905"/>
    <x v="1"/>
    <n v="16039.92"/>
    <x v="0"/>
    <n v="16"/>
    <x v="1"/>
    <d v="2024-09-05T00:00:00"/>
    <d v="2024-09-21T00:00:00"/>
  </r>
  <r>
    <n v="439"/>
    <n v="16331"/>
    <x v="2"/>
    <n v="38127.160000000003"/>
    <x v="0"/>
    <n v="25"/>
    <x v="0"/>
    <d v="2024-06-17T00:00:00"/>
    <d v="2024-07-12T00:00:00"/>
  </r>
  <r>
    <n v="440"/>
    <n v="18644"/>
    <x v="3"/>
    <n v="60633.06"/>
    <x v="0"/>
    <n v="31"/>
    <x v="0"/>
    <d v="2024-09-25T00:00:00"/>
    <d v="2024-10-26T00:00:00"/>
  </r>
  <r>
    <n v="441"/>
    <n v="14073"/>
    <x v="3"/>
    <n v="60111.99"/>
    <x v="0"/>
    <n v="37"/>
    <x v="2"/>
    <d v="2024-12-29T00:00:00"/>
    <d v="2025-02-04T00:00:00"/>
  </r>
  <r>
    <n v="442"/>
    <n v="12894"/>
    <x v="1"/>
    <n v="136317.06"/>
    <x v="0"/>
    <n v="40"/>
    <x v="1"/>
    <d v="2024-04-21T00:00:00"/>
    <d v="2024-05-31T00:00:00"/>
  </r>
  <r>
    <n v="443"/>
    <n v="12234"/>
    <x v="3"/>
    <n v="8577.99"/>
    <x v="2"/>
    <m/>
    <x v="2"/>
    <d v="2024-04-09T00:00:00"/>
    <m/>
  </r>
  <r>
    <n v="444"/>
    <n v="17631"/>
    <x v="1"/>
    <n v="152357.95000000001"/>
    <x v="0"/>
    <n v="16"/>
    <x v="1"/>
    <d v="2024-08-02T00:00:00"/>
    <d v="2024-08-18T00:00:00"/>
  </r>
  <r>
    <n v="445"/>
    <n v="15859"/>
    <x v="1"/>
    <n v="56741.78"/>
    <x v="0"/>
    <n v="39"/>
    <x v="1"/>
    <d v="2024-04-22T00:00:00"/>
    <d v="2024-05-31T00:00:00"/>
  </r>
  <r>
    <n v="446"/>
    <n v="18355"/>
    <x v="3"/>
    <n v="65454.26"/>
    <x v="0"/>
    <n v="40"/>
    <x v="0"/>
    <d v="2024-04-06T00:00:00"/>
    <d v="2024-05-16T00:00:00"/>
  </r>
  <r>
    <n v="447"/>
    <n v="11447"/>
    <x v="1"/>
    <n v="107942.42"/>
    <x v="0"/>
    <n v="23"/>
    <x v="0"/>
    <d v="2024-11-02T00:00:00"/>
    <d v="2024-11-25T00:00:00"/>
  </r>
  <r>
    <n v="448"/>
    <n v="10101"/>
    <x v="1"/>
    <n v="47105.49"/>
    <x v="1"/>
    <n v="4"/>
    <x v="3"/>
    <d v="2024-04-27T00:00:00"/>
    <d v="2024-05-01T00:00:00"/>
  </r>
  <r>
    <n v="449"/>
    <n v="17434"/>
    <x v="3"/>
    <n v="177471.91"/>
    <x v="2"/>
    <m/>
    <x v="0"/>
    <d v="2024-02-05T00:00:00"/>
    <m/>
  </r>
  <r>
    <n v="450"/>
    <n v="17320"/>
    <x v="2"/>
    <n v="21646.91"/>
    <x v="0"/>
    <n v="30"/>
    <x v="3"/>
    <d v="2024-12-02T00:00:00"/>
    <d v="2025-01-01T00:00:00"/>
  </r>
  <r>
    <n v="451"/>
    <n v="19644"/>
    <x v="0"/>
    <n v="91654.56"/>
    <x v="2"/>
    <m/>
    <x v="3"/>
    <d v="2024-12-24T00:00:00"/>
    <m/>
  </r>
  <r>
    <n v="452"/>
    <n v="10535"/>
    <x v="1"/>
    <n v="170637.34"/>
    <x v="0"/>
    <n v="3"/>
    <x v="3"/>
    <d v="2024-10-16T00:00:00"/>
    <d v="2024-10-19T00:00:00"/>
  </r>
  <r>
    <n v="453"/>
    <n v="17500"/>
    <x v="1"/>
    <n v="125089.56"/>
    <x v="0"/>
    <n v="36"/>
    <x v="3"/>
    <d v="2024-10-30T00:00:00"/>
    <d v="2024-12-05T00:00:00"/>
  </r>
  <r>
    <n v="454"/>
    <n v="11700"/>
    <x v="3"/>
    <n v="62004.26"/>
    <x v="0"/>
    <n v="10"/>
    <x v="3"/>
    <d v="2024-12-25T00:00:00"/>
    <d v="2025-01-04T00:00:00"/>
  </r>
  <r>
    <n v="455"/>
    <n v="17039"/>
    <x v="2"/>
    <n v="87048.24"/>
    <x v="1"/>
    <n v="23"/>
    <x v="2"/>
    <d v="2024-12-12T00:00:00"/>
    <d v="2025-01-04T00:00:00"/>
  </r>
  <r>
    <n v="456"/>
    <n v="19655"/>
    <x v="1"/>
    <n v="142805.4"/>
    <x v="0"/>
    <n v="20"/>
    <x v="0"/>
    <d v="2024-05-03T00:00:00"/>
    <d v="2024-05-23T00:00:00"/>
  </r>
  <r>
    <n v="457"/>
    <n v="17114"/>
    <x v="1"/>
    <n v="194785.84"/>
    <x v="0"/>
    <n v="38"/>
    <x v="3"/>
    <d v="2024-02-09T00:00:00"/>
    <d v="2024-03-18T00:00:00"/>
  </r>
  <r>
    <n v="458"/>
    <n v="17469"/>
    <x v="0"/>
    <n v="179162.05"/>
    <x v="1"/>
    <n v="11"/>
    <x v="1"/>
    <d v="2024-05-20T00:00:00"/>
    <d v="2024-05-31T00:00:00"/>
  </r>
  <r>
    <n v="459"/>
    <n v="16492"/>
    <x v="3"/>
    <n v="71774.399999999994"/>
    <x v="0"/>
    <n v="22"/>
    <x v="0"/>
    <d v="2024-01-26T00:00:00"/>
    <d v="2024-02-17T00:00:00"/>
  </r>
  <r>
    <n v="460"/>
    <n v="14344"/>
    <x v="0"/>
    <n v="199648.59"/>
    <x v="0"/>
    <n v="18"/>
    <x v="0"/>
    <d v="2024-05-21T00:00:00"/>
    <d v="2024-06-08T00:00:00"/>
  </r>
  <r>
    <n v="461"/>
    <n v="11971"/>
    <x v="3"/>
    <n v="5683.41"/>
    <x v="1"/>
    <n v="4"/>
    <x v="3"/>
    <d v="2024-12-17T00:00:00"/>
    <d v="2024-12-21T00:00:00"/>
  </r>
  <r>
    <n v="462"/>
    <n v="19644"/>
    <x v="3"/>
    <n v="10387.799999999999"/>
    <x v="0"/>
    <n v="8"/>
    <x v="2"/>
    <d v="2024-12-01T00:00:00"/>
    <d v="2024-12-09T00:00:00"/>
  </r>
  <r>
    <n v="463"/>
    <n v="19785"/>
    <x v="3"/>
    <n v="165648.9"/>
    <x v="0"/>
    <n v="42"/>
    <x v="3"/>
    <d v="2024-02-26T00:00:00"/>
    <d v="2024-04-08T00:00:00"/>
  </r>
  <r>
    <n v="464"/>
    <n v="10712"/>
    <x v="2"/>
    <n v="43895.22"/>
    <x v="0"/>
    <n v="38"/>
    <x v="2"/>
    <d v="2024-05-29T00:00:00"/>
    <d v="2024-07-06T00:00:00"/>
  </r>
  <r>
    <n v="465"/>
    <n v="13655"/>
    <x v="0"/>
    <n v="16850.009999999998"/>
    <x v="0"/>
    <n v="37"/>
    <x v="1"/>
    <d v="2024-07-23T00:00:00"/>
    <d v="2024-08-29T00:00:00"/>
  </r>
  <r>
    <n v="466"/>
    <n v="16241"/>
    <x v="1"/>
    <n v="51243.87"/>
    <x v="0"/>
    <n v="4"/>
    <x v="0"/>
    <d v="2024-03-16T00:00:00"/>
    <d v="2024-03-20T00:00:00"/>
  </r>
  <r>
    <n v="467"/>
    <n v="16472"/>
    <x v="1"/>
    <n v="88089.53"/>
    <x v="0"/>
    <n v="14"/>
    <x v="1"/>
    <d v="2024-10-11T00:00:00"/>
    <d v="2024-10-25T00:00:00"/>
  </r>
  <r>
    <n v="468"/>
    <n v="17760"/>
    <x v="1"/>
    <n v="147460.42000000001"/>
    <x v="0"/>
    <n v="42"/>
    <x v="2"/>
    <d v="2024-07-28T00:00:00"/>
    <d v="2024-09-08T00:00:00"/>
  </r>
  <r>
    <n v="469"/>
    <n v="19640"/>
    <x v="2"/>
    <n v="126745.43"/>
    <x v="0"/>
    <n v="31"/>
    <x v="2"/>
    <d v="2024-09-14T00:00:00"/>
    <d v="2024-10-15T00:00:00"/>
  </r>
  <r>
    <n v="470"/>
    <n v="13648"/>
    <x v="3"/>
    <n v="51336.14"/>
    <x v="1"/>
    <n v="24"/>
    <x v="1"/>
    <d v="2024-09-15T00:00:00"/>
    <d v="2024-10-09T00:00:00"/>
  </r>
  <r>
    <n v="471"/>
    <n v="15124"/>
    <x v="3"/>
    <n v="103137.74"/>
    <x v="2"/>
    <m/>
    <x v="2"/>
    <d v="2024-07-02T00:00:00"/>
    <m/>
  </r>
  <r>
    <n v="472"/>
    <n v="18650"/>
    <x v="3"/>
    <n v="185611.75"/>
    <x v="0"/>
    <n v="31"/>
    <x v="1"/>
    <d v="2024-11-23T00:00:00"/>
    <d v="2024-12-24T00:00:00"/>
  </r>
  <r>
    <n v="473"/>
    <n v="12843"/>
    <x v="1"/>
    <n v="163926.51999999999"/>
    <x v="0"/>
    <n v="30"/>
    <x v="0"/>
    <d v="2024-01-11T00:00:00"/>
    <d v="2024-02-10T00:00:00"/>
  </r>
  <r>
    <n v="474"/>
    <n v="17973"/>
    <x v="1"/>
    <n v="68022.009999999995"/>
    <x v="2"/>
    <m/>
    <x v="1"/>
    <d v="2024-06-08T00:00:00"/>
    <m/>
  </r>
  <r>
    <n v="475"/>
    <n v="10592"/>
    <x v="3"/>
    <n v="196541.59"/>
    <x v="0"/>
    <n v="11"/>
    <x v="0"/>
    <d v="2024-09-16T00:00:00"/>
    <d v="2024-09-27T00:00:00"/>
  </r>
  <r>
    <n v="476"/>
    <n v="10497"/>
    <x v="3"/>
    <n v="143180.98000000001"/>
    <x v="0"/>
    <n v="34"/>
    <x v="1"/>
    <d v="2024-03-28T00:00:00"/>
    <d v="2024-05-01T00:00:00"/>
  </r>
  <r>
    <n v="477"/>
    <n v="12134"/>
    <x v="0"/>
    <n v="17177.62"/>
    <x v="2"/>
    <m/>
    <x v="2"/>
    <d v="2024-07-02T00:00:00"/>
    <m/>
  </r>
  <r>
    <n v="478"/>
    <n v="12449"/>
    <x v="3"/>
    <n v="11856.34"/>
    <x v="1"/>
    <n v="30"/>
    <x v="1"/>
    <d v="2024-01-16T00:00:00"/>
    <d v="2024-02-15T00:00:00"/>
  </r>
  <r>
    <n v="479"/>
    <n v="15412"/>
    <x v="1"/>
    <n v="37839.550000000003"/>
    <x v="1"/>
    <n v="30"/>
    <x v="2"/>
    <d v="2024-08-31T00:00:00"/>
    <d v="2024-09-30T00:00:00"/>
  </r>
  <r>
    <n v="480"/>
    <n v="17448"/>
    <x v="2"/>
    <n v="146931.89000000001"/>
    <x v="1"/>
    <n v="22"/>
    <x v="1"/>
    <d v="2024-03-26T00:00:00"/>
    <d v="2024-04-17T00:00:00"/>
  </r>
  <r>
    <n v="481"/>
    <n v="14292"/>
    <x v="3"/>
    <n v="40829.089999999997"/>
    <x v="0"/>
    <n v="2"/>
    <x v="1"/>
    <d v="2024-07-17T00:00:00"/>
    <d v="2024-07-19T00:00:00"/>
  </r>
  <r>
    <n v="482"/>
    <n v="10026"/>
    <x v="3"/>
    <n v="104739.92"/>
    <x v="0"/>
    <n v="35"/>
    <x v="3"/>
    <d v="2024-01-10T00:00:00"/>
    <d v="2024-02-14T00:00:00"/>
  </r>
  <r>
    <n v="483"/>
    <n v="19909"/>
    <x v="1"/>
    <n v="23185.72"/>
    <x v="0"/>
    <n v="33"/>
    <x v="2"/>
    <d v="2024-06-12T00:00:00"/>
    <d v="2024-07-15T00:00:00"/>
  </r>
  <r>
    <n v="484"/>
    <n v="12253"/>
    <x v="0"/>
    <n v="184572.79999999999"/>
    <x v="0"/>
    <n v="15"/>
    <x v="3"/>
    <d v="2024-01-24T00:00:00"/>
    <d v="2024-02-08T00:00:00"/>
  </r>
  <r>
    <n v="485"/>
    <n v="13642"/>
    <x v="1"/>
    <n v="72072.320000000007"/>
    <x v="0"/>
    <n v="38"/>
    <x v="2"/>
    <d v="2024-03-04T00:00:00"/>
    <d v="2024-04-11T00:00:00"/>
  </r>
  <r>
    <n v="486"/>
    <n v="13655"/>
    <x v="2"/>
    <n v="182085.75"/>
    <x v="1"/>
    <n v="36"/>
    <x v="3"/>
    <d v="2024-11-07T00:00:00"/>
    <d v="2024-12-13T00:00:00"/>
  </r>
  <r>
    <n v="487"/>
    <n v="19475"/>
    <x v="3"/>
    <n v="189250.75"/>
    <x v="1"/>
    <n v="25"/>
    <x v="0"/>
    <d v="2024-08-25T00:00:00"/>
    <d v="2024-09-19T00:00:00"/>
  </r>
  <r>
    <n v="488"/>
    <n v="11086"/>
    <x v="1"/>
    <n v="6195.09"/>
    <x v="0"/>
    <n v="2"/>
    <x v="1"/>
    <d v="2024-12-10T00:00:00"/>
    <d v="2024-12-12T00:00:00"/>
  </r>
  <r>
    <n v="489"/>
    <n v="18022"/>
    <x v="1"/>
    <n v="95506.36"/>
    <x v="1"/>
    <n v="7"/>
    <x v="2"/>
    <d v="2024-08-25T00:00:00"/>
    <d v="2024-09-01T00:00:00"/>
  </r>
  <r>
    <n v="490"/>
    <n v="12015"/>
    <x v="0"/>
    <n v="9807.93"/>
    <x v="1"/>
    <n v="5"/>
    <x v="2"/>
    <d v="2024-01-22T00:00:00"/>
    <d v="2024-01-27T00:00:00"/>
  </r>
  <r>
    <n v="491"/>
    <n v="15067"/>
    <x v="3"/>
    <n v="182195.09"/>
    <x v="0"/>
    <n v="39"/>
    <x v="1"/>
    <d v="2024-06-28T00:00:00"/>
    <d v="2024-08-06T00:00:00"/>
  </r>
  <r>
    <n v="492"/>
    <n v="19907"/>
    <x v="0"/>
    <n v="106089.47"/>
    <x v="0"/>
    <n v="2"/>
    <x v="2"/>
    <d v="2024-11-01T00:00:00"/>
    <d v="2024-11-03T00:00:00"/>
  </r>
  <r>
    <n v="493"/>
    <n v="17123"/>
    <x v="1"/>
    <n v="19614.080000000002"/>
    <x v="0"/>
    <n v="42"/>
    <x v="2"/>
    <d v="2024-02-16T00:00:00"/>
    <d v="2024-03-29T00:00:00"/>
  </r>
  <r>
    <n v="494"/>
    <n v="19918"/>
    <x v="3"/>
    <n v="26503.96"/>
    <x v="0"/>
    <n v="32"/>
    <x v="3"/>
    <d v="2024-10-05T00:00:00"/>
    <d v="2024-11-06T00:00:00"/>
  </r>
  <r>
    <n v="495"/>
    <n v="17084"/>
    <x v="3"/>
    <n v="79784.259999999995"/>
    <x v="0"/>
    <n v="37"/>
    <x v="2"/>
    <d v="2024-08-11T00:00:00"/>
    <d v="2024-09-17T00:00:00"/>
  </r>
  <r>
    <n v="496"/>
    <n v="19099"/>
    <x v="0"/>
    <n v="188345.67"/>
    <x v="0"/>
    <n v="10"/>
    <x v="0"/>
    <d v="2024-08-05T00:00:00"/>
    <d v="2024-08-15T00:00:00"/>
  </r>
  <r>
    <n v="497"/>
    <n v="13463"/>
    <x v="3"/>
    <n v="140117.28"/>
    <x v="0"/>
    <n v="42"/>
    <x v="0"/>
    <d v="2024-08-24T00:00:00"/>
    <d v="2024-10-05T00:00:00"/>
  </r>
  <r>
    <n v="498"/>
    <n v="14341"/>
    <x v="3"/>
    <n v="174185.68"/>
    <x v="0"/>
    <n v="24"/>
    <x v="1"/>
    <d v="2024-07-22T00:00:00"/>
    <d v="2024-08-15T00:00:00"/>
  </r>
  <r>
    <n v="499"/>
    <n v="16421"/>
    <x v="3"/>
    <n v="76459.05"/>
    <x v="2"/>
    <m/>
    <x v="2"/>
    <d v="2024-12-04T00:00:00"/>
    <m/>
  </r>
  <r>
    <n v="500"/>
    <n v="14467"/>
    <x v="0"/>
    <n v="13426.67"/>
    <x v="0"/>
    <n v="30"/>
    <x v="1"/>
    <d v="2024-01-19T00:00:00"/>
    <d v="2024-02-18T00:00:00"/>
  </r>
  <r>
    <n v="501"/>
    <n v="19000"/>
    <x v="1"/>
    <n v="194991.94"/>
    <x v="1"/>
    <n v="22"/>
    <x v="0"/>
    <d v="2024-06-28T00:00:00"/>
    <d v="2024-07-20T00:00:00"/>
  </r>
  <r>
    <n v="502"/>
    <n v="12896"/>
    <x v="1"/>
    <n v="8348.73"/>
    <x v="0"/>
    <n v="4"/>
    <x v="2"/>
    <d v="2024-06-10T00:00:00"/>
    <d v="2024-06-14T00:00:00"/>
  </r>
  <r>
    <n v="503"/>
    <n v="13128"/>
    <x v="3"/>
    <n v="189792.07"/>
    <x v="0"/>
    <n v="27"/>
    <x v="2"/>
    <d v="2024-10-11T00:00:00"/>
    <d v="2024-11-07T00:00:00"/>
  </r>
  <r>
    <n v="504"/>
    <n v="14255"/>
    <x v="1"/>
    <n v="76892.100000000006"/>
    <x v="2"/>
    <m/>
    <x v="1"/>
    <d v="2024-03-01T00:00:00"/>
    <m/>
  </r>
  <r>
    <n v="505"/>
    <n v="19342"/>
    <x v="1"/>
    <n v="6967.63"/>
    <x v="0"/>
    <n v="21"/>
    <x v="0"/>
    <d v="2024-03-25T00:00:00"/>
    <d v="2024-04-15T00:00:00"/>
  </r>
  <r>
    <n v="506"/>
    <n v="16880"/>
    <x v="0"/>
    <n v="139385.66"/>
    <x v="0"/>
    <n v="14"/>
    <x v="2"/>
    <d v="2024-02-04T00:00:00"/>
    <d v="2024-02-18T00:00:00"/>
  </r>
  <r>
    <n v="507"/>
    <n v="11334"/>
    <x v="2"/>
    <n v="196205.36"/>
    <x v="1"/>
    <n v="42"/>
    <x v="1"/>
    <d v="2024-01-05T00:00:00"/>
    <d v="2024-02-16T00:00:00"/>
  </r>
  <r>
    <n v="508"/>
    <n v="18709"/>
    <x v="3"/>
    <n v="193297.02"/>
    <x v="0"/>
    <n v="24"/>
    <x v="0"/>
    <d v="2024-03-16T00:00:00"/>
    <d v="2024-04-09T00:00:00"/>
  </r>
  <r>
    <n v="509"/>
    <n v="17078"/>
    <x v="1"/>
    <n v="36382.720000000001"/>
    <x v="0"/>
    <n v="16"/>
    <x v="1"/>
    <d v="2024-09-09T00:00:00"/>
    <d v="2024-09-25T00:00:00"/>
  </r>
  <r>
    <n v="510"/>
    <n v="11288"/>
    <x v="3"/>
    <n v="40343.32"/>
    <x v="0"/>
    <n v="32"/>
    <x v="3"/>
    <d v="2024-01-07T00:00:00"/>
    <d v="2024-02-08T00:00:00"/>
  </r>
  <r>
    <n v="511"/>
    <n v="18937"/>
    <x v="1"/>
    <n v="115280.09"/>
    <x v="1"/>
    <n v="5"/>
    <x v="2"/>
    <d v="2024-06-17T00:00:00"/>
    <d v="2024-06-22T00:00:00"/>
  </r>
  <r>
    <n v="512"/>
    <n v="15647"/>
    <x v="3"/>
    <n v="129274.44"/>
    <x v="0"/>
    <n v="12"/>
    <x v="3"/>
    <d v="2024-05-09T00:00:00"/>
    <d v="2024-05-21T00:00:00"/>
  </r>
  <r>
    <n v="513"/>
    <n v="15928"/>
    <x v="3"/>
    <n v="149186.49"/>
    <x v="0"/>
    <n v="3"/>
    <x v="0"/>
    <d v="2024-05-17T00:00:00"/>
    <d v="2024-05-20T00:00:00"/>
  </r>
  <r>
    <n v="514"/>
    <n v="14802"/>
    <x v="3"/>
    <n v="40304.82"/>
    <x v="0"/>
    <n v="17"/>
    <x v="3"/>
    <d v="2024-12-23T00:00:00"/>
    <d v="2025-01-09T00:00:00"/>
  </r>
  <r>
    <n v="515"/>
    <n v="10697"/>
    <x v="1"/>
    <n v="192006.38"/>
    <x v="0"/>
    <n v="32"/>
    <x v="3"/>
    <d v="2024-10-26T00:00:00"/>
    <d v="2024-11-27T00:00:00"/>
  </r>
  <r>
    <n v="516"/>
    <n v="10474"/>
    <x v="3"/>
    <n v="129554.15"/>
    <x v="1"/>
    <n v="40"/>
    <x v="0"/>
    <d v="2024-11-21T00:00:00"/>
    <d v="2024-12-31T00:00:00"/>
  </r>
  <r>
    <n v="517"/>
    <n v="17696"/>
    <x v="1"/>
    <n v="170174.15"/>
    <x v="0"/>
    <n v="44"/>
    <x v="1"/>
    <d v="2024-03-31T00:00:00"/>
    <d v="2024-05-14T00:00:00"/>
  </r>
  <r>
    <n v="518"/>
    <n v="16532"/>
    <x v="3"/>
    <n v="110312.81"/>
    <x v="0"/>
    <n v="5"/>
    <x v="3"/>
    <d v="2024-06-11T00:00:00"/>
    <d v="2024-06-16T00:00:00"/>
  </r>
  <r>
    <n v="519"/>
    <n v="18702"/>
    <x v="3"/>
    <n v="85783.99"/>
    <x v="0"/>
    <n v="29"/>
    <x v="1"/>
    <d v="2024-11-13T00:00:00"/>
    <d v="2024-12-12T00:00:00"/>
  </r>
  <r>
    <n v="520"/>
    <n v="18729"/>
    <x v="1"/>
    <n v="195550.67"/>
    <x v="1"/>
    <n v="17"/>
    <x v="3"/>
    <d v="2024-09-09T00:00:00"/>
    <d v="2024-09-26T00:00:00"/>
  </r>
  <r>
    <n v="521"/>
    <n v="12944"/>
    <x v="3"/>
    <n v="118513.67"/>
    <x v="0"/>
    <n v="40"/>
    <x v="1"/>
    <d v="2024-07-19T00:00:00"/>
    <d v="2024-08-28T00:00:00"/>
  </r>
  <r>
    <n v="522"/>
    <n v="15632"/>
    <x v="3"/>
    <n v="174040.35"/>
    <x v="1"/>
    <n v="26"/>
    <x v="0"/>
    <d v="2024-01-20T00:00:00"/>
    <d v="2024-02-15T00:00:00"/>
  </r>
  <r>
    <n v="523"/>
    <n v="15384"/>
    <x v="1"/>
    <n v="190892.02"/>
    <x v="1"/>
    <n v="14"/>
    <x v="3"/>
    <d v="2024-08-16T00:00:00"/>
    <d v="2024-08-30T00:00:00"/>
  </r>
  <r>
    <n v="524"/>
    <n v="11366"/>
    <x v="3"/>
    <n v="136694.15"/>
    <x v="0"/>
    <n v="6"/>
    <x v="0"/>
    <d v="2024-06-11T00:00:00"/>
    <d v="2024-06-17T00:00:00"/>
  </r>
  <r>
    <n v="525"/>
    <n v="11061"/>
    <x v="3"/>
    <n v="112043.04"/>
    <x v="0"/>
    <n v="31"/>
    <x v="3"/>
    <d v="2024-06-13T00:00:00"/>
    <d v="2024-07-14T00:00:00"/>
  </r>
  <r>
    <n v="526"/>
    <n v="12307"/>
    <x v="3"/>
    <n v="5684.62"/>
    <x v="0"/>
    <n v="2"/>
    <x v="0"/>
    <d v="2024-08-19T00:00:00"/>
    <d v="2024-08-21T00:00:00"/>
  </r>
  <r>
    <n v="527"/>
    <n v="10307"/>
    <x v="2"/>
    <n v="12803.83"/>
    <x v="1"/>
    <n v="6"/>
    <x v="0"/>
    <d v="2024-11-23T00:00:00"/>
    <d v="2024-11-29T00:00:00"/>
  </r>
  <r>
    <n v="528"/>
    <n v="19188"/>
    <x v="1"/>
    <n v="44165.99"/>
    <x v="0"/>
    <n v="15"/>
    <x v="3"/>
    <d v="2024-08-25T00:00:00"/>
    <d v="2024-09-09T00:00:00"/>
  </r>
  <r>
    <n v="529"/>
    <n v="19476"/>
    <x v="1"/>
    <n v="41271.64"/>
    <x v="0"/>
    <n v="12"/>
    <x v="3"/>
    <d v="2024-04-29T00:00:00"/>
    <d v="2024-05-11T00:00:00"/>
  </r>
  <r>
    <n v="530"/>
    <n v="19321"/>
    <x v="1"/>
    <n v="54677.97"/>
    <x v="1"/>
    <n v="35"/>
    <x v="3"/>
    <d v="2024-12-16T00:00:00"/>
    <d v="2025-01-20T00:00:00"/>
  </r>
  <r>
    <n v="531"/>
    <n v="10303"/>
    <x v="3"/>
    <n v="64462.25"/>
    <x v="0"/>
    <n v="30"/>
    <x v="2"/>
    <d v="2024-04-16T00:00:00"/>
    <d v="2024-05-16T00:00:00"/>
  </r>
  <r>
    <n v="532"/>
    <n v="16486"/>
    <x v="3"/>
    <n v="75212.77"/>
    <x v="0"/>
    <n v="19"/>
    <x v="1"/>
    <d v="2024-09-06T00:00:00"/>
    <d v="2024-09-25T00:00:00"/>
  </r>
  <r>
    <n v="533"/>
    <n v="15566"/>
    <x v="1"/>
    <n v="87004.85"/>
    <x v="0"/>
    <n v="16"/>
    <x v="2"/>
    <d v="2024-12-01T00:00:00"/>
    <d v="2024-12-17T00:00:00"/>
  </r>
  <r>
    <n v="534"/>
    <n v="15157"/>
    <x v="3"/>
    <n v="24278.94"/>
    <x v="0"/>
    <n v="26"/>
    <x v="2"/>
    <d v="2024-10-10T00:00:00"/>
    <d v="2024-11-05T00:00:00"/>
  </r>
  <r>
    <n v="535"/>
    <n v="13891"/>
    <x v="3"/>
    <n v="13260.58"/>
    <x v="1"/>
    <n v="31"/>
    <x v="0"/>
    <d v="2024-07-16T00:00:00"/>
    <d v="2024-08-16T00:00:00"/>
  </r>
  <r>
    <n v="536"/>
    <n v="19046"/>
    <x v="3"/>
    <n v="136419.17000000001"/>
    <x v="0"/>
    <n v="3"/>
    <x v="3"/>
    <d v="2024-08-07T00:00:00"/>
    <d v="2024-08-10T00:00:00"/>
  </r>
  <r>
    <n v="537"/>
    <n v="19937"/>
    <x v="3"/>
    <n v="109780.29"/>
    <x v="0"/>
    <n v="41"/>
    <x v="1"/>
    <d v="2024-05-30T00:00:00"/>
    <d v="2024-07-10T00:00:00"/>
  </r>
  <r>
    <n v="538"/>
    <n v="15724"/>
    <x v="2"/>
    <n v="91608.12"/>
    <x v="1"/>
    <n v="28"/>
    <x v="0"/>
    <d v="2024-10-12T00:00:00"/>
    <d v="2024-11-09T00:00:00"/>
  </r>
  <r>
    <n v="539"/>
    <n v="16280"/>
    <x v="3"/>
    <n v="128715.79"/>
    <x v="0"/>
    <n v="16"/>
    <x v="2"/>
    <d v="2024-09-21T00:00:00"/>
    <d v="2024-10-07T00:00:00"/>
  </r>
  <r>
    <n v="540"/>
    <n v="15350"/>
    <x v="1"/>
    <n v="166397.48000000001"/>
    <x v="2"/>
    <m/>
    <x v="3"/>
    <d v="2024-08-07T00:00:00"/>
    <m/>
  </r>
  <r>
    <n v="541"/>
    <n v="19009"/>
    <x v="3"/>
    <n v="88400.12"/>
    <x v="2"/>
    <m/>
    <x v="0"/>
    <d v="2024-08-03T00:00:00"/>
    <m/>
  </r>
  <r>
    <n v="542"/>
    <n v="19164"/>
    <x v="2"/>
    <n v="130018.3"/>
    <x v="0"/>
    <n v="15"/>
    <x v="3"/>
    <d v="2024-11-10T00:00:00"/>
    <d v="2024-11-25T00:00:00"/>
  </r>
  <r>
    <n v="543"/>
    <n v="14133"/>
    <x v="3"/>
    <n v="190946.58"/>
    <x v="0"/>
    <n v="28"/>
    <x v="0"/>
    <d v="2024-06-04T00:00:00"/>
    <d v="2024-07-02T00:00:00"/>
  </r>
  <r>
    <n v="544"/>
    <n v="19370"/>
    <x v="3"/>
    <n v="168726.78"/>
    <x v="1"/>
    <n v="4"/>
    <x v="3"/>
    <d v="2024-08-03T00:00:00"/>
    <d v="2024-08-07T00:00:00"/>
  </r>
  <r>
    <n v="545"/>
    <n v="10104"/>
    <x v="1"/>
    <n v="88070.16"/>
    <x v="0"/>
    <n v="4"/>
    <x v="2"/>
    <d v="2024-11-30T00:00:00"/>
    <d v="2024-12-04T00:00:00"/>
  </r>
  <r>
    <n v="546"/>
    <n v="18446"/>
    <x v="1"/>
    <n v="130719.78"/>
    <x v="0"/>
    <n v="14"/>
    <x v="1"/>
    <d v="2024-12-24T00:00:00"/>
    <d v="2025-01-07T00:00:00"/>
  </r>
  <r>
    <n v="547"/>
    <n v="17571"/>
    <x v="3"/>
    <n v="39528.83"/>
    <x v="1"/>
    <n v="26"/>
    <x v="2"/>
    <d v="2024-04-23T00:00:00"/>
    <d v="2024-05-19T00:00:00"/>
  </r>
  <r>
    <n v="548"/>
    <n v="16601"/>
    <x v="3"/>
    <n v="114301.83"/>
    <x v="0"/>
    <n v="19"/>
    <x v="1"/>
    <d v="2024-06-09T00:00:00"/>
    <d v="2024-06-28T00:00:00"/>
  </r>
  <r>
    <n v="549"/>
    <n v="16671"/>
    <x v="3"/>
    <n v="196359.02"/>
    <x v="1"/>
    <n v="2"/>
    <x v="3"/>
    <d v="2024-10-29T00:00:00"/>
    <d v="2024-10-31T00:00:00"/>
  </r>
  <r>
    <n v="550"/>
    <n v="18782"/>
    <x v="3"/>
    <n v="106071.45"/>
    <x v="0"/>
    <n v="40"/>
    <x v="0"/>
    <d v="2024-04-07T00:00:00"/>
    <d v="2024-05-17T00:00:00"/>
  </r>
  <r>
    <n v="551"/>
    <n v="18716"/>
    <x v="3"/>
    <n v="185889.47"/>
    <x v="0"/>
    <n v="6"/>
    <x v="2"/>
    <d v="2024-06-05T00:00:00"/>
    <d v="2024-06-11T00:00:00"/>
  </r>
  <r>
    <n v="552"/>
    <n v="18561"/>
    <x v="3"/>
    <n v="84430.31"/>
    <x v="0"/>
    <n v="3"/>
    <x v="1"/>
    <d v="2024-06-10T00:00:00"/>
    <d v="2024-06-13T00:00:00"/>
  </r>
  <r>
    <n v="553"/>
    <n v="12963"/>
    <x v="3"/>
    <n v="199774.74"/>
    <x v="2"/>
    <m/>
    <x v="2"/>
    <d v="2024-02-11T00:00:00"/>
    <m/>
  </r>
  <r>
    <n v="554"/>
    <n v="18855"/>
    <x v="3"/>
    <n v="117947.91"/>
    <x v="0"/>
    <n v="18"/>
    <x v="1"/>
    <d v="2024-06-28T00:00:00"/>
    <d v="2024-07-16T00:00:00"/>
  </r>
  <r>
    <n v="555"/>
    <n v="10689"/>
    <x v="1"/>
    <n v="13242.45"/>
    <x v="1"/>
    <n v="30"/>
    <x v="2"/>
    <d v="2024-10-29T00:00:00"/>
    <d v="2024-11-28T00:00:00"/>
  </r>
  <r>
    <n v="556"/>
    <n v="16743"/>
    <x v="2"/>
    <n v="119417.19"/>
    <x v="0"/>
    <n v="43"/>
    <x v="1"/>
    <d v="2024-11-25T00:00:00"/>
    <d v="2025-01-07T00:00:00"/>
  </r>
  <r>
    <n v="557"/>
    <n v="12588"/>
    <x v="1"/>
    <n v="58541.68"/>
    <x v="0"/>
    <n v="5"/>
    <x v="1"/>
    <d v="2024-02-20T00:00:00"/>
    <d v="2024-02-25T00:00:00"/>
  </r>
  <r>
    <n v="558"/>
    <n v="11535"/>
    <x v="3"/>
    <n v="11333.86"/>
    <x v="0"/>
    <n v="10"/>
    <x v="3"/>
    <d v="2024-09-08T00:00:00"/>
    <d v="2024-09-18T00:00:00"/>
  </r>
  <r>
    <n v="559"/>
    <n v="12028"/>
    <x v="3"/>
    <n v="165066.39000000001"/>
    <x v="0"/>
    <n v="22"/>
    <x v="1"/>
    <d v="2024-12-15T00:00:00"/>
    <d v="2025-01-06T00:00:00"/>
  </r>
  <r>
    <n v="560"/>
    <n v="11856"/>
    <x v="2"/>
    <n v="58767.28"/>
    <x v="0"/>
    <n v="44"/>
    <x v="3"/>
    <d v="2024-04-29T00:00:00"/>
    <d v="2024-06-12T00:00:00"/>
  </r>
  <r>
    <n v="561"/>
    <n v="13186"/>
    <x v="3"/>
    <n v="160326.97"/>
    <x v="0"/>
    <n v="13"/>
    <x v="1"/>
    <d v="2024-03-15T00:00:00"/>
    <d v="2024-03-28T00:00:00"/>
  </r>
  <r>
    <n v="562"/>
    <n v="12769"/>
    <x v="3"/>
    <n v="61202.43"/>
    <x v="0"/>
    <n v="13"/>
    <x v="0"/>
    <d v="2024-06-10T00:00:00"/>
    <d v="2024-06-23T00:00:00"/>
  </r>
  <r>
    <n v="563"/>
    <n v="16085"/>
    <x v="1"/>
    <n v="42893.64"/>
    <x v="2"/>
    <m/>
    <x v="0"/>
    <d v="2024-05-28T00:00:00"/>
    <m/>
  </r>
  <r>
    <n v="564"/>
    <n v="16486"/>
    <x v="1"/>
    <n v="194917.44"/>
    <x v="0"/>
    <n v="29"/>
    <x v="0"/>
    <d v="2024-05-02T00:00:00"/>
    <d v="2024-05-31T00:00:00"/>
  </r>
  <r>
    <n v="565"/>
    <n v="17241"/>
    <x v="1"/>
    <n v="75520.84"/>
    <x v="2"/>
    <m/>
    <x v="1"/>
    <d v="2024-05-20T00:00:00"/>
    <m/>
  </r>
  <r>
    <n v="566"/>
    <n v="12987"/>
    <x v="3"/>
    <n v="122268.36"/>
    <x v="0"/>
    <n v="41"/>
    <x v="3"/>
    <d v="2024-06-30T00:00:00"/>
    <d v="2024-08-10T00:00:00"/>
  </r>
  <r>
    <n v="567"/>
    <n v="18135"/>
    <x v="3"/>
    <n v="123946.39"/>
    <x v="0"/>
    <n v="33"/>
    <x v="3"/>
    <d v="2024-10-03T00:00:00"/>
    <d v="2024-11-05T00:00:00"/>
  </r>
  <r>
    <n v="568"/>
    <n v="16090"/>
    <x v="2"/>
    <n v="114292.33"/>
    <x v="0"/>
    <n v="14"/>
    <x v="1"/>
    <d v="2024-09-13T00:00:00"/>
    <d v="2024-09-27T00:00:00"/>
  </r>
  <r>
    <n v="569"/>
    <n v="19340"/>
    <x v="3"/>
    <n v="183365.67"/>
    <x v="0"/>
    <n v="35"/>
    <x v="0"/>
    <d v="2024-11-20T00:00:00"/>
    <d v="2024-12-25T00:00:00"/>
  </r>
  <r>
    <n v="570"/>
    <n v="10780"/>
    <x v="1"/>
    <n v="136516.01"/>
    <x v="0"/>
    <n v="20"/>
    <x v="0"/>
    <d v="2024-09-01T00:00:00"/>
    <d v="2024-09-21T00:00:00"/>
  </r>
  <r>
    <n v="571"/>
    <n v="14405"/>
    <x v="1"/>
    <n v="83727.94"/>
    <x v="0"/>
    <n v="15"/>
    <x v="3"/>
    <d v="2024-03-26T00:00:00"/>
    <d v="2024-04-10T00:00:00"/>
  </r>
  <r>
    <n v="572"/>
    <n v="12153"/>
    <x v="1"/>
    <n v="173164.17"/>
    <x v="0"/>
    <n v="6"/>
    <x v="0"/>
    <d v="2024-03-11T00:00:00"/>
    <d v="2024-03-17T00:00:00"/>
  </r>
  <r>
    <n v="573"/>
    <n v="18747"/>
    <x v="3"/>
    <n v="40307.269999999997"/>
    <x v="1"/>
    <n v="28"/>
    <x v="2"/>
    <d v="2024-09-25T00:00:00"/>
    <d v="2024-10-23T00:00:00"/>
  </r>
  <r>
    <n v="574"/>
    <n v="13296"/>
    <x v="3"/>
    <n v="111126.17"/>
    <x v="0"/>
    <n v="29"/>
    <x v="3"/>
    <d v="2024-06-28T00:00:00"/>
    <d v="2024-07-27T00:00:00"/>
  </r>
  <r>
    <n v="575"/>
    <n v="13313"/>
    <x v="1"/>
    <n v="190357.32"/>
    <x v="1"/>
    <n v="27"/>
    <x v="0"/>
    <d v="2024-10-05T00:00:00"/>
    <d v="2024-11-01T00:00:00"/>
  </r>
  <r>
    <n v="576"/>
    <n v="14492"/>
    <x v="0"/>
    <n v="126952.54"/>
    <x v="0"/>
    <n v="11"/>
    <x v="3"/>
    <d v="2024-05-28T00:00:00"/>
    <d v="2024-06-08T00:00:00"/>
  </r>
  <r>
    <n v="577"/>
    <n v="16296"/>
    <x v="2"/>
    <n v="164308.85"/>
    <x v="0"/>
    <n v="25"/>
    <x v="2"/>
    <d v="2024-01-06T00:00:00"/>
    <d v="2024-01-31T00:00:00"/>
  </r>
  <r>
    <n v="578"/>
    <n v="12583"/>
    <x v="3"/>
    <n v="132444.34"/>
    <x v="0"/>
    <n v="18"/>
    <x v="3"/>
    <d v="2024-05-27T00:00:00"/>
    <d v="2024-06-14T00:00:00"/>
  </r>
  <r>
    <n v="579"/>
    <n v="13043"/>
    <x v="3"/>
    <n v="168677.32"/>
    <x v="0"/>
    <n v="17"/>
    <x v="3"/>
    <d v="2024-11-27T00:00:00"/>
    <d v="2024-12-14T00:00:00"/>
  </r>
  <r>
    <n v="580"/>
    <n v="17569"/>
    <x v="2"/>
    <n v="189175.14"/>
    <x v="0"/>
    <n v="18"/>
    <x v="3"/>
    <d v="2024-06-16T00:00:00"/>
    <d v="2024-07-04T00:00:00"/>
  </r>
  <r>
    <n v="581"/>
    <n v="15979"/>
    <x v="1"/>
    <n v="58219.74"/>
    <x v="0"/>
    <n v="2"/>
    <x v="3"/>
    <d v="2024-01-09T00:00:00"/>
    <d v="2024-01-11T00:00:00"/>
  </r>
  <r>
    <n v="582"/>
    <n v="11169"/>
    <x v="0"/>
    <n v="38083.910000000003"/>
    <x v="0"/>
    <n v="22"/>
    <x v="2"/>
    <d v="2024-06-26T00:00:00"/>
    <d v="2024-07-18T00:00:00"/>
  </r>
  <r>
    <n v="583"/>
    <n v="13262"/>
    <x v="3"/>
    <n v="99378.2"/>
    <x v="0"/>
    <n v="44"/>
    <x v="1"/>
    <d v="2024-10-10T00:00:00"/>
    <d v="2024-11-23T00:00:00"/>
  </r>
  <r>
    <n v="584"/>
    <n v="17036"/>
    <x v="1"/>
    <n v="141863.17000000001"/>
    <x v="0"/>
    <n v="23"/>
    <x v="3"/>
    <d v="2024-04-25T00:00:00"/>
    <d v="2024-05-18T00:00:00"/>
  </r>
  <r>
    <n v="585"/>
    <n v="16726"/>
    <x v="1"/>
    <n v="49302.29"/>
    <x v="0"/>
    <n v="6"/>
    <x v="3"/>
    <d v="2024-04-05T00:00:00"/>
    <d v="2024-04-11T00:00:00"/>
  </r>
  <r>
    <n v="586"/>
    <n v="14022"/>
    <x v="1"/>
    <n v="5799.78"/>
    <x v="0"/>
    <n v="37"/>
    <x v="0"/>
    <d v="2024-11-26T00:00:00"/>
    <d v="2025-01-02T00:00:00"/>
  </r>
  <r>
    <n v="587"/>
    <n v="18392"/>
    <x v="3"/>
    <n v="71872.350000000006"/>
    <x v="2"/>
    <m/>
    <x v="3"/>
    <d v="2024-12-09T00:00:00"/>
    <m/>
  </r>
  <r>
    <n v="588"/>
    <n v="11890"/>
    <x v="3"/>
    <n v="193927.57"/>
    <x v="1"/>
    <n v="10"/>
    <x v="0"/>
    <d v="2024-02-25T00:00:00"/>
    <d v="2024-03-06T00:00:00"/>
  </r>
  <r>
    <n v="589"/>
    <n v="18203"/>
    <x v="1"/>
    <n v="140518.65"/>
    <x v="0"/>
    <n v="28"/>
    <x v="1"/>
    <d v="2024-07-25T00:00:00"/>
    <d v="2024-08-22T00:00:00"/>
  </r>
  <r>
    <n v="590"/>
    <n v="15171"/>
    <x v="3"/>
    <n v="83258.460000000006"/>
    <x v="1"/>
    <n v="13"/>
    <x v="2"/>
    <d v="2024-04-14T00:00:00"/>
    <d v="2024-04-27T00:00:00"/>
  </r>
  <r>
    <n v="591"/>
    <n v="19517"/>
    <x v="3"/>
    <n v="42552.34"/>
    <x v="1"/>
    <n v="19"/>
    <x v="2"/>
    <d v="2024-02-04T00:00:00"/>
    <d v="2024-02-23T00:00:00"/>
  </r>
  <r>
    <n v="592"/>
    <n v="16664"/>
    <x v="2"/>
    <n v="74437.490000000005"/>
    <x v="0"/>
    <n v="36"/>
    <x v="1"/>
    <d v="2024-07-27T00:00:00"/>
    <d v="2024-09-01T00:00:00"/>
  </r>
  <r>
    <n v="593"/>
    <n v="17307"/>
    <x v="3"/>
    <n v="38118.69"/>
    <x v="0"/>
    <n v="16"/>
    <x v="2"/>
    <d v="2024-10-07T00:00:00"/>
    <d v="2024-10-23T00:00:00"/>
  </r>
  <r>
    <n v="594"/>
    <n v="16243"/>
    <x v="0"/>
    <n v="25729.64"/>
    <x v="2"/>
    <m/>
    <x v="1"/>
    <d v="2024-12-20T00:00:00"/>
    <m/>
  </r>
  <r>
    <n v="595"/>
    <n v="13556"/>
    <x v="3"/>
    <n v="181814.76"/>
    <x v="0"/>
    <n v="34"/>
    <x v="1"/>
    <d v="2024-05-26T00:00:00"/>
    <d v="2024-06-29T00:00:00"/>
  </r>
  <r>
    <n v="596"/>
    <n v="17304"/>
    <x v="1"/>
    <n v="199541.82"/>
    <x v="2"/>
    <m/>
    <x v="1"/>
    <d v="2024-10-13T00:00:00"/>
    <m/>
  </r>
  <r>
    <n v="597"/>
    <n v="14966"/>
    <x v="2"/>
    <n v="37002.32"/>
    <x v="0"/>
    <n v="41"/>
    <x v="2"/>
    <d v="2024-03-21T00:00:00"/>
    <d v="2024-05-01T00:00:00"/>
  </r>
  <r>
    <n v="598"/>
    <n v="10365"/>
    <x v="3"/>
    <n v="15631.9"/>
    <x v="0"/>
    <n v="31"/>
    <x v="0"/>
    <d v="2024-02-19T00:00:00"/>
    <d v="2024-03-21T00:00:00"/>
  </r>
  <r>
    <n v="599"/>
    <n v="18051"/>
    <x v="3"/>
    <n v="69297.570000000007"/>
    <x v="0"/>
    <n v="27"/>
    <x v="1"/>
    <d v="2024-03-27T00:00:00"/>
    <d v="2024-04-23T00:00:00"/>
  </r>
  <r>
    <n v="600"/>
    <n v="10656"/>
    <x v="3"/>
    <n v="95023.54"/>
    <x v="0"/>
    <n v="22"/>
    <x v="3"/>
    <d v="2024-07-09T00:00:00"/>
    <d v="2024-07-31T00:00:00"/>
  </r>
  <r>
    <n v="601"/>
    <n v="18352"/>
    <x v="3"/>
    <n v="44940.14"/>
    <x v="1"/>
    <n v="38"/>
    <x v="2"/>
    <d v="2024-10-29T00:00:00"/>
    <d v="2024-12-06T00:00:00"/>
  </r>
  <r>
    <n v="602"/>
    <n v="18366"/>
    <x v="1"/>
    <n v="63777.86"/>
    <x v="2"/>
    <m/>
    <x v="1"/>
    <d v="2024-01-01T00:00:00"/>
    <m/>
  </r>
  <r>
    <n v="603"/>
    <n v="13470"/>
    <x v="2"/>
    <n v="44169.79"/>
    <x v="0"/>
    <n v="32"/>
    <x v="1"/>
    <d v="2024-05-17T00:00:00"/>
    <d v="2024-06-18T00:00:00"/>
  </r>
  <r>
    <n v="604"/>
    <n v="14060"/>
    <x v="3"/>
    <n v="155980.81"/>
    <x v="0"/>
    <n v="18"/>
    <x v="3"/>
    <d v="2024-05-15T00:00:00"/>
    <d v="2024-06-02T00:00:00"/>
  </r>
  <r>
    <n v="605"/>
    <n v="15599"/>
    <x v="3"/>
    <n v="143952.70000000001"/>
    <x v="1"/>
    <n v="18"/>
    <x v="0"/>
    <d v="2024-12-27T00:00:00"/>
    <d v="2025-01-14T00:00:00"/>
  </r>
  <r>
    <n v="606"/>
    <n v="10544"/>
    <x v="3"/>
    <n v="128815.55"/>
    <x v="0"/>
    <n v="35"/>
    <x v="0"/>
    <d v="2024-06-02T00:00:00"/>
    <d v="2024-07-07T00:00:00"/>
  </r>
  <r>
    <n v="607"/>
    <n v="16426"/>
    <x v="1"/>
    <n v="80507.48"/>
    <x v="0"/>
    <n v="25"/>
    <x v="0"/>
    <d v="2024-06-10T00:00:00"/>
    <d v="2024-07-05T00:00:00"/>
  </r>
  <r>
    <n v="608"/>
    <n v="11761"/>
    <x v="3"/>
    <n v="182262.98"/>
    <x v="0"/>
    <n v="34"/>
    <x v="1"/>
    <d v="2024-01-19T00:00:00"/>
    <d v="2024-02-22T00:00:00"/>
  </r>
  <r>
    <n v="609"/>
    <n v="10956"/>
    <x v="1"/>
    <n v="194058.85"/>
    <x v="1"/>
    <n v="5"/>
    <x v="1"/>
    <d v="2024-11-23T00:00:00"/>
    <d v="2024-11-28T00:00:00"/>
  </r>
  <r>
    <n v="610"/>
    <n v="18643"/>
    <x v="1"/>
    <n v="38859.67"/>
    <x v="1"/>
    <n v="10"/>
    <x v="1"/>
    <d v="2024-08-30T00:00:00"/>
    <d v="2024-09-09T00:00:00"/>
  </r>
  <r>
    <n v="611"/>
    <n v="18176"/>
    <x v="1"/>
    <n v="48487.47"/>
    <x v="0"/>
    <n v="3"/>
    <x v="2"/>
    <d v="2024-05-08T00:00:00"/>
    <d v="2024-05-11T00:00:00"/>
  </r>
  <r>
    <n v="612"/>
    <n v="17791"/>
    <x v="3"/>
    <n v="107498.05"/>
    <x v="0"/>
    <n v="36"/>
    <x v="3"/>
    <d v="2024-06-24T00:00:00"/>
    <d v="2024-07-30T00:00:00"/>
  </r>
  <r>
    <n v="613"/>
    <n v="18273"/>
    <x v="1"/>
    <n v="22793.86"/>
    <x v="2"/>
    <m/>
    <x v="1"/>
    <d v="2024-10-06T00:00:00"/>
    <m/>
  </r>
  <r>
    <n v="614"/>
    <n v="11236"/>
    <x v="3"/>
    <n v="90107.44"/>
    <x v="0"/>
    <n v="16"/>
    <x v="3"/>
    <d v="2024-03-24T00:00:00"/>
    <d v="2024-04-09T00:00:00"/>
  </r>
  <r>
    <n v="615"/>
    <n v="14911"/>
    <x v="3"/>
    <n v="118449.3"/>
    <x v="0"/>
    <n v="44"/>
    <x v="3"/>
    <d v="2024-08-09T00:00:00"/>
    <d v="2024-09-22T00:00:00"/>
  </r>
  <r>
    <n v="616"/>
    <n v="16277"/>
    <x v="0"/>
    <n v="106804.35"/>
    <x v="0"/>
    <n v="43"/>
    <x v="0"/>
    <d v="2024-11-20T00:00:00"/>
    <d v="2025-01-02T00:00:00"/>
  </r>
  <r>
    <n v="617"/>
    <n v="10446"/>
    <x v="1"/>
    <n v="69527.17"/>
    <x v="1"/>
    <n v="4"/>
    <x v="2"/>
    <d v="2024-05-24T00:00:00"/>
    <d v="2024-05-28T00:00:00"/>
  </r>
  <r>
    <n v="618"/>
    <n v="12165"/>
    <x v="3"/>
    <n v="110776.93"/>
    <x v="0"/>
    <n v="32"/>
    <x v="1"/>
    <d v="2024-04-15T00:00:00"/>
    <d v="2024-05-17T00:00:00"/>
  </r>
  <r>
    <n v="619"/>
    <n v="11619"/>
    <x v="3"/>
    <n v="191966.19"/>
    <x v="0"/>
    <n v="42"/>
    <x v="0"/>
    <d v="2024-11-20T00:00:00"/>
    <d v="2025-01-01T00:00:00"/>
  </r>
  <r>
    <n v="620"/>
    <n v="11793"/>
    <x v="3"/>
    <n v="45173.39"/>
    <x v="0"/>
    <n v="43"/>
    <x v="0"/>
    <d v="2024-01-11T00:00:00"/>
    <d v="2024-02-23T00:00:00"/>
  </r>
  <r>
    <n v="621"/>
    <n v="19365"/>
    <x v="3"/>
    <n v="132692.10999999999"/>
    <x v="0"/>
    <n v="24"/>
    <x v="1"/>
    <d v="2024-06-14T00:00:00"/>
    <d v="2024-07-08T00:00:00"/>
  </r>
  <r>
    <n v="622"/>
    <n v="16005"/>
    <x v="3"/>
    <n v="13462.36"/>
    <x v="0"/>
    <n v="13"/>
    <x v="3"/>
    <d v="2024-07-14T00:00:00"/>
    <d v="2024-07-27T00:00:00"/>
  </r>
  <r>
    <n v="623"/>
    <n v="10645"/>
    <x v="3"/>
    <n v="17951.2"/>
    <x v="0"/>
    <n v="9"/>
    <x v="0"/>
    <d v="2024-08-18T00:00:00"/>
    <d v="2024-08-27T00:00:00"/>
  </r>
  <r>
    <n v="624"/>
    <n v="10378"/>
    <x v="3"/>
    <n v="112606.5"/>
    <x v="0"/>
    <n v="22"/>
    <x v="3"/>
    <d v="2024-05-26T00:00:00"/>
    <d v="2024-06-17T00:00:00"/>
  </r>
  <r>
    <n v="625"/>
    <n v="12655"/>
    <x v="1"/>
    <n v="25463.14"/>
    <x v="0"/>
    <n v="22"/>
    <x v="2"/>
    <d v="2024-12-24T00:00:00"/>
    <d v="2025-01-15T00:00:00"/>
  </r>
  <r>
    <n v="626"/>
    <n v="17109"/>
    <x v="1"/>
    <n v="9357.6200000000008"/>
    <x v="0"/>
    <n v="33"/>
    <x v="3"/>
    <d v="2024-08-25T00:00:00"/>
    <d v="2024-09-27T00:00:00"/>
  </r>
  <r>
    <n v="627"/>
    <n v="13584"/>
    <x v="1"/>
    <n v="38445.03"/>
    <x v="0"/>
    <n v="18"/>
    <x v="2"/>
    <d v="2024-01-13T00:00:00"/>
    <d v="2024-01-31T00:00:00"/>
  </r>
  <r>
    <n v="628"/>
    <n v="11140"/>
    <x v="3"/>
    <n v="115145.59"/>
    <x v="2"/>
    <m/>
    <x v="3"/>
    <d v="2024-08-06T00:00:00"/>
    <m/>
  </r>
  <r>
    <n v="629"/>
    <n v="13735"/>
    <x v="2"/>
    <n v="142151.49"/>
    <x v="1"/>
    <n v="25"/>
    <x v="0"/>
    <d v="2024-09-13T00:00:00"/>
    <d v="2024-10-08T00:00:00"/>
  </r>
  <r>
    <n v="630"/>
    <n v="10661"/>
    <x v="0"/>
    <n v="44483.32"/>
    <x v="0"/>
    <n v="9"/>
    <x v="0"/>
    <d v="2024-01-02T00:00:00"/>
    <d v="2024-01-11T00:00:00"/>
  </r>
  <r>
    <n v="631"/>
    <n v="15436"/>
    <x v="0"/>
    <n v="135310.59"/>
    <x v="1"/>
    <n v="19"/>
    <x v="2"/>
    <d v="2024-07-28T00:00:00"/>
    <d v="2024-08-16T00:00:00"/>
  </r>
  <r>
    <n v="632"/>
    <n v="18203"/>
    <x v="0"/>
    <n v="40582.879999999997"/>
    <x v="0"/>
    <n v="12"/>
    <x v="1"/>
    <d v="2024-12-30T00:00:00"/>
    <d v="2025-01-11T00:00:00"/>
  </r>
  <r>
    <n v="633"/>
    <n v="15209"/>
    <x v="2"/>
    <n v="124624.2"/>
    <x v="2"/>
    <m/>
    <x v="2"/>
    <d v="2024-08-12T00:00:00"/>
    <m/>
  </r>
  <r>
    <n v="634"/>
    <n v="10387"/>
    <x v="1"/>
    <n v="85332.14"/>
    <x v="0"/>
    <n v="27"/>
    <x v="2"/>
    <d v="2024-07-12T00:00:00"/>
    <d v="2024-08-08T00:00:00"/>
  </r>
  <r>
    <n v="635"/>
    <n v="13023"/>
    <x v="3"/>
    <n v="132490.9"/>
    <x v="0"/>
    <n v="7"/>
    <x v="3"/>
    <d v="2024-07-14T00:00:00"/>
    <d v="2024-07-21T00:00:00"/>
  </r>
  <r>
    <n v="636"/>
    <n v="14735"/>
    <x v="1"/>
    <n v="199035.29"/>
    <x v="0"/>
    <n v="18"/>
    <x v="3"/>
    <d v="2024-09-16T00:00:00"/>
    <d v="2024-10-04T00:00:00"/>
  </r>
  <r>
    <n v="637"/>
    <n v="18291"/>
    <x v="1"/>
    <n v="187874.31"/>
    <x v="0"/>
    <n v="24"/>
    <x v="2"/>
    <d v="2024-02-26T00:00:00"/>
    <d v="2024-03-21T00:00:00"/>
  </r>
  <r>
    <n v="638"/>
    <n v="16471"/>
    <x v="1"/>
    <n v="5834.94"/>
    <x v="2"/>
    <m/>
    <x v="0"/>
    <d v="2024-04-22T00:00:00"/>
    <m/>
  </r>
  <r>
    <n v="639"/>
    <n v="12771"/>
    <x v="1"/>
    <n v="177660.56"/>
    <x v="0"/>
    <n v="38"/>
    <x v="3"/>
    <d v="2024-07-31T00:00:00"/>
    <d v="2024-09-07T00:00:00"/>
  </r>
  <r>
    <n v="640"/>
    <n v="14169"/>
    <x v="3"/>
    <n v="17965.71"/>
    <x v="0"/>
    <n v="29"/>
    <x v="1"/>
    <d v="2024-10-05T00:00:00"/>
    <d v="2024-11-03T00:00:00"/>
  </r>
  <r>
    <n v="641"/>
    <n v="17263"/>
    <x v="3"/>
    <n v="190844.08"/>
    <x v="0"/>
    <n v="17"/>
    <x v="3"/>
    <d v="2024-08-31T00:00:00"/>
    <d v="2024-09-17T00:00:00"/>
  </r>
  <r>
    <n v="642"/>
    <n v="16235"/>
    <x v="2"/>
    <n v="59956.01"/>
    <x v="1"/>
    <n v="13"/>
    <x v="3"/>
    <d v="2024-04-26T00:00:00"/>
    <d v="2024-05-09T00:00:00"/>
  </r>
  <r>
    <n v="643"/>
    <n v="14019"/>
    <x v="1"/>
    <n v="79496.789999999994"/>
    <x v="0"/>
    <n v="22"/>
    <x v="1"/>
    <d v="2024-03-27T00:00:00"/>
    <d v="2024-04-18T00:00:00"/>
  </r>
  <r>
    <n v="644"/>
    <n v="14270"/>
    <x v="1"/>
    <n v="22869.45"/>
    <x v="0"/>
    <n v="25"/>
    <x v="2"/>
    <d v="2024-09-19T00:00:00"/>
    <d v="2024-10-14T00:00:00"/>
  </r>
  <r>
    <n v="645"/>
    <n v="15856"/>
    <x v="3"/>
    <n v="26893.19"/>
    <x v="2"/>
    <m/>
    <x v="1"/>
    <d v="2024-10-26T00:00:00"/>
    <m/>
  </r>
  <r>
    <n v="646"/>
    <n v="10034"/>
    <x v="3"/>
    <n v="146714.41"/>
    <x v="0"/>
    <n v="38"/>
    <x v="2"/>
    <d v="2024-04-22T00:00:00"/>
    <d v="2024-05-30T00:00:00"/>
  </r>
  <r>
    <n v="647"/>
    <n v="17618"/>
    <x v="0"/>
    <n v="189144.79"/>
    <x v="0"/>
    <n v="22"/>
    <x v="2"/>
    <d v="2024-06-12T00:00:00"/>
    <d v="2024-07-04T00:00:00"/>
  </r>
  <r>
    <n v="648"/>
    <n v="13380"/>
    <x v="1"/>
    <n v="124095.96"/>
    <x v="2"/>
    <m/>
    <x v="2"/>
    <d v="2024-01-04T00:00:00"/>
    <m/>
  </r>
  <r>
    <n v="649"/>
    <n v="15476"/>
    <x v="1"/>
    <n v="144590.75"/>
    <x v="0"/>
    <n v="3"/>
    <x v="1"/>
    <d v="2024-04-27T00:00:00"/>
    <d v="2024-04-30T00:00:00"/>
  </r>
  <r>
    <n v="650"/>
    <n v="17543"/>
    <x v="3"/>
    <n v="153584.1"/>
    <x v="0"/>
    <n v="38"/>
    <x v="2"/>
    <d v="2024-01-23T00:00:00"/>
    <d v="2024-03-01T00:00:00"/>
  </r>
  <r>
    <n v="651"/>
    <n v="13176"/>
    <x v="1"/>
    <n v="56248.78"/>
    <x v="0"/>
    <n v="20"/>
    <x v="0"/>
    <d v="2024-08-20T00:00:00"/>
    <d v="2024-09-09T00:00:00"/>
  </r>
  <r>
    <n v="652"/>
    <n v="18367"/>
    <x v="3"/>
    <n v="13819.78"/>
    <x v="1"/>
    <n v="29"/>
    <x v="1"/>
    <d v="2024-03-30T00:00:00"/>
    <d v="2024-04-28T00:00:00"/>
  </r>
  <r>
    <n v="653"/>
    <n v="12153"/>
    <x v="1"/>
    <n v="5365.19"/>
    <x v="0"/>
    <n v="16"/>
    <x v="0"/>
    <d v="2024-09-11T00:00:00"/>
    <d v="2024-09-27T00:00:00"/>
  </r>
  <r>
    <n v="654"/>
    <n v="14687"/>
    <x v="3"/>
    <n v="73376.61"/>
    <x v="2"/>
    <m/>
    <x v="2"/>
    <d v="2024-04-01T00:00:00"/>
    <m/>
  </r>
  <r>
    <n v="655"/>
    <n v="11586"/>
    <x v="3"/>
    <n v="52085.52"/>
    <x v="1"/>
    <n v="44"/>
    <x v="3"/>
    <d v="2024-06-03T00:00:00"/>
    <d v="2024-07-17T00:00:00"/>
  </r>
  <r>
    <n v="656"/>
    <n v="18056"/>
    <x v="1"/>
    <n v="17151.96"/>
    <x v="0"/>
    <n v="29"/>
    <x v="2"/>
    <d v="2024-11-02T00:00:00"/>
    <d v="2024-12-01T00:00:00"/>
  </r>
  <r>
    <n v="657"/>
    <n v="15422"/>
    <x v="2"/>
    <n v="40008.019999999997"/>
    <x v="1"/>
    <n v="36"/>
    <x v="0"/>
    <d v="2024-04-24T00:00:00"/>
    <d v="2024-05-30T00:00:00"/>
  </r>
  <r>
    <n v="658"/>
    <n v="13658"/>
    <x v="3"/>
    <n v="29277.29"/>
    <x v="0"/>
    <n v="33"/>
    <x v="0"/>
    <d v="2024-07-25T00:00:00"/>
    <d v="2024-08-27T00:00:00"/>
  </r>
  <r>
    <n v="659"/>
    <n v="10952"/>
    <x v="0"/>
    <n v="183401.28"/>
    <x v="0"/>
    <n v="29"/>
    <x v="1"/>
    <d v="2024-03-21T00:00:00"/>
    <d v="2024-04-19T00:00:00"/>
  </r>
  <r>
    <n v="660"/>
    <n v="16270"/>
    <x v="3"/>
    <n v="32352.11"/>
    <x v="1"/>
    <n v="10"/>
    <x v="3"/>
    <d v="2024-04-12T00:00:00"/>
    <d v="2024-04-22T00:00:00"/>
  </r>
  <r>
    <n v="661"/>
    <n v="15365"/>
    <x v="3"/>
    <n v="109841.45"/>
    <x v="2"/>
    <m/>
    <x v="1"/>
    <d v="2024-03-20T00:00:00"/>
    <m/>
  </r>
  <r>
    <n v="662"/>
    <n v="12871"/>
    <x v="3"/>
    <n v="120655.66"/>
    <x v="0"/>
    <n v="5"/>
    <x v="0"/>
    <d v="2024-04-12T00:00:00"/>
    <d v="2024-04-17T00:00:00"/>
  </r>
  <r>
    <n v="663"/>
    <n v="12978"/>
    <x v="3"/>
    <n v="110980.44"/>
    <x v="0"/>
    <n v="42"/>
    <x v="2"/>
    <d v="2024-08-27T00:00:00"/>
    <d v="2024-10-08T00:00:00"/>
  </r>
  <r>
    <n v="664"/>
    <n v="12970"/>
    <x v="1"/>
    <n v="24316"/>
    <x v="0"/>
    <n v="4"/>
    <x v="3"/>
    <d v="2024-09-21T00:00:00"/>
    <d v="2024-09-25T00:00:00"/>
  </r>
  <r>
    <n v="665"/>
    <n v="14908"/>
    <x v="3"/>
    <n v="67165.679999999993"/>
    <x v="0"/>
    <n v="23"/>
    <x v="2"/>
    <d v="2024-02-02T00:00:00"/>
    <d v="2024-02-25T00:00:00"/>
  </r>
  <r>
    <n v="666"/>
    <n v="11959"/>
    <x v="3"/>
    <n v="14997.71"/>
    <x v="0"/>
    <n v="41"/>
    <x v="2"/>
    <d v="2024-02-04T00:00:00"/>
    <d v="2024-03-16T00:00:00"/>
  </r>
  <r>
    <n v="667"/>
    <n v="15182"/>
    <x v="2"/>
    <n v="82155.63"/>
    <x v="0"/>
    <n v="40"/>
    <x v="3"/>
    <d v="2024-09-05T00:00:00"/>
    <d v="2024-10-15T00:00:00"/>
  </r>
  <r>
    <n v="668"/>
    <n v="10805"/>
    <x v="3"/>
    <n v="41776.79"/>
    <x v="0"/>
    <n v="26"/>
    <x v="1"/>
    <d v="2024-02-19T00:00:00"/>
    <d v="2024-03-16T00:00:00"/>
  </r>
  <r>
    <n v="669"/>
    <n v="13100"/>
    <x v="1"/>
    <n v="114518.34"/>
    <x v="0"/>
    <n v="23"/>
    <x v="2"/>
    <d v="2024-10-06T00:00:00"/>
    <d v="2024-10-29T00:00:00"/>
  </r>
  <r>
    <n v="670"/>
    <n v="11575"/>
    <x v="3"/>
    <n v="140097.64000000001"/>
    <x v="0"/>
    <n v="35"/>
    <x v="0"/>
    <d v="2024-08-29T00:00:00"/>
    <d v="2024-10-03T00:00:00"/>
  </r>
  <r>
    <n v="671"/>
    <n v="18791"/>
    <x v="1"/>
    <n v="108763.37"/>
    <x v="1"/>
    <n v="21"/>
    <x v="2"/>
    <d v="2024-05-31T00:00:00"/>
    <d v="2024-06-21T00:00:00"/>
  </r>
  <r>
    <n v="672"/>
    <n v="12615"/>
    <x v="3"/>
    <n v="89676.160000000003"/>
    <x v="1"/>
    <n v="37"/>
    <x v="3"/>
    <d v="2024-05-26T00:00:00"/>
    <d v="2024-07-02T00:00:00"/>
  </r>
  <r>
    <n v="673"/>
    <n v="18803"/>
    <x v="3"/>
    <n v="80530.02"/>
    <x v="0"/>
    <n v="38"/>
    <x v="3"/>
    <d v="2024-02-08T00:00:00"/>
    <d v="2024-03-17T00:00:00"/>
  </r>
  <r>
    <n v="674"/>
    <n v="15626"/>
    <x v="3"/>
    <n v="169129.89"/>
    <x v="0"/>
    <n v="40"/>
    <x v="3"/>
    <d v="2024-07-07T00:00:00"/>
    <d v="2024-08-16T00:00:00"/>
  </r>
  <r>
    <n v="675"/>
    <n v="18752"/>
    <x v="3"/>
    <n v="47776.77"/>
    <x v="0"/>
    <n v="28"/>
    <x v="1"/>
    <d v="2024-01-25T00:00:00"/>
    <d v="2024-02-22T00:00:00"/>
  </r>
  <r>
    <n v="676"/>
    <n v="10626"/>
    <x v="3"/>
    <n v="148172.57999999999"/>
    <x v="0"/>
    <n v="33"/>
    <x v="2"/>
    <d v="2024-08-31T00:00:00"/>
    <d v="2024-10-03T00:00:00"/>
  </r>
  <r>
    <n v="677"/>
    <n v="16884"/>
    <x v="1"/>
    <n v="152709.04999999999"/>
    <x v="0"/>
    <n v="43"/>
    <x v="1"/>
    <d v="2024-08-10T00:00:00"/>
    <d v="2024-09-22T00:00:00"/>
  </r>
  <r>
    <n v="678"/>
    <n v="12811"/>
    <x v="0"/>
    <n v="86744"/>
    <x v="1"/>
    <n v="30"/>
    <x v="1"/>
    <d v="2024-08-17T00:00:00"/>
    <d v="2024-09-16T00:00:00"/>
  </r>
  <r>
    <n v="679"/>
    <n v="11610"/>
    <x v="0"/>
    <n v="62973.62"/>
    <x v="0"/>
    <n v="42"/>
    <x v="3"/>
    <d v="2024-06-01T00:00:00"/>
    <d v="2024-07-13T00:00:00"/>
  </r>
  <r>
    <n v="680"/>
    <n v="18866"/>
    <x v="1"/>
    <n v="96755.59"/>
    <x v="0"/>
    <n v="33"/>
    <x v="3"/>
    <d v="2024-10-14T00:00:00"/>
    <d v="2024-11-16T00:00:00"/>
  </r>
  <r>
    <n v="681"/>
    <n v="10048"/>
    <x v="3"/>
    <n v="23176.720000000001"/>
    <x v="0"/>
    <n v="25"/>
    <x v="1"/>
    <d v="2024-04-17T00:00:00"/>
    <d v="2024-05-12T00:00:00"/>
  </r>
  <r>
    <n v="682"/>
    <n v="11386"/>
    <x v="3"/>
    <n v="13956.36"/>
    <x v="0"/>
    <n v="4"/>
    <x v="2"/>
    <d v="2024-02-02T00:00:00"/>
    <d v="2024-02-06T00:00:00"/>
  </r>
  <r>
    <n v="683"/>
    <n v="11902"/>
    <x v="3"/>
    <n v="26762.62"/>
    <x v="0"/>
    <n v="28"/>
    <x v="0"/>
    <d v="2024-12-28T00:00:00"/>
    <d v="2025-01-25T00:00:00"/>
  </r>
  <r>
    <n v="684"/>
    <n v="14722"/>
    <x v="3"/>
    <n v="41493.279999999999"/>
    <x v="2"/>
    <m/>
    <x v="1"/>
    <d v="2024-04-20T00:00:00"/>
    <m/>
  </r>
  <r>
    <n v="685"/>
    <n v="14372"/>
    <x v="1"/>
    <n v="103314.48"/>
    <x v="0"/>
    <n v="41"/>
    <x v="2"/>
    <d v="2024-04-30T00:00:00"/>
    <d v="2024-06-10T00:00:00"/>
  </r>
  <r>
    <n v="686"/>
    <n v="13842"/>
    <x v="1"/>
    <n v="170581.64"/>
    <x v="0"/>
    <n v="24"/>
    <x v="3"/>
    <d v="2024-01-16T00:00:00"/>
    <d v="2024-02-09T00:00:00"/>
  </r>
  <r>
    <n v="687"/>
    <n v="17069"/>
    <x v="3"/>
    <n v="50950.25"/>
    <x v="0"/>
    <n v="8"/>
    <x v="3"/>
    <d v="2024-08-14T00:00:00"/>
    <d v="2024-08-22T00:00:00"/>
  </r>
  <r>
    <n v="688"/>
    <n v="14311"/>
    <x v="3"/>
    <n v="187356.59"/>
    <x v="2"/>
    <m/>
    <x v="2"/>
    <d v="2024-01-11T00:00:00"/>
    <m/>
  </r>
  <r>
    <n v="689"/>
    <n v="18421"/>
    <x v="0"/>
    <n v="191207.04000000001"/>
    <x v="0"/>
    <n v="38"/>
    <x v="0"/>
    <d v="2024-07-21T00:00:00"/>
    <d v="2024-08-28T00:00:00"/>
  </r>
  <r>
    <n v="690"/>
    <n v="17806"/>
    <x v="1"/>
    <n v="191986.4"/>
    <x v="0"/>
    <n v="8"/>
    <x v="3"/>
    <d v="2024-07-20T00:00:00"/>
    <d v="2024-07-28T00:00:00"/>
  </r>
  <r>
    <n v="691"/>
    <n v="16466"/>
    <x v="3"/>
    <n v="168324.73"/>
    <x v="1"/>
    <n v="31"/>
    <x v="3"/>
    <d v="2024-04-07T00:00:00"/>
    <d v="2024-05-08T00:00:00"/>
  </r>
  <r>
    <n v="692"/>
    <n v="17997"/>
    <x v="2"/>
    <n v="75945.88"/>
    <x v="0"/>
    <n v="14"/>
    <x v="3"/>
    <d v="2024-04-25T00:00:00"/>
    <d v="2024-05-09T00:00:00"/>
  </r>
  <r>
    <n v="693"/>
    <n v="16368"/>
    <x v="2"/>
    <n v="19173.36"/>
    <x v="0"/>
    <n v="19"/>
    <x v="2"/>
    <d v="2024-10-07T00:00:00"/>
    <d v="2024-10-26T00:00:00"/>
  </r>
  <r>
    <n v="694"/>
    <n v="11685"/>
    <x v="3"/>
    <n v="115919.65"/>
    <x v="0"/>
    <n v="32"/>
    <x v="1"/>
    <d v="2024-12-14T00:00:00"/>
    <d v="2025-01-15T00:00:00"/>
  </r>
  <r>
    <n v="695"/>
    <n v="19502"/>
    <x v="3"/>
    <n v="113942.88"/>
    <x v="0"/>
    <n v="23"/>
    <x v="3"/>
    <d v="2024-08-19T00:00:00"/>
    <d v="2024-09-11T00:00:00"/>
  </r>
  <r>
    <n v="696"/>
    <n v="18139"/>
    <x v="1"/>
    <n v="170745.27"/>
    <x v="0"/>
    <n v="15"/>
    <x v="1"/>
    <d v="2024-04-20T00:00:00"/>
    <d v="2024-05-05T00:00:00"/>
  </r>
  <r>
    <n v="697"/>
    <n v="15133"/>
    <x v="2"/>
    <n v="199218.25"/>
    <x v="0"/>
    <n v="19"/>
    <x v="0"/>
    <d v="2024-12-17T00:00:00"/>
    <d v="2025-01-05T00:00:00"/>
  </r>
  <r>
    <n v="698"/>
    <n v="18824"/>
    <x v="0"/>
    <n v="104090.67"/>
    <x v="0"/>
    <n v="36"/>
    <x v="3"/>
    <d v="2024-01-12T00:00:00"/>
    <d v="2024-02-17T00:00:00"/>
  </r>
  <r>
    <n v="699"/>
    <n v="12422"/>
    <x v="3"/>
    <n v="72314.789999999994"/>
    <x v="0"/>
    <n v="18"/>
    <x v="3"/>
    <d v="2024-01-21T00:00:00"/>
    <d v="2024-02-08T00:00:00"/>
  </r>
  <r>
    <n v="700"/>
    <n v="12750"/>
    <x v="3"/>
    <n v="41250.83"/>
    <x v="0"/>
    <n v="20"/>
    <x v="0"/>
    <d v="2024-05-06T00:00:00"/>
    <d v="2024-05-26T00:00:00"/>
  </r>
  <r>
    <n v="701"/>
    <n v="18524"/>
    <x v="1"/>
    <n v="5935.97"/>
    <x v="0"/>
    <n v="32"/>
    <x v="3"/>
    <d v="2024-10-11T00:00:00"/>
    <d v="2024-11-12T00:00:00"/>
  </r>
  <r>
    <n v="702"/>
    <n v="16309"/>
    <x v="1"/>
    <n v="104277.17"/>
    <x v="0"/>
    <n v="40"/>
    <x v="1"/>
    <d v="2024-04-30T00:00:00"/>
    <d v="2024-06-09T00:00:00"/>
  </r>
  <r>
    <n v="703"/>
    <n v="18698"/>
    <x v="3"/>
    <n v="113326.14"/>
    <x v="2"/>
    <m/>
    <x v="2"/>
    <d v="2024-05-03T00:00:00"/>
    <m/>
  </r>
  <r>
    <n v="704"/>
    <n v="14212"/>
    <x v="0"/>
    <n v="165863"/>
    <x v="0"/>
    <n v="16"/>
    <x v="1"/>
    <d v="2024-02-02T00:00:00"/>
    <d v="2024-02-18T00:00:00"/>
  </r>
  <r>
    <n v="705"/>
    <n v="10942"/>
    <x v="1"/>
    <n v="103392.51"/>
    <x v="0"/>
    <n v="30"/>
    <x v="2"/>
    <d v="2024-06-18T00:00:00"/>
    <d v="2024-07-18T00:00:00"/>
  </r>
  <r>
    <n v="706"/>
    <n v="18827"/>
    <x v="0"/>
    <n v="183711.33"/>
    <x v="0"/>
    <n v="41"/>
    <x v="2"/>
    <d v="2024-03-17T00:00:00"/>
    <d v="2024-04-27T00:00:00"/>
  </r>
  <r>
    <n v="707"/>
    <n v="19781"/>
    <x v="0"/>
    <n v="127476.28"/>
    <x v="0"/>
    <n v="17"/>
    <x v="1"/>
    <d v="2024-10-23T00:00:00"/>
    <d v="2024-11-09T00:00:00"/>
  </r>
  <r>
    <n v="708"/>
    <n v="11462"/>
    <x v="1"/>
    <n v="168865.57"/>
    <x v="0"/>
    <n v="34"/>
    <x v="1"/>
    <d v="2024-11-25T00:00:00"/>
    <d v="2024-12-29T00:00:00"/>
  </r>
  <r>
    <n v="709"/>
    <n v="17471"/>
    <x v="3"/>
    <n v="33918.839999999997"/>
    <x v="0"/>
    <n v="26"/>
    <x v="1"/>
    <d v="2024-03-03T00:00:00"/>
    <d v="2024-03-29T00:00:00"/>
  </r>
  <r>
    <n v="710"/>
    <n v="11991"/>
    <x v="1"/>
    <n v="171790.55"/>
    <x v="0"/>
    <n v="17"/>
    <x v="1"/>
    <d v="2024-09-26T00:00:00"/>
    <d v="2024-10-13T00:00:00"/>
  </r>
  <r>
    <n v="711"/>
    <n v="15390"/>
    <x v="3"/>
    <n v="136653.04999999999"/>
    <x v="0"/>
    <n v="31"/>
    <x v="0"/>
    <d v="2024-08-03T00:00:00"/>
    <d v="2024-09-03T00:00:00"/>
  </r>
  <r>
    <n v="712"/>
    <n v="19926"/>
    <x v="1"/>
    <n v="38195.440000000002"/>
    <x v="1"/>
    <n v="35"/>
    <x v="3"/>
    <d v="2024-07-08T00:00:00"/>
    <d v="2024-08-12T00:00:00"/>
  </r>
  <r>
    <n v="713"/>
    <n v="10112"/>
    <x v="3"/>
    <n v="42003.89"/>
    <x v="0"/>
    <n v="3"/>
    <x v="2"/>
    <d v="2024-03-15T00:00:00"/>
    <d v="2024-03-18T00:00:00"/>
  </r>
  <r>
    <n v="714"/>
    <n v="17183"/>
    <x v="1"/>
    <n v="185667.62"/>
    <x v="0"/>
    <n v="41"/>
    <x v="1"/>
    <d v="2024-06-22T00:00:00"/>
    <d v="2024-08-02T00:00:00"/>
  </r>
  <r>
    <n v="715"/>
    <n v="12263"/>
    <x v="3"/>
    <n v="11282"/>
    <x v="0"/>
    <n v="44"/>
    <x v="1"/>
    <d v="2024-03-07T00:00:00"/>
    <d v="2024-04-20T00:00:00"/>
  </r>
  <r>
    <n v="716"/>
    <n v="18618"/>
    <x v="3"/>
    <n v="95194.31"/>
    <x v="0"/>
    <n v="39"/>
    <x v="1"/>
    <d v="2024-04-02T00:00:00"/>
    <d v="2024-05-11T00:00:00"/>
  </r>
  <r>
    <n v="717"/>
    <n v="15254"/>
    <x v="3"/>
    <n v="66127.679999999993"/>
    <x v="0"/>
    <n v="19"/>
    <x v="0"/>
    <d v="2024-02-22T00:00:00"/>
    <d v="2024-03-12T00:00:00"/>
  </r>
  <r>
    <n v="718"/>
    <n v="19258"/>
    <x v="3"/>
    <n v="134690.1"/>
    <x v="0"/>
    <n v="6"/>
    <x v="1"/>
    <d v="2024-04-03T00:00:00"/>
    <d v="2024-04-09T00:00:00"/>
  </r>
  <r>
    <n v="719"/>
    <n v="12811"/>
    <x v="1"/>
    <n v="168727.73"/>
    <x v="0"/>
    <n v="41"/>
    <x v="1"/>
    <d v="2024-04-22T00:00:00"/>
    <d v="2024-06-02T00:00:00"/>
  </r>
  <r>
    <n v="720"/>
    <n v="10833"/>
    <x v="1"/>
    <n v="75273.73"/>
    <x v="1"/>
    <n v="7"/>
    <x v="1"/>
    <d v="2024-08-16T00:00:00"/>
    <d v="2024-08-23T00:00:00"/>
  </r>
  <r>
    <n v="721"/>
    <n v="17227"/>
    <x v="1"/>
    <n v="88245.91"/>
    <x v="1"/>
    <n v="13"/>
    <x v="3"/>
    <d v="2024-09-06T00:00:00"/>
    <d v="2024-09-19T00:00:00"/>
  </r>
  <r>
    <n v="722"/>
    <n v="18421"/>
    <x v="3"/>
    <n v="196473.97"/>
    <x v="0"/>
    <n v="13"/>
    <x v="0"/>
    <d v="2024-07-27T00:00:00"/>
    <d v="2024-08-09T00:00:00"/>
  </r>
  <r>
    <n v="723"/>
    <n v="14254"/>
    <x v="3"/>
    <n v="157863.72"/>
    <x v="0"/>
    <n v="13"/>
    <x v="1"/>
    <d v="2024-06-30T00:00:00"/>
    <d v="2024-07-13T00:00:00"/>
  </r>
  <r>
    <n v="724"/>
    <n v="19015"/>
    <x v="3"/>
    <n v="179954.81"/>
    <x v="1"/>
    <n v="10"/>
    <x v="2"/>
    <d v="2024-09-23T00:00:00"/>
    <d v="2024-10-03T00:00:00"/>
  </r>
  <r>
    <n v="725"/>
    <n v="12518"/>
    <x v="3"/>
    <n v="90558.63"/>
    <x v="0"/>
    <n v="43"/>
    <x v="2"/>
    <d v="2024-10-07T00:00:00"/>
    <d v="2024-11-19T00:00:00"/>
  </r>
  <r>
    <n v="726"/>
    <n v="13667"/>
    <x v="0"/>
    <n v="50644.86"/>
    <x v="0"/>
    <n v="23"/>
    <x v="2"/>
    <d v="2024-06-03T00:00:00"/>
    <d v="2024-06-26T00:00:00"/>
  </r>
  <r>
    <n v="727"/>
    <n v="19296"/>
    <x v="3"/>
    <n v="85313.38"/>
    <x v="0"/>
    <n v="17"/>
    <x v="0"/>
    <d v="2024-03-23T00:00:00"/>
    <d v="2024-04-09T00:00:00"/>
  </r>
  <r>
    <n v="728"/>
    <n v="11041"/>
    <x v="3"/>
    <n v="144637.92000000001"/>
    <x v="0"/>
    <n v="5"/>
    <x v="0"/>
    <d v="2024-07-04T00:00:00"/>
    <d v="2024-07-09T00:00:00"/>
  </r>
  <r>
    <n v="729"/>
    <n v="15112"/>
    <x v="3"/>
    <n v="26338.93"/>
    <x v="0"/>
    <n v="4"/>
    <x v="2"/>
    <d v="2024-12-14T00:00:00"/>
    <d v="2024-12-18T00:00:00"/>
  </r>
  <r>
    <n v="730"/>
    <n v="10707"/>
    <x v="3"/>
    <n v="57741.48"/>
    <x v="0"/>
    <n v="17"/>
    <x v="1"/>
    <d v="2024-05-18T00:00:00"/>
    <d v="2024-06-04T00:00:00"/>
  </r>
  <r>
    <n v="731"/>
    <n v="17458"/>
    <x v="1"/>
    <n v="14094"/>
    <x v="0"/>
    <n v="15"/>
    <x v="0"/>
    <d v="2024-02-24T00:00:00"/>
    <d v="2024-03-10T00:00:00"/>
  </r>
  <r>
    <n v="732"/>
    <n v="11383"/>
    <x v="1"/>
    <n v="89307.81"/>
    <x v="0"/>
    <n v="42"/>
    <x v="2"/>
    <d v="2024-01-19T00:00:00"/>
    <d v="2024-03-01T00:00:00"/>
  </r>
  <r>
    <n v="733"/>
    <n v="11302"/>
    <x v="3"/>
    <n v="166351.92000000001"/>
    <x v="1"/>
    <n v="39"/>
    <x v="2"/>
    <d v="2024-12-13T00:00:00"/>
    <d v="2025-01-21T00:00:00"/>
  </r>
  <r>
    <n v="734"/>
    <n v="17118"/>
    <x v="3"/>
    <n v="9809.42"/>
    <x v="0"/>
    <n v="5"/>
    <x v="1"/>
    <d v="2024-12-11T00:00:00"/>
    <d v="2024-12-16T00:00:00"/>
  </r>
  <r>
    <n v="735"/>
    <n v="18868"/>
    <x v="3"/>
    <n v="136688.09"/>
    <x v="0"/>
    <n v="3"/>
    <x v="3"/>
    <d v="2024-09-23T00:00:00"/>
    <d v="2024-09-26T00:00:00"/>
  </r>
  <r>
    <n v="736"/>
    <n v="12564"/>
    <x v="3"/>
    <n v="186836.7"/>
    <x v="0"/>
    <n v="11"/>
    <x v="0"/>
    <d v="2024-05-21T00:00:00"/>
    <d v="2024-06-01T00:00:00"/>
  </r>
  <r>
    <n v="737"/>
    <n v="19755"/>
    <x v="3"/>
    <n v="51200.93"/>
    <x v="1"/>
    <n v="12"/>
    <x v="1"/>
    <d v="2024-11-11T00:00:00"/>
    <d v="2024-11-23T00:00:00"/>
  </r>
  <r>
    <n v="738"/>
    <n v="11260"/>
    <x v="2"/>
    <n v="140258.79"/>
    <x v="1"/>
    <n v="40"/>
    <x v="2"/>
    <d v="2024-06-12T00:00:00"/>
    <d v="2024-07-22T00:00:00"/>
  </r>
  <r>
    <n v="739"/>
    <n v="13203"/>
    <x v="1"/>
    <n v="195144.87"/>
    <x v="0"/>
    <n v="27"/>
    <x v="2"/>
    <d v="2024-09-08T00:00:00"/>
    <d v="2024-10-05T00:00:00"/>
  </r>
  <r>
    <n v="740"/>
    <n v="10357"/>
    <x v="1"/>
    <n v="192644.22"/>
    <x v="0"/>
    <n v="38"/>
    <x v="1"/>
    <d v="2024-08-19T00:00:00"/>
    <d v="2024-09-26T00:00:00"/>
  </r>
  <r>
    <n v="741"/>
    <n v="15404"/>
    <x v="3"/>
    <n v="50811.19"/>
    <x v="1"/>
    <n v="27"/>
    <x v="0"/>
    <d v="2024-10-23T00:00:00"/>
    <d v="2024-11-19T00:00:00"/>
  </r>
  <r>
    <n v="742"/>
    <n v="15412"/>
    <x v="3"/>
    <n v="24564.560000000001"/>
    <x v="0"/>
    <n v="5"/>
    <x v="3"/>
    <d v="2024-12-28T00:00:00"/>
    <d v="2025-01-02T00:00:00"/>
  </r>
  <r>
    <n v="743"/>
    <n v="13234"/>
    <x v="1"/>
    <n v="33915.089999999997"/>
    <x v="0"/>
    <n v="27"/>
    <x v="3"/>
    <d v="2024-02-29T00:00:00"/>
    <d v="2024-03-27T00:00:00"/>
  </r>
  <r>
    <n v="744"/>
    <n v="18083"/>
    <x v="1"/>
    <n v="141896.95999999999"/>
    <x v="0"/>
    <n v="39"/>
    <x v="2"/>
    <d v="2024-01-22T00:00:00"/>
    <d v="2024-03-01T00:00:00"/>
  </r>
  <r>
    <n v="745"/>
    <n v="10418"/>
    <x v="1"/>
    <n v="146522.98000000001"/>
    <x v="0"/>
    <n v="29"/>
    <x v="0"/>
    <d v="2024-05-05T00:00:00"/>
    <d v="2024-06-03T00:00:00"/>
  </r>
  <r>
    <n v="746"/>
    <n v="17906"/>
    <x v="3"/>
    <n v="136476.13"/>
    <x v="0"/>
    <n v="3"/>
    <x v="3"/>
    <d v="2024-04-12T00:00:00"/>
    <d v="2024-04-15T00:00:00"/>
  </r>
  <r>
    <n v="747"/>
    <n v="15587"/>
    <x v="1"/>
    <n v="70535.289999999994"/>
    <x v="0"/>
    <n v="3"/>
    <x v="0"/>
    <d v="2024-08-08T00:00:00"/>
    <d v="2024-08-11T00:00:00"/>
  </r>
  <r>
    <n v="748"/>
    <n v="13955"/>
    <x v="3"/>
    <n v="38106.5"/>
    <x v="0"/>
    <n v="17"/>
    <x v="0"/>
    <d v="2024-04-19T00:00:00"/>
    <d v="2024-05-06T00:00:00"/>
  </r>
  <r>
    <n v="749"/>
    <n v="11593"/>
    <x v="0"/>
    <n v="118248.41"/>
    <x v="2"/>
    <m/>
    <x v="2"/>
    <d v="2024-02-27T00:00:00"/>
    <m/>
  </r>
  <r>
    <n v="750"/>
    <n v="14602"/>
    <x v="1"/>
    <n v="99317.69"/>
    <x v="1"/>
    <n v="24"/>
    <x v="3"/>
    <d v="2024-03-05T00:00:00"/>
    <d v="2024-03-29T00:00:00"/>
  </r>
  <r>
    <n v="751"/>
    <n v="19577"/>
    <x v="1"/>
    <n v="147122.66"/>
    <x v="2"/>
    <m/>
    <x v="1"/>
    <d v="2024-02-27T00:00:00"/>
    <m/>
  </r>
  <r>
    <n v="752"/>
    <n v="10244"/>
    <x v="3"/>
    <n v="91065.22"/>
    <x v="2"/>
    <m/>
    <x v="2"/>
    <d v="2024-06-06T00:00:00"/>
    <m/>
  </r>
  <r>
    <n v="753"/>
    <n v="14572"/>
    <x v="1"/>
    <n v="71034.740000000005"/>
    <x v="0"/>
    <n v="40"/>
    <x v="3"/>
    <d v="2024-03-16T00:00:00"/>
    <d v="2024-04-25T00:00:00"/>
  </r>
  <r>
    <n v="754"/>
    <n v="10614"/>
    <x v="3"/>
    <n v="62228.32"/>
    <x v="0"/>
    <n v="26"/>
    <x v="3"/>
    <d v="2024-01-19T00:00:00"/>
    <d v="2024-02-14T00:00:00"/>
  </r>
  <r>
    <n v="755"/>
    <n v="10249"/>
    <x v="3"/>
    <n v="46236.71"/>
    <x v="0"/>
    <n v="38"/>
    <x v="3"/>
    <d v="2024-07-08T00:00:00"/>
    <d v="2024-08-15T00:00:00"/>
  </r>
  <r>
    <n v="756"/>
    <n v="16620"/>
    <x v="3"/>
    <n v="56820.54"/>
    <x v="1"/>
    <n v="14"/>
    <x v="3"/>
    <d v="2024-09-06T00:00:00"/>
    <d v="2024-09-20T00:00:00"/>
  </r>
  <r>
    <n v="757"/>
    <n v="19787"/>
    <x v="1"/>
    <n v="23491.94"/>
    <x v="0"/>
    <n v="16"/>
    <x v="3"/>
    <d v="2024-12-25T00:00:00"/>
    <d v="2025-01-10T00:00:00"/>
  </r>
  <r>
    <n v="758"/>
    <n v="15869"/>
    <x v="3"/>
    <n v="72637.119999999995"/>
    <x v="2"/>
    <m/>
    <x v="0"/>
    <d v="2024-12-28T00:00:00"/>
    <m/>
  </r>
  <r>
    <n v="759"/>
    <n v="15971"/>
    <x v="3"/>
    <n v="12131.11"/>
    <x v="0"/>
    <n v="4"/>
    <x v="2"/>
    <d v="2024-03-19T00:00:00"/>
    <d v="2024-03-23T00:00:00"/>
  </r>
  <r>
    <n v="760"/>
    <n v="10510"/>
    <x v="0"/>
    <n v="41350.699999999997"/>
    <x v="1"/>
    <n v="24"/>
    <x v="0"/>
    <d v="2024-03-24T00:00:00"/>
    <d v="2024-04-17T00:00:00"/>
  </r>
  <r>
    <n v="761"/>
    <n v="15968"/>
    <x v="3"/>
    <n v="150620.24"/>
    <x v="0"/>
    <n v="5"/>
    <x v="1"/>
    <d v="2024-06-20T00:00:00"/>
    <d v="2024-06-25T00:00:00"/>
  </r>
  <r>
    <n v="762"/>
    <n v="14869"/>
    <x v="1"/>
    <n v="68466.45"/>
    <x v="0"/>
    <n v="4"/>
    <x v="3"/>
    <d v="2024-07-30T00:00:00"/>
    <d v="2024-08-03T00:00:00"/>
  </r>
  <r>
    <n v="763"/>
    <n v="19557"/>
    <x v="3"/>
    <n v="135306.22"/>
    <x v="1"/>
    <n v="40"/>
    <x v="2"/>
    <d v="2024-05-28T00:00:00"/>
    <d v="2024-07-07T00:00:00"/>
  </r>
  <r>
    <n v="764"/>
    <n v="17505"/>
    <x v="3"/>
    <n v="144792.41"/>
    <x v="0"/>
    <n v="9"/>
    <x v="3"/>
    <d v="2024-01-10T00:00:00"/>
    <d v="2024-01-19T00:00:00"/>
  </r>
  <r>
    <n v="765"/>
    <n v="17647"/>
    <x v="1"/>
    <n v="118331.14"/>
    <x v="1"/>
    <n v="44"/>
    <x v="2"/>
    <d v="2024-01-30T00:00:00"/>
    <d v="2024-03-14T00:00:00"/>
  </r>
  <r>
    <n v="766"/>
    <n v="19115"/>
    <x v="3"/>
    <n v="191946.06"/>
    <x v="0"/>
    <n v="26"/>
    <x v="0"/>
    <d v="2024-10-06T00:00:00"/>
    <d v="2024-11-01T00:00:00"/>
  </r>
  <r>
    <n v="767"/>
    <n v="10073"/>
    <x v="3"/>
    <n v="9180.77"/>
    <x v="0"/>
    <n v="42"/>
    <x v="2"/>
    <d v="2024-02-24T00:00:00"/>
    <d v="2024-04-06T00:00:00"/>
  </r>
  <r>
    <n v="768"/>
    <n v="19000"/>
    <x v="1"/>
    <n v="149037.26999999999"/>
    <x v="0"/>
    <n v="13"/>
    <x v="1"/>
    <d v="2024-12-25T00:00:00"/>
    <d v="2025-01-07T00:00:00"/>
  </r>
  <r>
    <n v="769"/>
    <n v="12878"/>
    <x v="1"/>
    <n v="191963.4"/>
    <x v="0"/>
    <n v="6"/>
    <x v="1"/>
    <d v="2024-05-06T00:00:00"/>
    <d v="2024-05-12T00:00:00"/>
  </r>
  <r>
    <n v="770"/>
    <n v="15141"/>
    <x v="1"/>
    <n v="173142.99"/>
    <x v="0"/>
    <n v="34"/>
    <x v="2"/>
    <d v="2024-06-28T00:00:00"/>
    <d v="2024-08-01T00:00:00"/>
  </r>
  <r>
    <n v="771"/>
    <n v="12126"/>
    <x v="3"/>
    <n v="37739.07"/>
    <x v="0"/>
    <n v="26"/>
    <x v="2"/>
    <d v="2024-08-19T00:00:00"/>
    <d v="2024-09-14T00:00:00"/>
  </r>
  <r>
    <n v="772"/>
    <n v="12204"/>
    <x v="3"/>
    <n v="68729.960000000006"/>
    <x v="0"/>
    <n v="26"/>
    <x v="2"/>
    <d v="2024-04-02T00:00:00"/>
    <d v="2024-04-28T00:00:00"/>
  </r>
  <r>
    <n v="773"/>
    <n v="16470"/>
    <x v="1"/>
    <n v="38628.11"/>
    <x v="0"/>
    <n v="36"/>
    <x v="2"/>
    <d v="2024-01-08T00:00:00"/>
    <d v="2024-02-13T00:00:00"/>
  </r>
  <r>
    <n v="774"/>
    <n v="13679"/>
    <x v="1"/>
    <n v="122255.13"/>
    <x v="0"/>
    <n v="16"/>
    <x v="1"/>
    <d v="2024-09-03T00:00:00"/>
    <d v="2024-09-19T00:00:00"/>
  </r>
  <r>
    <n v="775"/>
    <n v="18089"/>
    <x v="0"/>
    <n v="143876.66"/>
    <x v="0"/>
    <n v="43"/>
    <x v="3"/>
    <d v="2024-11-26T00:00:00"/>
    <d v="2025-01-08T00:00:00"/>
  </r>
  <r>
    <n v="776"/>
    <n v="10984"/>
    <x v="0"/>
    <n v="66829.39"/>
    <x v="1"/>
    <n v="27"/>
    <x v="2"/>
    <d v="2024-07-14T00:00:00"/>
    <d v="2024-08-10T00:00:00"/>
  </r>
  <r>
    <n v="777"/>
    <n v="11298"/>
    <x v="0"/>
    <n v="110203.78"/>
    <x v="0"/>
    <n v="11"/>
    <x v="2"/>
    <d v="2024-06-11T00:00:00"/>
    <d v="2024-06-22T00:00:00"/>
  </r>
  <r>
    <n v="778"/>
    <n v="17548"/>
    <x v="3"/>
    <n v="139729.51"/>
    <x v="0"/>
    <n v="25"/>
    <x v="1"/>
    <d v="2024-02-09T00:00:00"/>
    <d v="2024-03-05T00:00:00"/>
  </r>
  <r>
    <n v="779"/>
    <n v="17187"/>
    <x v="3"/>
    <n v="87161.26"/>
    <x v="0"/>
    <n v="36"/>
    <x v="1"/>
    <d v="2024-09-10T00:00:00"/>
    <d v="2024-10-16T00:00:00"/>
  </r>
  <r>
    <n v="780"/>
    <n v="13955"/>
    <x v="1"/>
    <n v="171533.03"/>
    <x v="0"/>
    <n v="30"/>
    <x v="0"/>
    <d v="2024-03-25T00:00:00"/>
    <d v="2024-04-24T00:00:00"/>
  </r>
  <r>
    <n v="781"/>
    <n v="15713"/>
    <x v="3"/>
    <n v="155452.24"/>
    <x v="0"/>
    <n v="39"/>
    <x v="2"/>
    <d v="2024-09-28T00:00:00"/>
    <d v="2024-11-06T00:00:00"/>
  </r>
  <r>
    <n v="782"/>
    <n v="13687"/>
    <x v="3"/>
    <n v="17609.78"/>
    <x v="2"/>
    <m/>
    <x v="0"/>
    <d v="2024-03-18T00:00:00"/>
    <m/>
  </r>
  <r>
    <n v="783"/>
    <n v="13045"/>
    <x v="0"/>
    <n v="126119.43"/>
    <x v="1"/>
    <n v="25"/>
    <x v="1"/>
    <d v="2024-07-31T00:00:00"/>
    <d v="2024-08-25T00:00:00"/>
  </r>
  <r>
    <n v="784"/>
    <n v="19051"/>
    <x v="0"/>
    <n v="50888.480000000003"/>
    <x v="0"/>
    <n v="20"/>
    <x v="1"/>
    <d v="2024-10-30T00:00:00"/>
    <d v="2024-11-19T00:00:00"/>
  </r>
  <r>
    <n v="785"/>
    <n v="16716"/>
    <x v="3"/>
    <n v="113716.06"/>
    <x v="0"/>
    <n v="10"/>
    <x v="3"/>
    <d v="2024-09-11T00:00:00"/>
    <d v="2024-09-21T00:00:00"/>
  </r>
  <r>
    <n v="786"/>
    <n v="12085"/>
    <x v="3"/>
    <n v="191593.25"/>
    <x v="1"/>
    <n v="27"/>
    <x v="2"/>
    <d v="2024-03-31T00:00:00"/>
    <d v="2024-04-27T00:00:00"/>
  </r>
  <r>
    <n v="787"/>
    <n v="16533"/>
    <x v="3"/>
    <n v="176417.09"/>
    <x v="0"/>
    <n v="26"/>
    <x v="0"/>
    <d v="2024-07-11T00:00:00"/>
    <d v="2024-08-06T00:00:00"/>
  </r>
  <r>
    <n v="788"/>
    <n v="12727"/>
    <x v="0"/>
    <n v="83880.7"/>
    <x v="0"/>
    <n v="36"/>
    <x v="1"/>
    <d v="2024-09-09T00:00:00"/>
    <d v="2024-10-15T00:00:00"/>
  </r>
  <r>
    <n v="789"/>
    <n v="10376"/>
    <x v="2"/>
    <n v="61845.2"/>
    <x v="0"/>
    <n v="37"/>
    <x v="1"/>
    <d v="2024-10-04T00:00:00"/>
    <d v="2024-11-10T00:00:00"/>
  </r>
  <r>
    <n v="790"/>
    <n v="16992"/>
    <x v="3"/>
    <n v="50709.120000000003"/>
    <x v="0"/>
    <n v="15"/>
    <x v="0"/>
    <d v="2024-05-22T00:00:00"/>
    <d v="2024-06-06T00:00:00"/>
  </r>
  <r>
    <n v="791"/>
    <n v="15700"/>
    <x v="3"/>
    <n v="108840.4"/>
    <x v="2"/>
    <m/>
    <x v="3"/>
    <d v="2024-08-31T00:00:00"/>
    <m/>
  </r>
  <r>
    <n v="792"/>
    <n v="14690"/>
    <x v="0"/>
    <n v="27278.45"/>
    <x v="0"/>
    <n v="33"/>
    <x v="1"/>
    <d v="2024-07-30T00:00:00"/>
    <d v="2024-09-01T00:00:00"/>
  </r>
  <r>
    <n v="793"/>
    <n v="12794"/>
    <x v="3"/>
    <n v="112108.63"/>
    <x v="0"/>
    <n v="27"/>
    <x v="2"/>
    <d v="2024-07-13T00:00:00"/>
    <d v="2024-08-09T00:00:00"/>
  </r>
  <r>
    <n v="794"/>
    <n v="11065"/>
    <x v="1"/>
    <n v="5260.06"/>
    <x v="0"/>
    <n v="16"/>
    <x v="1"/>
    <d v="2024-09-26T00:00:00"/>
    <d v="2024-10-12T00:00:00"/>
  </r>
  <r>
    <n v="795"/>
    <n v="13682"/>
    <x v="2"/>
    <n v="68150.679999999993"/>
    <x v="1"/>
    <n v="32"/>
    <x v="2"/>
    <d v="2024-11-24T00:00:00"/>
    <d v="2024-12-26T00:00:00"/>
  </r>
  <r>
    <n v="796"/>
    <n v="17637"/>
    <x v="3"/>
    <n v="47887.19"/>
    <x v="1"/>
    <n v="38"/>
    <x v="0"/>
    <d v="2024-01-19T00:00:00"/>
    <d v="2024-02-26T00:00:00"/>
  </r>
  <r>
    <n v="797"/>
    <n v="11051"/>
    <x v="1"/>
    <n v="194387.66"/>
    <x v="0"/>
    <n v="39"/>
    <x v="2"/>
    <d v="2024-02-09T00:00:00"/>
    <d v="2024-03-19T00:00:00"/>
  </r>
  <r>
    <n v="798"/>
    <n v="18820"/>
    <x v="3"/>
    <n v="146812.25"/>
    <x v="0"/>
    <n v="38"/>
    <x v="0"/>
    <d v="2024-04-07T00:00:00"/>
    <d v="2024-05-15T00:00:00"/>
  </r>
  <r>
    <n v="799"/>
    <n v="18080"/>
    <x v="3"/>
    <n v="73182.41"/>
    <x v="0"/>
    <n v="20"/>
    <x v="2"/>
    <d v="2024-01-04T00:00:00"/>
    <d v="2024-01-24T00:00:00"/>
  </r>
  <r>
    <n v="800"/>
    <n v="12373"/>
    <x v="0"/>
    <n v="23104.79"/>
    <x v="1"/>
    <n v="15"/>
    <x v="0"/>
    <d v="2024-02-02T00:00:00"/>
    <d v="2024-02-17T00:00:00"/>
  </r>
  <r>
    <n v="801"/>
    <n v="16762"/>
    <x v="3"/>
    <n v="105776.12"/>
    <x v="1"/>
    <n v="37"/>
    <x v="2"/>
    <d v="2024-10-25T00:00:00"/>
    <d v="2024-12-01T00:00:00"/>
  </r>
  <r>
    <n v="802"/>
    <n v="18058"/>
    <x v="2"/>
    <n v="46622.34"/>
    <x v="0"/>
    <n v="38"/>
    <x v="3"/>
    <d v="2024-06-13T00:00:00"/>
    <d v="2024-07-21T00:00:00"/>
  </r>
  <r>
    <n v="803"/>
    <n v="16468"/>
    <x v="1"/>
    <n v="109603.76"/>
    <x v="1"/>
    <n v="12"/>
    <x v="2"/>
    <d v="2024-01-27T00:00:00"/>
    <d v="2024-02-08T00:00:00"/>
  </r>
  <r>
    <n v="804"/>
    <n v="13974"/>
    <x v="3"/>
    <n v="167895.66"/>
    <x v="0"/>
    <n v="28"/>
    <x v="2"/>
    <d v="2024-06-21T00:00:00"/>
    <d v="2024-07-19T00:00:00"/>
  </r>
  <r>
    <n v="805"/>
    <n v="19375"/>
    <x v="3"/>
    <n v="125079.55"/>
    <x v="0"/>
    <n v="3"/>
    <x v="3"/>
    <d v="2024-12-02T00:00:00"/>
    <d v="2024-12-05T00:00:00"/>
  </r>
  <r>
    <n v="806"/>
    <n v="16659"/>
    <x v="3"/>
    <n v="128588.74"/>
    <x v="0"/>
    <n v="23"/>
    <x v="1"/>
    <d v="2024-04-22T00:00:00"/>
    <d v="2024-05-15T00:00:00"/>
  </r>
  <r>
    <n v="807"/>
    <n v="17828"/>
    <x v="3"/>
    <n v="110500.91"/>
    <x v="0"/>
    <n v="3"/>
    <x v="1"/>
    <d v="2024-04-04T00:00:00"/>
    <d v="2024-04-07T00:00:00"/>
  </r>
  <r>
    <n v="808"/>
    <n v="14841"/>
    <x v="3"/>
    <n v="185816.8"/>
    <x v="0"/>
    <n v="21"/>
    <x v="2"/>
    <d v="2024-11-14T00:00:00"/>
    <d v="2024-12-05T00:00:00"/>
  </r>
  <r>
    <n v="809"/>
    <n v="19469"/>
    <x v="3"/>
    <n v="186721.02"/>
    <x v="0"/>
    <n v="18"/>
    <x v="3"/>
    <d v="2024-08-20T00:00:00"/>
    <d v="2024-09-07T00:00:00"/>
  </r>
  <r>
    <n v="810"/>
    <n v="11951"/>
    <x v="3"/>
    <n v="104981.02"/>
    <x v="0"/>
    <n v="5"/>
    <x v="2"/>
    <d v="2024-05-13T00:00:00"/>
    <d v="2024-05-18T00:00:00"/>
  </r>
  <r>
    <n v="811"/>
    <n v="13921"/>
    <x v="1"/>
    <n v="64623.1"/>
    <x v="0"/>
    <n v="15"/>
    <x v="0"/>
    <d v="2024-05-03T00:00:00"/>
    <d v="2024-05-18T00:00:00"/>
  </r>
  <r>
    <n v="812"/>
    <n v="13424"/>
    <x v="1"/>
    <n v="94619.47"/>
    <x v="0"/>
    <n v="8"/>
    <x v="0"/>
    <d v="2024-12-16T00:00:00"/>
    <d v="2024-12-24T00:00:00"/>
  </r>
  <r>
    <n v="813"/>
    <n v="16725"/>
    <x v="1"/>
    <n v="41378.79"/>
    <x v="0"/>
    <n v="16"/>
    <x v="2"/>
    <d v="2024-11-18T00:00:00"/>
    <d v="2024-12-04T00:00:00"/>
  </r>
  <r>
    <n v="814"/>
    <n v="19517"/>
    <x v="3"/>
    <n v="129087.14"/>
    <x v="0"/>
    <n v="31"/>
    <x v="1"/>
    <d v="2024-12-18T00:00:00"/>
    <d v="2025-01-18T00:00:00"/>
  </r>
  <r>
    <n v="815"/>
    <n v="11171"/>
    <x v="3"/>
    <n v="102518.01"/>
    <x v="0"/>
    <n v="17"/>
    <x v="1"/>
    <d v="2024-04-25T00:00:00"/>
    <d v="2024-05-12T00:00:00"/>
  </r>
  <r>
    <n v="816"/>
    <n v="13769"/>
    <x v="1"/>
    <n v="25143.59"/>
    <x v="0"/>
    <n v="41"/>
    <x v="2"/>
    <d v="2024-01-13T00:00:00"/>
    <d v="2024-02-23T00:00:00"/>
  </r>
  <r>
    <n v="817"/>
    <n v="13631"/>
    <x v="3"/>
    <n v="43541.32"/>
    <x v="1"/>
    <n v="3"/>
    <x v="2"/>
    <d v="2024-11-15T00:00:00"/>
    <d v="2024-11-18T00:00:00"/>
  </r>
  <r>
    <n v="818"/>
    <n v="12310"/>
    <x v="3"/>
    <n v="98528.23"/>
    <x v="1"/>
    <n v="20"/>
    <x v="0"/>
    <d v="2024-06-13T00:00:00"/>
    <d v="2024-07-03T00:00:00"/>
  </r>
  <r>
    <n v="819"/>
    <n v="12343"/>
    <x v="0"/>
    <n v="178079.85"/>
    <x v="1"/>
    <n v="2"/>
    <x v="1"/>
    <d v="2024-07-26T00:00:00"/>
    <d v="2024-07-28T00:00:00"/>
  </r>
  <r>
    <n v="820"/>
    <n v="13386"/>
    <x v="1"/>
    <n v="115446.19"/>
    <x v="0"/>
    <n v="32"/>
    <x v="2"/>
    <d v="2024-03-25T00:00:00"/>
    <d v="2024-04-26T00:00:00"/>
  </r>
  <r>
    <n v="821"/>
    <n v="13067"/>
    <x v="1"/>
    <n v="137899.32999999999"/>
    <x v="0"/>
    <n v="5"/>
    <x v="0"/>
    <d v="2024-09-04T00:00:00"/>
    <d v="2024-09-09T00:00:00"/>
  </r>
  <r>
    <n v="822"/>
    <n v="12339"/>
    <x v="3"/>
    <n v="71110.570000000007"/>
    <x v="0"/>
    <n v="28"/>
    <x v="1"/>
    <d v="2024-02-25T00:00:00"/>
    <d v="2024-03-24T00:00:00"/>
  </r>
  <r>
    <n v="823"/>
    <n v="10683"/>
    <x v="1"/>
    <n v="116425.22"/>
    <x v="0"/>
    <n v="26"/>
    <x v="3"/>
    <d v="2024-06-20T00:00:00"/>
    <d v="2024-07-16T00:00:00"/>
  </r>
  <r>
    <n v="824"/>
    <n v="19067"/>
    <x v="1"/>
    <n v="92239.07"/>
    <x v="0"/>
    <n v="23"/>
    <x v="0"/>
    <d v="2024-05-20T00:00:00"/>
    <d v="2024-06-12T00:00:00"/>
  </r>
  <r>
    <n v="825"/>
    <n v="11054"/>
    <x v="1"/>
    <n v="133530.32999999999"/>
    <x v="0"/>
    <n v="44"/>
    <x v="1"/>
    <d v="2024-05-11T00:00:00"/>
    <d v="2024-06-24T00:00:00"/>
  </r>
  <r>
    <n v="826"/>
    <n v="17211"/>
    <x v="1"/>
    <n v="14862.24"/>
    <x v="1"/>
    <n v="11"/>
    <x v="1"/>
    <d v="2024-07-19T00:00:00"/>
    <d v="2024-07-30T00:00:00"/>
  </r>
  <r>
    <n v="827"/>
    <n v="12602"/>
    <x v="0"/>
    <n v="101193.54"/>
    <x v="0"/>
    <n v="34"/>
    <x v="0"/>
    <d v="2024-10-15T00:00:00"/>
    <d v="2024-11-18T00:00:00"/>
  </r>
  <r>
    <n v="828"/>
    <n v="14014"/>
    <x v="1"/>
    <n v="62718.559999999998"/>
    <x v="2"/>
    <m/>
    <x v="3"/>
    <d v="2024-11-04T00:00:00"/>
    <m/>
  </r>
  <r>
    <n v="829"/>
    <n v="17301"/>
    <x v="3"/>
    <n v="68606.09"/>
    <x v="1"/>
    <n v="31"/>
    <x v="0"/>
    <d v="2024-12-22T00:00:00"/>
    <d v="2025-01-22T00:00:00"/>
  </r>
  <r>
    <n v="830"/>
    <n v="10348"/>
    <x v="1"/>
    <n v="192378.9"/>
    <x v="0"/>
    <n v="17"/>
    <x v="1"/>
    <d v="2024-12-10T00:00:00"/>
    <d v="2024-12-27T00:00:00"/>
  </r>
  <r>
    <n v="831"/>
    <n v="11022"/>
    <x v="1"/>
    <n v="40625.49"/>
    <x v="1"/>
    <n v="10"/>
    <x v="2"/>
    <d v="2024-06-27T00:00:00"/>
    <d v="2024-07-07T00:00:00"/>
  </r>
  <r>
    <n v="832"/>
    <n v="18641"/>
    <x v="1"/>
    <n v="65692.820000000007"/>
    <x v="0"/>
    <n v="18"/>
    <x v="2"/>
    <d v="2024-01-29T00:00:00"/>
    <d v="2024-02-16T00:00:00"/>
  </r>
  <r>
    <n v="833"/>
    <n v="10503"/>
    <x v="3"/>
    <n v="104429.05"/>
    <x v="1"/>
    <n v="36"/>
    <x v="0"/>
    <d v="2024-11-02T00:00:00"/>
    <d v="2024-12-08T00:00:00"/>
  </r>
  <r>
    <n v="834"/>
    <n v="18277"/>
    <x v="3"/>
    <n v="173290.25"/>
    <x v="0"/>
    <n v="16"/>
    <x v="1"/>
    <d v="2024-11-01T00:00:00"/>
    <d v="2024-11-17T00:00:00"/>
  </r>
  <r>
    <n v="835"/>
    <n v="10522"/>
    <x v="0"/>
    <n v="86250.67"/>
    <x v="1"/>
    <n v="29"/>
    <x v="2"/>
    <d v="2024-02-05T00:00:00"/>
    <d v="2024-03-05T00:00:00"/>
  </r>
  <r>
    <n v="836"/>
    <n v="12508"/>
    <x v="1"/>
    <n v="150053.73000000001"/>
    <x v="0"/>
    <n v="21"/>
    <x v="1"/>
    <d v="2024-04-18T00:00:00"/>
    <d v="2024-05-09T00:00:00"/>
  </r>
  <r>
    <n v="837"/>
    <n v="18821"/>
    <x v="2"/>
    <n v="171992.95"/>
    <x v="2"/>
    <m/>
    <x v="0"/>
    <d v="2024-11-11T00:00:00"/>
    <m/>
  </r>
  <r>
    <n v="838"/>
    <n v="10017"/>
    <x v="1"/>
    <n v="65453.19"/>
    <x v="0"/>
    <n v="34"/>
    <x v="2"/>
    <d v="2024-05-25T00:00:00"/>
    <d v="2024-06-28T00:00:00"/>
  </r>
  <r>
    <n v="839"/>
    <n v="17423"/>
    <x v="1"/>
    <n v="81586.289999999994"/>
    <x v="0"/>
    <n v="37"/>
    <x v="1"/>
    <d v="2024-10-02T00:00:00"/>
    <d v="2024-11-08T00:00:00"/>
  </r>
  <r>
    <n v="840"/>
    <n v="11268"/>
    <x v="1"/>
    <n v="74528.460000000006"/>
    <x v="1"/>
    <n v="14"/>
    <x v="2"/>
    <d v="2024-05-25T00:00:00"/>
    <d v="2024-06-08T00:00:00"/>
  </r>
  <r>
    <n v="841"/>
    <n v="11176"/>
    <x v="0"/>
    <n v="167406.88"/>
    <x v="1"/>
    <n v="5"/>
    <x v="0"/>
    <d v="2024-06-16T00:00:00"/>
    <d v="2024-06-21T00:00:00"/>
  </r>
  <r>
    <n v="842"/>
    <n v="11632"/>
    <x v="1"/>
    <n v="13647.64"/>
    <x v="0"/>
    <n v="24"/>
    <x v="1"/>
    <d v="2024-09-13T00:00:00"/>
    <d v="2024-10-07T00:00:00"/>
  </r>
  <r>
    <n v="843"/>
    <n v="13613"/>
    <x v="1"/>
    <n v="65142.11"/>
    <x v="0"/>
    <n v="9"/>
    <x v="2"/>
    <d v="2024-10-01T00:00:00"/>
    <d v="2024-10-10T00:00:00"/>
  </r>
  <r>
    <n v="844"/>
    <n v="10114"/>
    <x v="3"/>
    <n v="137484.67000000001"/>
    <x v="0"/>
    <n v="14"/>
    <x v="0"/>
    <d v="2024-03-27T00:00:00"/>
    <d v="2024-04-10T00:00:00"/>
  </r>
  <r>
    <n v="845"/>
    <n v="18944"/>
    <x v="3"/>
    <n v="115261.48"/>
    <x v="2"/>
    <m/>
    <x v="2"/>
    <d v="2024-06-02T00:00:00"/>
    <m/>
  </r>
  <r>
    <n v="846"/>
    <n v="16590"/>
    <x v="1"/>
    <n v="90076.43"/>
    <x v="1"/>
    <n v="41"/>
    <x v="2"/>
    <d v="2024-10-11T00:00:00"/>
    <d v="2024-11-21T00:00:00"/>
  </r>
  <r>
    <n v="847"/>
    <n v="12400"/>
    <x v="3"/>
    <n v="110289.9"/>
    <x v="1"/>
    <n v="31"/>
    <x v="3"/>
    <d v="2024-11-10T00:00:00"/>
    <d v="2024-12-11T00:00:00"/>
  </r>
  <r>
    <n v="848"/>
    <n v="16768"/>
    <x v="3"/>
    <n v="43528.99"/>
    <x v="0"/>
    <n v="31"/>
    <x v="3"/>
    <d v="2024-11-14T00:00:00"/>
    <d v="2024-12-15T00:00:00"/>
  </r>
  <r>
    <n v="849"/>
    <n v="12588"/>
    <x v="3"/>
    <n v="88989.74"/>
    <x v="0"/>
    <n v="26"/>
    <x v="0"/>
    <d v="2024-04-07T00:00:00"/>
    <d v="2024-05-03T00:00:00"/>
  </r>
  <r>
    <n v="850"/>
    <n v="10321"/>
    <x v="3"/>
    <n v="102832.08"/>
    <x v="0"/>
    <n v="34"/>
    <x v="3"/>
    <d v="2024-07-29T00:00:00"/>
    <d v="2024-09-01T00:00:00"/>
  </r>
  <r>
    <n v="851"/>
    <n v="17626"/>
    <x v="3"/>
    <n v="180731.88"/>
    <x v="1"/>
    <n v="10"/>
    <x v="0"/>
    <d v="2024-02-17T00:00:00"/>
    <d v="2024-02-27T00:00:00"/>
  </r>
  <r>
    <n v="852"/>
    <n v="10833"/>
    <x v="3"/>
    <n v="55862.86"/>
    <x v="0"/>
    <n v="27"/>
    <x v="3"/>
    <d v="2024-11-13T00:00:00"/>
    <d v="2024-12-10T00:00:00"/>
  </r>
  <r>
    <n v="853"/>
    <n v="18403"/>
    <x v="2"/>
    <n v="174226.56"/>
    <x v="1"/>
    <n v="25"/>
    <x v="2"/>
    <d v="2024-09-30T00:00:00"/>
    <d v="2024-10-25T00:00:00"/>
  </r>
  <r>
    <n v="854"/>
    <n v="19448"/>
    <x v="1"/>
    <n v="130627.07"/>
    <x v="0"/>
    <n v="34"/>
    <x v="0"/>
    <d v="2024-07-12T00:00:00"/>
    <d v="2024-08-15T00:00:00"/>
  </r>
  <r>
    <n v="855"/>
    <n v="10158"/>
    <x v="3"/>
    <n v="8966.4599999999991"/>
    <x v="0"/>
    <n v="40"/>
    <x v="0"/>
    <d v="2024-09-08T00:00:00"/>
    <d v="2024-10-18T00:00:00"/>
  </r>
  <r>
    <n v="856"/>
    <n v="12619"/>
    <x v="3"/>
    <n v="146303.10999999999"/>
    <x v="0"/>
    <n v="26"/>
    <x v="2"/>
    <d v="2024-10-09T00:00:00"/>
    <d v="2024-11-04T00:00:00"/>
  </r>
  <r>
    <n v="857"/>
    <n v="11347"/>
    <x v="1"/>
    <n v="11932.62"/>
    <x v="0"/>
    <n v="16"/>
    <x v="0"/>
    <d v="2024-09-18T00:00:00"/>
    <d v="2024-10-04T00:00:00"/>
  </r>
  <r>
    <n v="858"/>
    <n v="13164"/>
    <x v="3"/>
    <n v="199489.32"/>
    <x v="0"/>
    <n v="42"/>
    <x v="0"/>
    <d v="2024-09-18T00:00:00"/>
    <d v="2024-10-30T00:00:00"/>
  </r>
  <r>
    <n v="859"/>
    <n v="16813"/>
    <x v="0"/>
    <n v="175164.15"/>
    <x v="0"/>
    <n v="42"/>
    <x v="3"/>
    <d v="2024-01-31T00:00:00"/>
    <d v="2024-03-13T00:00:00"/>
  </r>
  <r>
    <n v="860"/>
    <n v="10910"/>
    <x v="1"/>
    <n v="62982.03"/>
    <x v="0"/>
    <n v="7"/>
    <x v="0"/>
    <d v="2024-04-14T00:00:00"/>
    <d v="2024-04-21T00:00:00"/>
  </r>
  <r>
    <n v="861"/>
    <n v="17166"/>
    <x v="1"/>
    <n v="55195.19"/>
    <x v="1"/>
    <n v="21"/>
    <x v="1"/>
    <d v="2024-12-15T00:00:00"/>
    <d v="2025-01-05T00:00:00"/>
  </r>
  <r>
    <n v="862"/>
    <n v="12451"/>
    <x v="3"/>
    <n v="79381.009999999995"/>
    <x v="0"/>
    <n v="17"/>
    <x v="2"/>
    <d v="2024-11-07T00:00:00"/>
    <d v="2024-11-24T00:00:00"/>
  </r>
  <r>
    <n v="863"/>
    <n v="10403"/>
    <x v="1"/>
    <n v="74452.56"/>
    <x v="0"/>
    <n v="22"/>
    <x v="3"/>
    <d v="2024-06-17T00:00:00"/>
    <d v="2024-07-09T00:00:00"/>
  </r>
  <r>
    <n v="864"/>
    <n v="11690"/>
    <x v="3"/>
    <n v="77605.87"/>
    <x v="0"/>
    <n v="16"/>
    <x v="3"/>
    <d v="2024-08-23T00:00:00"/>
    <d v="2024-09-08T00:00:00"/>
  </r>
  <r>
    <n v="865"/>
    <n v="13485"/>
    <x v="2"/>
    <n v="67063.929999999993"/>
    <x v="0"/>
    <n v="40"/>
    <x v="1"/>
    <d v="2024-09-30T00:00:00"/>
    <d v="2024-11-09T00:00:00"/>
  </r>
  <r>
    <n v="866"/>
    <n v="19448"/>
    <x v="1"/>
    <n v="126121.01"/>
    <x v="1"/>
    <n v="43"/>
    <x v="2"/>
    <d v="2024-12-08T00:00:00"/>
    <d v="2025-01-20T00:00:00"/>
  </r>
  <r>
    <n v="867"/>
    <n v="14288"/>
    <x v="3"/>
    <n v="37031.410000000003"/>
    <x v="0"/>
    <n v="5"/>
    <x v="2"/>
    <d v="2024-08-17T00:00:00"/>
    <d v="2024-08-22T00:00:00"/>
  </r>
  <r>
    <n v="868"/>
    <n v="19834"/>
    <x v="3"/>
    <n v="169966.35"/>
    <x v="1"/>
    <n v="25"/>
    <x v="3"/>
    <d v="2024-01-23T00:00:00"/>
    <d v="2024-02-17T00:00:00"/>
  </r>
  <r>
    <n v="869"/>
    <n v="18116"/>
    <x v="3"/>
    <n v="163418.48000000001"/>
    <x v="0"/>
    <n v="4"/>
    <x v="0"/>
    <d v="2024-06-12T00:00:00"/>
    <d v="2024-06-16T00:00:00"/>
  </r>
  <r>
    <n v="870"/>
    <n v="10522"/>
    <x v="1"/>
    <n v="97914.23"/>
    <x v="0"/>
    <n v="2"/>
    <x v="3"/>
    <d v="2024-10-07T00:00:00"/>
    <d v="2024-10-09T00:00:00"/>
  </r>
  <r>
    <n v="871"/>
    <n v="14445"/>
    <x v="3"/>
    <n v="171282.34"/>
    <x v="0"/>
    <n v="31"/>
    <x v="2"/>
    <d v="2024-01-07T00:00:00"/>
    <d v="2024-02-07T00:00:00"/>
  </r>
  <r>
    <n v="872"/>
    <n v="16459"/>
    <x v="1"/>
    <n v="53193.29"/>
    <x v="0"/>
    <n v="14"/>
    <x v="1"/>
    <d v="2024-07-28T00:00:00"/>
    <d v="2024-08-11T00:00:00"/>
  </r>
  <r>
    <n v="873"/>
    <n v="17086"/>
    <x v="3"/>
    <n v="8425.26"/>
    <x v="0"/>
    <n v="19"/>
    <x v="3"/>
    <d v="2024-09-09T00:00:00"/>
    <d v="2024-09-28T00:00:00"/>
  </r>
  <r>
    <n v="874"/>
    <n v="11944"/>
    <x v="1"/>
    <n v="125745.55"/>
    <x v="1"/>
    <n v="41"/>
    <x v="2"/>
    <d v="2024-05-12T00:00:00"/>
    <d v="2024-06-22T00:00:00"/>
  </r>
  <r>
    <n v="875"/>
    <n v="13571"/>
    <x v="0"/>
    <n v="94292.33"/>
    <x v="0"/>
    <n v="12"/>
    <x v="3"/>
    <d v="2024-09-30T00:00:00"/>
    <d v="2024-10-12T00:00:00"/>
  </r>
  <r>
    <n v="876"/>
    <n v="11560"/>
    <x v="1"/>
    <n v="115597.09"/>
    <x v="0"/>
    <n v="43"/>
    <x v="0"/>
    <d v="2024-04-15T00:00:00"/>
    <d v="2024-05-28T00:00:00"/>
  </r>
  <r>
    <n v="877"/>
    <n v="14747"/>
    <x v="1"/>
    <n v="180371.18"/>
    <x v="0"/>
    <n v="30"/>
    <x v="3"/>
    <d v="2024-08-19T00:00:00"/>
    <d v="2024-09-18T00:00:00"/>
  </r>
  <r>
    <n v="878"/>
    <n v="17154"/>
    <x v="3"/>
    <n v="194135.49"/>
    <x v="0"/>
    <n v="5"/>
    <x v="3"/>
    <d v="2024-02-02T00:00:00"/>
    <d v="2024-02-07T00:00:00"/>
  </r>
  <r>
    <n v="879"/>
    <n v="10592"/>
    <x v="3"/>
    <n v="128718.36"/>
    <x v="0"/>
    <n v="26"/>
    <x v="2"/>
    <d v="2024-03-19T00:00:00"/>
    <d v="2024-04-14T00:00:00"/>
  </r>
  <r>
    <n v="880"/>
    <n v="15327"/>
    <x v="1"/>
    <n v="153990.84"/>
    <x v="0"/>
    <n v="37"/>
    <x v="2"/>
    <d v="2024-02-04T00:00:00"/>
    <d v="2024-03-12T00:00:00"/>
  </r>
  <r>
    <n v="881"/>
    <n v="10755"/>
    <x v="3"/>
    <n v="21342.639999999999"/>
    <x v="0"/>
    <n v="37"/>
    <x v="2"/>
    <d v="2024-04-19T00:00:00"/>
    <d v="2024-05-26T00:00:00"/>
  </r>
  <r>
    <n v="882"/>
    <n v="19491"/>
    <x v="3"/>
    <n v="36339.54"/>
    <x v="0"/>
    <n v="41"/>
    <x v="3"/>
    <d v="2024-11-16T00:00:00"/>
    <d v="2024-12-27T00:00:00"/>
  </r>
  <r>
    <n v="883"/>
    <n v="10496"/>
    <x v="3"/>
    <n v="147974.94"/>
    <x v="0"/>
    <n v="29"/>
    <x v="0"/>
    <d v="2024-03-03T00:00:00"/>
    <d v="2024-04-01T00:00:00"/>
  </r>
  <r>
    <n v="884"/>
    <n v="12421"/>
    <x v="3"/>
    <n v="89116.26"/>
    <x v="1"/>
    <n v="9"/>
    <x v="1"/>
    <d v="2024-11-23T00:00:00"/>
    <d v="2024-12-02T00:00:00"/>
  </r>
  <r>
    <n v="885"/>
    <n v="11598"/>
    <x v="3"/>
    <n v="91963.23"/>
    <x v="0"/>
    <n v="22"/>
    <x v="1"/>
    <d v="2024-10-23T00:00:00"/>
    <d v="2024-11-14T00:00:00"/>
  </r>
  <r>
    <n v="886"/>
    <n v="14127"/>
    <x v="0"/>
    <n v="65178.5"/>
    <x v="0"/>
    <n v="36"/>
    <x v="2"/>
    <d v="2024-06-26T00:00:00"/>
    <d v="2024-08-01T00:00:00"/>
  </r>
  <r>
    <n v="887"/>
    <n v="17016"/>
    <x v="3"/>
    <n v="123434.49"/>
    <x v="2"/>
    <m/>
    <x v="2"/>
    <d v="2024-12-29T00:00:00"/>
    <m/>
  </r>
  <r>
    <n v="888"/>
    <n v="15551"/>
    <x v="1"/>
    <n v="41107.18"/>
    <x v="0"/>
    <n v="26"/>
    <x v="3"/>
    <d v="2024-08-19T00:00:00"/>
    <d v="2024-09-14T00:00:00"/>
  </r>
  <r>
    <n v="889"/>
    <n v="13590"/>
    <x v="3"/>
    <n v="127248.67"/>
    <x v="0"/>
    <n v="42"/>
    <x v="1"/>
    <d v="2024-04-13T00:00:00"/>
    <d v="2024-05-25T00:00:00"/>
  </r>
  <r>
    <n v="890"/>
    <n v="10461"/>
    <x v="1"/>
    <n v="38890.78"/>
    <x v="0"/>
    <n v="6"/>
    <x v="2"/>
    <d v="2024-10-20T00:00:00"/>
    <d v="2024-10-26T00:00:00"/>
  </r>
  <r>
    <n v="891"/>
    <n v="14966"/>
    <x v="3"/>
    <n v="17446.080000000002"/>
    <x v="0"/>
    <n v="9"/>
    <x v="0"/>
    <d v="2024-02-04T00:00:00"/>
    <d v="2024-02-13T00:00:00"/>
  </r>
  <r>
    <n v="892"/>
    <n v="18559"/>
    <x v="0"/>
    <n v="69419.75"/>
    <x v="0"/>
    <n v="24"/>
    <x v="0"/>
    <d v="2024-07-12T00:00:00"/>
    <d v="2024-08-05T00:00:00"/>
  </r>
  <r>
    <n v="893"/>
    <n v="10165"/>
    <x v="0"/>
    <n v="50072.37"/>
    <x v="2"/>
    <m/>
    <x v="2"/>
    <d v="2024-06-22T00:00:00"/>
    <m/>
  </r>
  <r>
    <n v="894"/>
    <n v="11728"/>
    <x v="3"/>
    <n v="178353.37"/>
    <x v="1"/>
    <n v="38"/>
    <x v="2"/>
    <d v="2024-04-11T00:00:00"/>
    <d v="2024-05-19T00:00:00"/>
  </r>
  <r>
    <n v="895"/>
    <n v="17696"/>
    <x v="2"/>
    <n v="15715.92"/>
    <x v="1"/>
    <n v="32"/>
    <x v="1"/>
    <d v="2024-11-19T00:00:00"/>
    <d v="2024-12-21T00:00:00"/>
  </r>
  <r>
    <n v="896"/>
    <n v="14697"/>
    <x v="2"/>
    <n v="39439.67"/>
    <x v="1"/>
    <n v="30"/>
    <x v="1"/>
    <d v="2024-10-19T00:00:00"/>
    <d v="2024-11-18T00:00:00"/>
  </r>
  <r>
    <n v="897"/>
    <n v="12173"/>
    <x v="0"/>
    <n v="112000.32000000001"/>
    <x v="0"/>
    <n v="42"/>
    <x v="3"/>
    <d v="2024-03-25T00:00:00"/>
    <d v="2024-05-06T00:00:00"/>
  </r>
  <r>
    <n v="898"/>
    <n v="10037"/>
    <x v="0"/>
    <n v="98808.1"/>
    <x v="0"/>
    <n v="21"/>
    <x v="1"/>
    <d v="2024-07-19T00:00:00"/>
    <d v="2024-08-09T00:00:00"/>
  </r>
  <r>
    <n v="899"/>
    <n v="14443"/>
    <x v="3"/>
    <n v="13941.14"/>
    <x v="1"/>
    <n v="4"/>
    <x v="0"/>
    <d v="2024-06-21T00:00:00"/>
    <d v="2024-06-25T00:00:00"/>
  </r>
  <r>
    <n v="900"/>
    <n v="17486"/>
    <x v="1"/>
    <n v="6414.22"/>
    <x v="2"/>
    <m/>
    <x v="0"/>
    <d v="2024-01-29T00:00:00"/>
    <m/>
  </r>
  <r>
    <n v="901"/>
    <n v="12021"/>
    <x v="3"/>
    <n v="197673.25"/>
    <x v="0"/>
    <n v="41"/>
    <x v="2"/>
    <d v="2024-10-23T00:00:00"/>
    <d v="2024-12-03T00:00:00"/>
  </r>
  <r>
    <n v="902"/>
    <n v="16880"/>
    <x v="3"/>
    <n v="133472.76999999999"/>
    <x v="2"/>
    <m/>
    <x v="1"/>
    <d v="2024-02-25T00:00:00"/>
    <m/>
  </r>
  <r>
    <n v="903"/>
    <n v="18925"/>
    <x v="2"/>
    <n v="76254.2"/>
    <x v="0"/>
    <n v="14"/>
    <x v="3"/>
    <d v="2024-01-16T00:00:00"/>
    <d v="2024-01-30T00:00:00"/>
  </r>
  <r>
    <n v="904"/>
    <n v="14521"/>
    <x v="3"/>
    <n v="96734.29"/>
    <x v="0"/>
    <n v="9"/>
    <x v="0"/>
    <d v="2024-05-19T00:00:00"/>
    <d v="2024-05-28T00:00:00"/>
  </r>
  <r>
    <n v="905"/>
    <n v="18839"/>
    <x v="1"/>
    <n v="56977.27"/>
    <x v="0"/>
    <n v="6"/>
    <x v="0"/>
    <d v="2024-03-06T00:00:00"/>
    <d v="2024-03-12T00:00:00"/>
  </r>
  <r>
    <n v="906"/>
    <n v="13302"/>
    <x v="0"/>
    <n v="72250.39"/>
    <x v="0"/>
    <n v="26"/>
    <x v="3"/>
    <d v="2024-05-26T00:00:00"/>
    <d v="2024-06-21T00:00:00"/>
  </r>
  <r>
    <n v="907"/>
    <n v="18511"/>
    <x v="0"/>
    <n v="131563.67000000001"/>
    <x v="0"/>
    <n v="40"/>
    <x v="3"/>
    <d v="2024-06-06T00:00:00"/>
    <d v="2024-07-16T00:00:00"/>
  </r>
  <r>
    <n v="908"/>
    <n v="14607"/>
    <x v="2"/>
    <n v="177148.3"/>
    <x v="0"/>
    <n v="38"/>
    <x v="0"/>
    <d v="2024-03-09T00:00:00"/>
    <d v="2024-04-16T00:00:00"/>
  </r>
  <r>
    <n v="909"/>
    <n v="16368"/>
    <x v="3"/>
    <n v="40905.35"/>
    <x v="0"/>
    <n v="42"/>
    <x v="0"/>
    <d v="2024-01-23T00:00:00"/>
    <d v="2024-03-05T00:00:00"/>
  </r>
  <r>
    <n v="910"/>
    <n v="19914"/>
    <x v="3"/>
    <n v="168870.49"/>
    <x v="0"/>
    <n v="6"/>
    <x v="3"/>
    <d v="2024-07-08T00:00:00"/>
    <d v="2024-07-14T00:00:00"/>
  </r>
  <r>
    <n v="911"/>
    <n v="19948"/>
    <x v="3"/>
    <n v="28703.54"/>
    <x v="0"/>
    <n v="9"/>
    <x v="0"/>
    <d v="2024-09-04T00:00:00"/>
    <d v="2024-09-13T00:00:00"/>
  </r>
  <r>
    <n v="912"/>
    <n v="15873"/>
    <x v="3"/>
    <n v="46923.48"/>
    <x v="2"/>
    <m/>
    <x v="2"/>
    <d v="2024-11-04T00:00:00"/>
    <m/>
  </r>
  <r>
    <n v="913"/>
    <n v="17498"/>
    <x v="3"/>
    <n v="12249.18"/>
    <x v="0"/>
    <n v="42"/>
    <x v="2"/>
    <d v="2024-05-24T00:00:00"/>
    <d v="2024-07-05T00:00:00"/>
  </r>
  <r>
    <n v="914"/>
    <n v="17172"/>
    <x v="3"/>
    <n v="32458.31"/>
    <x v="0"/>
    <n v="23"/>
    <x v="3"/>
    <d v="2024-10-31T00:00:00"/>
    <d v="2024-11-23T00:00:00"/>
  </r>
  <r>
    <n v="915"/>
    <n v="15635"/>
    <x v="1"/>
    <n v="183874.11"/>
    <x v="0"/>
    <n v="15"/>
    <x v="1"/>
    <d v="2024-06-25T00:00:00"/>
    <d v="2024-07-10T00:00:00"/>
  </r>
  <r>
    <n v="916"/>
    <n v="13847"/>
    <x v="1"/>
    <n v="94590.56"/>
    <x v="0"/>
    <n v="20"/>
    <x v="3"/>
    <d v="2024-07-13T00:00:00"/>
    <d v="2024-08-02T00:00:00"/>
  </r>
  <r>
    <n v="917"/>
    <n v="19129"/>
    <x v="3"/>
    <n v="20144.84"/>
    <x v="1"/>
    <n v="14"/>
    <x v="3"/>
    <d v="2024-01-13T00:00:00"/>
    <d v="2024-01-27T00:00:00"/>
  </r>
  <r>
    <n v="918"/>
    <n v="10764"/>
    <x v="1"/>
    <n v="192146.73"/>
    <x v="0"/>
    <n v="36"/>
    <x v="1"/>
    <d v="2024-12-29T00:00:00"/>
    <d v="2025-02-03T00:00:00"/>
  </r>
  <r>
    <n v="919"/>
    <n v="16306"/>
    <x v="3"/>
    <n v="176403.5"/>
    <x v="1"/>
    <n v="5"/>
    <x v="1"/>
    <d v="2024-06-14T00:00:00"/>
    <d v="2024-06-19T00:00:00"/>
  </r>
  <r>
    <n v="920"/>
    <n v="10652"/>
    <x v="3"/>
    <n v="152163.09"/>
    <x v="0"/>
    <n v="34"/>
    <x v="1"/>
    <d v="2024-05-29T00:00:00"/>
    <d v="2024-07-02T00:00:00"/>
  </r>
  <r>
    <n v="921"/>
    <n v="17044"/>
    <x v="1"/>
    <n v="187027.19"/>
    <x v="0"/>
    <n v="23"/>
    <x v="2"/>
    <d v="2024-12-06T00:00:00"/>
    <d v="2024-12-29T00:00:00"/>
  </r>
  <r>
    <n v="922"/>
    <n v="13964"/>
    <x v="1"/>
    <n v="47925.24"/>
    <x v="0"/>
    <n v="2"/>
    <x v="0"/>
    <d v="2024-02-14T00:00:00"/>
    <d v="2024-02-16T00:00:00"/>
  </r>
  <r>
    <n v="923"/>
    <n v="14611"/>
    <x v="1"/>
    <n v="168092.01"/>
    <x v="0"/>
    <n v="12"/>
    <x v="2"/>
    <d v="2024-06-22T00:00:00"/>
    <d v="2024-07-04T00:00:00"/>
  </r>
  <r>
    <n v="924"/>
    <n v="15759"/>
    <x v="3"/>
    <n v="139548.28"/>
    <x v="0"/>
    <n v="17"/>
    <x v="0"/>
    <d v="2024-06-15T00:00:00"/>
    <d v="2024-07-02T00:00:00"/>
  </r>
  <r>
    <n v="925"/>
    <n v="18378"/>
    <x v="0"/>
    <n v="174603.05"/>
    <x v="0"/>
    <n v="5"/>
    <x v="2"/>
    <d v="2024-07-15T00:00:00"/>
    <d v="2024-07-20T00:00:00"/>
  </r>
  <r>
    <n v="926"/>
    <n v="10145"/>
    <x v="1"/>
    <n v="160397.76000000001"/>
    <x v="0"/>
    <n v="30"/>
    <x v="0"/>
    <d v="2024-07-24T00:00:00"/>
    <d v="2024-08-23T00:00:00"/>
  </r>
  <r>
    <n v="927"/>
    <n v="15101"/>
    <x v="1"/>
    <n v="72566.539999999994"/>
    <x v="0"/>
    <n v="40"/>
    <x v="2"/>
    <d v="2024-03-22T00:00:00"/>
    <d v="2024-05-01T00:00:00"/>
  </r>
  <r>
    <n v="928"/>
    <n v="14247"/>
    <x v="1"/>
    <n v="156007.71"/>
    <x v="2"/>
    <m/>
    <x v="1"/>
    <d v="2024-03-08T00:00:00"/>
    <m/>
  </r>
  <r>
    <n v="929"/>
    <n v="19578"/>
    <x v="0"/>
    <n v="56178.98"/>
    <x v="0"/>
    <n v="25"/>
    <x v="3"/>
    <d v="2024-04-06T00:00:00"/>
    <d v="2024-05-01T00:00:00"/>
  </r>
  <r>
    <n v="930"/>
    <n v="14188"/>
    <x v="1"/>
    <n v="69075.47"/>
    <x v="0"/>
    <n v="10"/>
    <x v="2"/>
    <d v="2024-06-15T00:00:00"/>
    <d v="2024-06-25T00:00:00"/>
  </r>
  <r>
    <n v="931"/>
    <n v="12696"/>
    <x v="1"/>
    <n v="26041.61"/>
    <x v="0"/>
    <n v="9"/>
    <x v="0"/>
    <d v="2024-03-17T00:00:00"/>
    <d v="2024-03-26T00:00:00"/>
  </r>
  <r>
    <n v="932"/>
    <n v="18240"/>
    <x v="2"/>
    <n v="187339.94"/>
    <x v="0"/>
    <n v="15"/>
    <x v="1"/>
    <d v="2024-08-24T00:00:00"/>
    <d v="2024-09-08T00:00:00"/>
  </r>
  <r>
    <n v="933"/>
    <n v="13329"/>
    <x v="1"/>
    <n v="61745.66"/>
    <x v="0"/>
    <n v="16"/>
    <x v="2"/>
    <d v="2024-07-14T00:00:00"/>
    <d v="2024-07-30T00:00:00"/>
  </r>
  <r>
    <n v="934"/>
    <n v="13481"/>
    <x v="3"/>
    <n v="106521.38"/>
    <x v="1"/>
    <n v="23"/>
    <x v="2"/>
    <d v="2024-10-17T00:00:00"/>
    <d v="2024-11-09T00:00:00"/>
  </r>
  <r>
    <n v="935"/>
    <n v="18966"/>
    <x v="1"/>
    <n v="81309.899999999994"/>
    <x v="2"/>
    <m/>
    <x v="1"/>
    <d v="2024-05-15T00:00:00"/>
    <m/>
  </r>
  <r>
    <n v="936"/>
    <n v="14641"/>
    <x v="3"/>
    <n v="192185.98"/>
    <x v="0"/>
    <n v="16"/>
    <x v="2"/>
    <d v="2024-11-03T00:00:00"/>
    <d v="2024-11-19T00:00:00"/>
  </r>
  <r>
    <n v="937"/>
    <n v="15559"/>
    <x v="3"/>
    <n v="70334.59"/>
    <x v="0"/>
    <n v="7"/>
    <x v="3"/>
    <d v="2024-10-22T00:00:00"/>
    <d v="2024-10-29T00:00:00"/>
  </r>
  <r>
    <n v="938"/>
    <n v="11260"/>
    <x v="1"/>
    <n v="156816.44"/>
    <x v="0"/>
    <n v="2"/>
    <x v="2"/>
    <d v="2024-02-05T00:00:00"/>
    <d v="2024-02-07T00:00:00"/>
  </r>
  <r>
    <n v="939"/>
    <n v="10649"/>
    <x v="2"/>
    <n v="171806.15"/>
    <x v="0"/>
    <n v="21"/>
    <x v="3"/>
    <d v="2024-09-04T00:00:00"/>
    <d v="2024-09-25T00:00:00"/>
  </r>
  <r>
    <n v="940"/>
    <n v="13048"/>
    <x v="2"/>
    <n v="89943.27"/>
    <x v="0"/>
    <n v="42"/>
    <x v="3"/>
    <d v="2024-09-10T00:00:00"/>
    <d v="2024-10-22T00:00:00"/>
  </r>
  <r>
    <n v="941"/>
    <n v="12023"/>
    <x v="3"/>
    <n v="78743.5"/>
    <x v="0"/>
    <n v="37"/>
    <x v="1"/>
    <d v="2024-08-01T00:00:00"/>
    <d v="2024-09-07T00:00:00"/>
  </r>
  <r>
    <n v="942"/>
    <n v="19272"/>
    <x v="1"/>
    <n v="150810.44"/>
    <x v="0"/>
    <n v="3"/>
    <x v="2"/>
    <d v="2024-09-08T00:00:00"/>
    <d v="2024-09-11T00:00:00"/>
  </r>
  <r>
    <n v="943"/>
    <n v="14270"/>
    <x v="3"/>
    <n v="183014.72"/>
    <x v="0"/>
    <n v="7"/>
    <x v="1"/>
    <d v="2024-03-10T00:00:00"/>
    <d v="2024-03-17T00:00:00"/>
  </r>
  <r>
    <n v="944"/>
    <n v="15333"/>
    <x v="2"/>
    <n v="152211.69"/>
    <x v="0"/>
    <n v="3"/>
    <x v="2"/>
    <d v="2024-08-21T00:00:00"/>
    <d v="2024-08-24T00:00:00"/>
  </r>
  <r>
    <n v="945"/>
    <n v="12074"/>
    <x v="2"/>
    <n v="49289.64"/>
    <x v="0"/>
    <n v="4"/>
    <x v="2"/>
    <d v="2024-11-24T00:00:00"/>
    <d v="2024-11-28T00:00:00"/>
  </r>
  <r>
    <n v="946"/>
    <n v="16037"/>
    <x v="1"/>
    <n v="178220.01"/>
    <x v="0"/>
    <n v="8"/>
    <x v="0"/>
    <d v="2024-01-16T00:00:00"/>
    <d v="2024-01-24T00:00:00"/>
  </r>
  <r>
    <n v="947"/>
    <n v="12312"/>
    <x v="0"/>
    <n v="80578.429999999993"/>
    <x v="0"/>
    <n v="21"/>
    <x v="2"/>
    <d v="2024-06-22T00:00:00"/>
    <d v="2024-07-13T00:00:00"/>
  </r>
  <r>
    <n v="948"/>
    <n v="13474"/>
    <x v="1"/>
    <n v="117364.74"/>
    <x v="1"/>
    <n v="42"/>
    <x v="1"/>
    <d v="2024-07-05T00:00:00"/>
    <d v="2024-08-16T00:00:00"/>
  </r>
  <r>
    <n v="949"/>
    <n v="13260"/>
    <x v="1"/>
    <n v="167129.95000000001"/>
    <x v="0"/>
    <n v="42"/>
    <x v="3"/>
    <d v="2024-10-20T00:00:00"/>
    <d v="2024-12-01T00:00:00"/>
  </r>
  <r>
    <n v="950"/>
    <n v="14838"/>
    <x v="3"/>
    <n v="41736.980000000003"/>
    <x v="1"/>
    <n v="6"/>
    <x v="2"/>
    <d v="2024-08-12T00:00:00"/>
    <d v="2024-08-18T00:00:00"/>
  </r>
  <r>
    <n v="951"/>
    <n v="15618"/>
    <x v="3"/>
    <n v="157979.48000000001"/>
    <x v="0"/>
    <n v="26"/>
    <x v="0"/>
    <d v="2024-09-30T00:00:00"/>
    <d v="2024-10-26T00:00:00"/>
  </r>
  <r>
    <n v="952"/>
    <n v="11350"/>
    <x v="1"/>
    <n v="121251.75"/>
    <x v="0"/>
    <n v="39"/>
    <x v="1"/>
    <d v="2024-01-12T00:00:00"/>
    <d v="2024-02-20T00:00:00"/>
  </r>
  <r>
    <n v="953"/>
    <n v="19285"/>
    <x v="1"/>
    <n v="179201.62"/>
    <x v="0"/>
    <n v="19"/>
    <x v="2"/>
    <d v="2024-11-05T00:00:00"/>
    <d v="2024-11-24T00:00:00"/>
  </r>
  <r>
    <n v="954"/>
    <n v="16048"/>
    <x v="3"/>
    <n v="38534.230000000003"/>
    <x v="0"/>
    <n v="2"/>
    <x v="1"/>
    <d v="2024-08-06T00:00:00"/>
    <d v="2024-08-08T00:00:00"/>
  </r>
  <r>
    <n v="955"/>
    <n v="17931"/>
    <x v="2"/>
    <n v="87033.04"/>
    <x v="2"/>
    <m/>
    <x v="0"/>
    <d v="2024-01-01T00:00:00"/>
    <m/>
  </r>
  <r>
    <n v="956"/>
    <n v="18141"/>
    <x v="3"/>
    <n v="167404.4"/>
    <x v="0"/>
    <n v="18"/>
    <x v="0"/>
    <d v="2024-04-20T00:00:00"/>
    <d v="2024-05-08T00:00:00"/>
  </r>
  <r>
    <n v="957"/>
    <n v="17323"/>
    <x v="1"/>
    <n v="8750.18"/>
    <x v="0"/>
    <n v="16"/>
    <x v="1"/>
    <d v="2024-10-03T00:00:00"/>
    <d v="2024-10-19T00:00:00"/>
  </r>
  <r>
    <n v="958"/>
    <n v="15777"/>
    <x v="1"/>
    <n v="26879.27"/>
    <x v="0"/>
    <n v="6"/>
    <x v="2"/>
    <d v="2024-05-08T00:00:00"/>
    <d v="2024-05-14T00:00:00"/>
  </r>
  <r>
    <n v="959"/>
    <n v="11854"/>
    <x v="1"/>
    <n v="198160.22"/>
    <x v="2"/>
    <m/>
    <x v="3"/>
    <d v="2024-04-02T00:00:00"/>
    <m/>
  </r>
  <r>
    <n v="960"/>
    <n v="12266"/>
    <x v="1"/>
    <n v="59676.86"/>
    <x v="0"/>
    <n v="22"/>
    <x v="0"/>
    <d v="2024-02-08T00:00:00"/>
    <d v="2024-03-01T00:00:00"/>
  </r>
  <r>
    <n v="961"/>
    <n v="10560"/>
    <x v="3"/>
    <n v="195230.92"/>
    <x v="2"/>
    <m/>
    <x v="2"/>
    <d v="2024-11-11T00:00:00"/>
    <m/>
  </r>
  <r>
    <n v="962"/>
    <n v="17546"/>
    <x v="3"/>
    <n v="40593.65"/>
    <x v="2"/>
    <m/>
    <x v="2"/>
    <d v="2024-06-07T00:00:00"/>
    <m/>
  </r>
  <r>
    <n v="963"/>
    <n v="14987"/>
    <x v="1"/>
    <n v="75413.42"/>
    <x v="0"/>
    <n v="11"/>
    <x v="3"/>
    <d v="2024-07-04T00:00:00"/>
    <d v="2024-07-15T00:00:00"/>
  </r>
  <r>
    <n v="964"/>
    <n v="17207"/>
    <x v="1"/>
    <n v="151809.54"/>
    <x v="1"/>
    <n v="18"/>
    <x v="0"/>
    <d v="2024-12-18T00:00:00"/>
    <d v="2025-01-05T00:00:00"/>
  </r>
  <r>
    <n v="965"/>
    <n v="16486"/>
    <x v="3"/>
    <n v="133266.79"/>
    <x v="2"/>
    <m/>
    <x v="0"/>
    <d v="2024-09-12T00:00:00"/>
    <m/>
  </r>
  <r>
    <n v="966"/>
    <n v="12383"/>
    <x v="1"/>
    <n v="118318.87"/>
    <x v="0"/>
    <n v="38"/>
    <x v="2"/>
    <d v="2024-08-26T00:00:00"/>
    <d v="2024-10-03T00:00:00"/>
  </r>
  <r>
    <n v="967"/>
    <n v="16147"/>
    <x v="3"/>
    <n v="108330.34"/>
    <x v="0"/>
    <n v="8"/>
    <x v="2"/>
    <d v="2024-04-13T00:00:00"/>
    <d v="2024-04-21T00:00:00"/>
  </r>
  <r>
    <n v="968"/>
    <n v="17664"/>
    <x v="1"/>
    <n v="169470.89"/>
    <x v="0"/>
    <n v="13"/>
    <x v="3"/>
    <d v="2024-01-29T00:00:00"/>
    <d v="2024-02-11T00:00:00"/>
  </r>
  <r>
    <n v="969"/>
    <n v="11683"/>
    <x v="0"/>
    <n v="50814.97"/>
    <x v="0"/>
    <n v="41"/>
    <x v="3"/>
    <d v="2024-03-29T00:00:00"/>
    <d v="2024-05-09T00:00:00"/>
  </r>
  <r>
    <n v="970"/>
    <n v="19390"/>
    <x v="3"/>
    <n v="91281.83"/>
    <x v="0"/>
    <n v="2"/>
    <x v="0"/>
    <d v="2024-02-20T00:00:00"/>
    <d v="2024-02-22T00:00:00"/>
  </r>
  <r>
    <n v="971"/>
    <n v="11009"/>
    <x v="3"/>
    <n v="35313.199999999997"/>
    <x v="0"/>
    <n v="21"/>
    <x v="1"/>
    <d v="2024-12-29T00:00:00"/>
    <d v="2025-01-19T00:00:00"/>
  </r>
  <r>
    <n v="972"/>
    <n v="19963"/>
    <x v="1"/>
    <n v="121208.61"/>
    <x v="0"/>
    <n v="32"/>
    <x v="0"/>
    <d v="2024-05-26T00:00:00"/>
    <d v="2024-06-27T00:00:00"/>
  </r>
  <r>
    <n v="973"/>
    <n v="19899"/>
    <x v="1"/>
    <n v="53856.160000000003"/>
    <x v="0"/>
    <n v="5"/>
    <x v="2"/>
    <d v="2024-11-09T00:00:00"/>
    <d v="2024-11-14T00:00:00"/>
  </r>
  <r>
    <n v="974"/>
    <n v="12272"/>
    <x v="1"/>
    <n v="70099.199999999997"/>
    <x v="0"/>
    <n v="27"/>
    <x v="0"/>
    <d v="2024-02-05T00:00:00"/>
    <d v="2024-03-03T00:00:00"/>
  </r>
  <r>
    <n v="975"/>
    <n v="12612"/>
    <x v="0"/>
    <n v="96893.89"/>
    <x v="1"/>
    <n v="13"/>
    <x v="1"/>
    <d v="2024-10-10T00:00:00"/>
    <d v="2024-10-23T00:00:00"/>
  </r>
  <r>
    <n v="976"/>
    <n v="17424"/>
    <x v="0"/>
    <n v="10220.26"/>
    <x v="1"/>
    <n v="23"/>
    <x v="3"/>
    <d v="2024-04-10T00:00:00"/>
    <d v="2024-05-03T00:00:00"/>
  </r>
  <r>
    <n v="977"/>
    <n v="17226"/>
    <x v="2"/>
    <n v="22927.9"/>
    <x v="0"/>
    <n v="2"/>
    <x v="1"/>
    <d v="2024-04-16T00:00:00"/>
    <d v="2024-04-18T00:00:00"/>
  </r>
  <r>
    <n v="978"/>
    <n v="16063"/>
    <x v="1"/>
    <n v="138756.20000000001"/>
    <x v="0"/>
    <n v="2"/>
    <x v="1"/>
    <d v="2024-12-10T00:00:00"/>
    <d v="2024-12-12T00:00:00"/>
  </r>
  <r>
    <n v="979"/>
    <n v="14341"/>
    <x v="3"/>
    <n v="88649.15"/>
    <x v="0"/>
    <n v="4"/>
    <x v="1"/>
    <d v="2024-10-17T00:00:00"/>
    <d v="2024-10-21T00:00:00"/>
  </r>
  <r>
    <n v="980"/>
    <n v="11542"/>
    <x v="3"/>
    <n v="173634.09"/>
    <x v="2"/>
    <m/>
    <x v="3"/>
    <d v="2024-12-14T00:00:00"/>
    <m/>
  </r>
  <r>
    <n v="981"/>
    <n v="11237"/>
    <x v="3"/>
    <n v="140461.04"/>
    <x v="0"/>
    <n v="22"/>
    <x v="1"/>
    <d v="2024-04-14T00:00:00"/>
    <d v="2024-05-06T00:00:00"/>
  </r>
  <r>
    <n v="982"/>
    <n v="15709"/>
    <x v="1"/>
    <n v="6579.68"/>
    <x v="0"/>
    <n v="14"/>
    <x v="1"/>
    <d v="2024-08-08T00:00:00"/>
    <d v="2024-08-22T00:00:00"/>
  </r>
  <r>
    <n v="983"/>
    <n v="19916"/>
    <x v="3"/>
    <n v="125258.9"/>
    <x v="2"/>
    <m/>
    <x v="1"/>
    <d v="2024-03-16T00:00:00"/>
    <m/>
  </r>
  <r>
    <n v="984"/>
    <n v="12263"/>
    <x v="2"/>
    <n v="23276.35"/>
    <x v="2"/>
    <m/>
    <x v="2"/>
    <d v="2024-08-14T00:00:00"/>
    <m/>
  </r>
  <r>
    <n v="985"/>
    <n v="10282"/>
    <x v="1"/>
    <n v="157281.97"/>
    <x v="1"/>
    <n v="19"/>
    <x v="1"/>
    <d v="2024-03-24T00:00:00"/>
    <d v="2024-04-12T00:00:00"/>
  </r>
  <r>
    <n v="986"/>
    <n v="17998"/>
    <x v="1"/>
    <n v="198344"/>
    <x v="1"/>
    <n v="34"/>
    <x v="3"/>
    <d v="2024-03-16T00:00:00"/>
    <d v="2024-04-19T00:00:00"/>
  </r>
  <r>
    <n v="987"/>
    <n v="17740"/>
    <x v="3"/>
    <n v="108583.76"/>
    <x v="0"/>
    <n v="7"/>
    <x v="1"/>
    <d v="2024-09-05T00:00:00"/>
    <d v="2024-09-12T00:00:00"/>
  </r>
  <r>
    <n v="988"/>
    <n v="13286"/>
    <x v="3"/>
    <n v="138142"/>
    <x v="0"/>
    <n v="26"/>
    <x v="1"/>
    <d v="2024-09-11T00:00:00"/>
    <d v="2024-10-07T00:00:00"/>
  </r>
  <r>
    <n v="989"/>
    <n v="18363"/>
    <x v="3"/>
    <n v="51276.26"/>
    <x v="0"/>
    <n v="24"/>
    <x v="3"/>
    <d v="2024-02-19T00:00:00"/>
    <d v="2024-03-14T00:00:00"/>
  </r>
  <r>
    <n v="990"/>
    <n v="11882"/>
    <x v="3"/>
    <n v="90331.56"/>
    <x v="0"/>
    <n v="25"/>
    <x v="1"/>
    <d v="2024-12-21T00:00:00"/>
    <d v="2025-01-15T00:00:00"/>
  </r>
  <r>
    <n v="991"/>
    <n v="16187"/>
    <x v="3"/>
    <n v="171938.59"/>
    <x v="1"/>
    <n v="38"/>
    <x v="3"/>
    <d v="2024-07-28T00:00:00"/>
    <d v="2024-09-04T00:00:00"/>
  </r>
  <r>
    <n v="992"/>
    <n v="12275"/>
    <x v="1"/>
    <n v="37647.47"/>
    <x v="0"/>
    <n v="27"/>
    <x v="1"/>
    <d v="2024-06-06T00:00:00"/>
    <d v="2024-07-03T00:00:00"/>
  </r>
  <r>
    <n v="993"/>
    <n v="16874"/>
    <x v="0"/>
    <n v="56779.44"/>
    <x v="0"/>
    <n v="5"/>
    <x v="3"/>
    <d v="2024-11-23T00:00:00"/>
    <d v="2024-11-28T00:00:00"/>
  </r>
  <r>
    <n v="994"/>
    <n v="17502"/>
    <x v="0"/>
    <n v="91859.57"/>
    <x v="2"/>
    <m/>
    <x v="1"/>
    <d v="2024-08-20T00:00:00"/>
    <m/>
  </r>
  <r>
    <n v="995"/>
    <n v="18792"/>
    <x v="1"/>
    <n v="143888.53"/>
    <x v="0"/>
    <n v="36"/>
    <x v="1"/>
    <d v="2024-03-17T00:00:00"/>
    <d v="2024-04-22T00:00:00"/>
  </r>
  <r>
    <n v="996"/>
    <n v="13790"/>
    <x v="3"/>
    <n v="78297.37"/>
    <x v="2"/>
    <m/>
    <x v="2"/>
    <d v="2024-08-10T00:00:00"/>
    <m/>
  </r>
  <r>
    <n v="997"/>
    <n v="12023"/>
    <x v="0"/>
    <n v="185907.79"/>
    <x v="2"/>
    <m/>
    <x v="2"/>
    <d v="2024-04-30T00:00:00"/>
    <m/>
  </r>
  <r>
    <n v="998"/>
    <n v="10466"/>
    <x v="0"/>
    <n v="23419.119999999999"/>
    <x v="0"/>
    <n v="26"/>
    <x v="1"/>
    <d v="2024-11-05T00:00:00"/>
    <d v="2024-12-01T00:00:00"/>
  </r>
  <r>
    <n v="999"/>
    <n v="13950"/>
    <x v="3"/>
    <n v="77306.820000000007"/>
    <x v="0"/>
    <n v="21"/>
    <x v="1"/>
    <d v="2024-11-22T00:00:00"/>
    <d v="2024-12-13T00:00:00"/>
  </r>
  <r>
    <n v="1000"/>
    <n v="13889"/>
    <x v="1"/>
    <n v="143246.04999999999"/>
    <x v="0"/>
    <n v="2"/>
    <x v="0"/>
    <d v="2024-12-06T00:00:00"/>
    <d v="2024-12-08T00:00:00"/>
  </r>
  <r>
    <n v="1001"/>
    <n v="12592"/>
    <x v="3"/>
    <n v="49067.42"/>
    <x v="0"/>
    <n v="31"/>
    <x v="3"/>
    <d v="2024-12-23T00:00:00"/>
    <d v="2025-01-23T00:00:00"/>
  </r>
  <r>
    <n v="1002"/>
    <n v="16632"/>
    <x v="0"/>
    <n v="133000.56"/>
    <x v="0"/>
    <n v="5"/>
    <x v="0"/>
    <d v="2024-04-16T00:00:00"/>
    <d v="2024-04-21T00:00:00"/>
  </r>
  <r>
    <n v="1003"/>
    <n v="19211"/>
    <x v="2"/>
    <n v="37022.31"/>
    <x v="0"/>
    <n v="24"/>
    <x v="2"/>
    <d v="2024-08-28T00:00:00"/>
    <d v="2024-09-21T00:00:00"/>
  </r>
  <r>
    <n v="1004"/>
    <n v="16358"/>
    <x v="3"/>
    <n v="15916.16"/>
    <x v="2"/>
    <m/>
    <x v="2"/>
    <d v="2024-01-28T00:00:00"/>
    <m/>
  </r>
  <r>
    <n v="1005"/>
    <n v="11547"/>
    <x v="0"/>
    <n v="28598.06"/>
    <x v="0"/>
    <n v="43"/>
    <x v="2"/>
    <d v="2024-07-10T00:00:00"/>
    <d v="2024-08-22T00:00:00"/>
  </r>
  <r>
    <n v="1006"/>
    <n v="17169"/>
    <x v="1"/>
    <n v="186347.03"/>
    <x v="1"/>
    <n v="23"/>
    <x v="2"/>
    <d v="2024-09-05T00:00:00"/>
    <d v="2024-09-28T00:00:00"/>
  </r>
  <r>
    <n v="1007"/>
    <n v="14749"/>
    <x v="2"/>
    <n v="112591.42"/>
    <x v="0"/>
    <n v="32"/>
    <x v="1"/>
    <d v="2024-12-29T00:00:00"/>
    <d v="2025-01-30T00:00:00"/>
  </r>
  <r>
    <n v="1008"/>
    <n v="14436"/>
    <x v="3"/>
    <n v="160287.43"/>
    <x v="0"/>
    <n v="2"/>
    <x v="2"/>
    <d v="2024-07-31T00:00:00"/>
    <d v="2024-08-02T00:00:00"/>
  </r>
  <r>
    <n v="1009"/>
    <n v="10703"/>
    <x v="0"/>
    <n v="69867.63"/>
    <x v="2"/>
    <m/>
    <x v="1"/>
    <d v="2024-01-21T00:00:00"/>
    <m/>
  </r>
  <r>
    <n v="1010"/>
    <n v="16550"/>
    <x v="3"/>
    <n v="120568.44"/>
    <x v="0"/>
    <n v="20"/>
    <x v="1"/>
    <d v="2024-06-03T00:00:00"/>
    <d v="2024-06-23T00:00:00"/>
  </r>
  <r>
    <n v="1011"/>
    <n v="19044"/>
    <x v="3"/>
    <n v="101515.67"/>
    <x v="0"/>
    <n v="31"/>
    <x v="2"/>
    <d v="2024-01-27T00:00:00"/>
    <d v="2024-02-27T00:00:00"/>
  </r>
  <r>
    <n v="1012"/>
    <n v="18497"/>
    <x v="3"/>
    <n v="189418.9"/>
    <x v="0"/>
    <n v="2"/>
    <x v="2"/>
    <d v="2024-03-17T00:00:00"/>
    <d v="2024-03-19T00:00:00"/>
  </r>
  <r>
    <n v="1013"/>
    <n v="17636"/>
    <x v="2"/>
    <n v="150777.04999999999"/>
    <x v="1"/>
    <n v="20"/>
    <x v="3"/>
    <d v="2024-11-01T00:00:00"/>
    <d v="2024-11-21T00:00:00"/>
  </r>
  <r>
    <n v="1014"/>
    <n v="19979"/>
    <x v="0"/>
    <n v="147455.81"/>
    <x v="0"/>
    <n v="22"/>
    <x v="0"/>
    <d v="2024-02-26T00:00:00"/>
    <d v="2024-03-19T00:00:00"/>
  </r>
  <r>
    <n v="1015"/>
    <n v="19065"/>
    <x v="0"/>
    <n v="14038.89"/>
    <x v="0"/>
    <n v="23"/>
    <x v="2"/>
    <d v="2024-04-28T00:00:00"/>
    <d v="2024-05-21T00:00:00"/>
  </r>
  <r>
    <n v="1016"/>
    <n v="11581"/>
    <x v="2"/>
    <n v="112185.59"/>
    <x v="0"/>
    <n v="3"/>
    <x v="3"/>
    <d v="2024-06-13T00:00:00"/>
    <d v="2024-06-16T00:00:00"/>
  </r>
  <r>
    <n v="1017"/>
    <n v="13957"/>
    <x v="3"/>
    <n v="96063.33"/>
    <x v="2"/>
    <m/>
    <x v="3"/>
    <d v="2024-03-04T00:00:00"/>
    <m/>
  </r>
  <r>
    <n v="1018"/>
    <n v="14590"/>
    <x v="3"/>
    <n v="185929.24"/>
    <x v="2"/>
    <m/>
    <x v="0"/>
    <d v="2024-02-17T00:00:00"/>
    <m/>
  </r>
  <r>
    <n v="1019"/>
    <n v="13332"/>
    <x v="3"/>
    <n v="55181.69"/>
    <x v="0"/>
    <n v="34"/>
    <x v="1"/>
    <d v="2024-05-29T00:00:00"/>
    <d v="2024-07-02T00:00:00"/>
  </r>
  <r>
    <n v="1020"/>
    <n v="11685"/>
    <x v="3"/>
    <n v="57617.52"/>
    <x v="1"/>
    <n v="20"/>
    <x v="2"/>
    <d v="2024-06-06T00:00:00"/>
    <d v="2024-06-26T00:00:00"/>
  </r>
  <r>
    <n v="1021"/>
    <n v="19797"/>
    <x v="3"/>
    <n v="85212.52"/>
    <x v="0"/>
    <n v="28"/>
    <x v="0"/>
    <d v="2024-06-04T00:00:00"/>
    <d v="2024-07-02T00:00:00"/>
  </r>
  <r>
    <n v="1022"/>
    <n v="17531"/>
    <x v="3"/>
    <n v="52457.09"/>
    <x v="0"/>
    <n v="38"/>
    <x v="2"/>
    <d v="2024-05-30T00:00:00"/>
    <d v="2024-07-07T00:00:00"/>
  </r>
  <r>
    <n v="1023"/>
    <n v="16911"/>
    <x v="3"/>
    <n v="30190.86"/>
    <x v="0"/>
    <n v="30"/>
    <x v="3"/>
    <d v="2024-08-12T00:00:00"/>
    <d v="2024-09-11T00:00:00"/>
  </r>
  <r>
    <n v="1024"/>
    <n v="15731"/>
    <x v="3"/>
    <n v="172195.9"/>
    <x v="0"/>
    <n v="29"/>
    <x v="3"/>
    <d v="2024-09-16T00:00:00"/>
    <d v="2024-10-15T00:00:00"/>
  </r>
  <r>
    <n v="1025"/>
    <n v="10895"/>
    <x v="3"/>
    <n v="113863.92"/>
    <x v="0"/>
    <n v="35"/>
    <x v="1"/>
    <d v="2024-09-12T00:00:00"/>
    <d v="2024-10-17T00:00:00"/>
  </r>
  <r>
    <n v="1026"/>
    <n v="18032"/>
    <x v="3"/>
    <n v="172965.73"/>
    <x v="0"/>
    <n v="2"/>
    <x v="3"/>
    <d v="2024-03-01T00:00:00"/>
    <d v="2024-03-03T00:00:00"/>
  </r>
  <r>
    <n v="1027"/>
    <n v="12346"/>
    <x v="2"/>
    <n v="167071.28"/>
    <x v="0"/>
    <n v="26"/>
    <x v="3"/>
    <d v="2024-12-17T00:00:00"/>
    <d v="2025-01-12T00:00:00"/>
  </r>
  <r>
    <n v="1028"/>
    <n v="13531"/>
    <x v="1"/>
    <n v="59998.26"/>
    <x v="1"/>
    <n v="22"/>
    <x v="0"/>
    <d v="2024-09-16T00:00:00"/>
    <d v="2024-10-08T00:00:00"/>
  </r>
  <r>
    <n v="1029"/>
    <n v="11861"/>
    <x v="2"/>
    <n v="111808.8"/>
    <x v="0"/>
    <n v="35"/>
    <x v="2"/>
    <d v="2024-11-16T00:00:00"/>
    <d v="2024-12-21T00:00:00"/>
  </r>
  <r>
    <n v="1030"/>
    <n v="14852"/>
    <x v="3"/>
    <n v="21227.45"/>
    <x v="0"/>
    <n v="27"/>
    <x v="2"/>
    <d v="2024-06-10T00:00:00"/>
    <d v="2024-07-07T00:00:00"/>
  </r>
  <r>
    <n v="1031"/>
    <n v="10030"/>
    <x v="3"/>
    <n v="183474.12"/>
    <x v="2"/>
    <m/>
    <x v="0"/>
    <d v="2024-12-14T00:00:00"/>
    <m/>
  </r>
  <r>
    <n v="1032"/>
    <n v="10242"/>
    <x v="1"/>
    <n v="83831.23"/>
    <x v="0"/>
    <n v="36"/>
    <x v="1"/>
    <d v="2024-01-31T00:00:00"/>
    <d v="2024-03-07T00:00:00"/>
  </r>
  <r>
    <n v="1033"/>
    <n v="16918"/>
    <x v="3"/>
    <n v="81766.86"/>
    <x v="0"/>
    <n v="24"/>
    <x v="2"/>
    <d v="2024-03-11T00:00:00"/>
    <d v="2024-04-04T00:00:00"/>
  </r>
  <r>
    <n v="1034"/>
    <n v="19690"/>
    <x v="3"/>
    <n v="64037.3"/>
    <x v="1"/>
    <n v="18"/>
    <x v="3"/>
    <d v="2024-01-02T00:00:00"/>
    <d v="2024-01-20T00:00:00"/>
  </r>
  <r>
    <n v="1035"/>
    <n v="15511"/>
    <x v="3"/>
    <n v="94829.43"/>
    <x v="0"/>
    <n v="43"/>
    <x v="2"/>
    <d v="2024-02-19T00:00:00"/>
    <d v="2024-04-02T00:00:00"/>
  </r>
  <r>
    <n v="1036"/>
    <n v="15508"/>
    <x v="3"/>
    <n v="54093.08"/>
    <x v="0"/>
    <n v="13"/>
    <x v="3"/>
    <d v="2024-05-14T00:00:00"/>
    <d v="2024-05-27T00:00:00"/>
  </r>
  <r>
    <n v="1037"/>
    <n v="14668"/>
    <x v="3"/>
    <n v="78096.19"/>
    <x v="0"/>
    <n v="21"/>
    <x v="1"/>
    <d v="2024-05-25T00:00:00"/>
    <d v="2024-06-15T00:00:00"/>
  </r>
  <r>
    <n v="1038"/>
    <n v="16087"/>
    <x v="3"/>
    <n v="160989.67000000001"/>
    <x v="1"/>
    <n v="40"/>
    <x v="0"/>
    <d v="2024-06-27T00:00:00"/>
    <d v="2024-08-06T00:00:00"/>
  </r>
  <r>
    <n v="1039"/>
    <n v="17015"/>
    <x v="1"/>
    <n v="167679.82"/>
    <x v="0"/>
    <n v="28"/>
    <x v="2"/>
    <d v="2024-09-20T00:00:00"/>
    <d v="2024-10-18T00:00:00"/>
  </r>
  <r>
    <n v="1040"/>
    <n v="17636"/>
    <x v="3"/>
    <n v="64315.58"/>
    <x v="1"/>
    <n v="43"/>
    <x v="0"/>
    <d v="2024-11-06T00:00:00"/>
    <d v="2024-12-19T00:00:00"/>
  </r>
  <r>
    <n v="1041"/>
    <n v="16662"/>
    <x v="3"/>
    <n v="96457.81"/>
    <x v="0"/>
    <n v="38"/>
    <x v="2"/>
    <d v="2024-07-22T00:00:00"/>
    <d v="2024-08-29T00:00:00"/>
  </r>
  <r>
    <n v="1042"/>
    <n v="14003"/>
    <x v="0"/>
    <n v="175394.86"/>
    <x v="0"/>
    <n v="21"/>
    <x v="3"/>
    <d v="2024-10-25T00:00:00"/>
    <d v="2024-11-15T00:00:00"/>
  </r>
  <r>
    <n v="1043"/>
    <n v="19851"/>
    <x v="3"/>
    <n v="15271.3"/>
    <x v="1"/>
    <n v="12"/>
    <x v="0"/>
    <d v="2024-07-05T00:00:00"/>
    <d v="2024-07-17T00:00:00"/>
  </r>
  <r>
    <n v="1044"/>
    <n v="10598"/>
    <x v="3"/>
    <n v="178383.27"/>
    <x v="0"/>
    <n v="29"/>
    <x v="2"/>
    <d v="2024-01-30T00:00:00"/>
    <d v="2024-02-28T00:00:00"/>
  </r>
  <r>
    <n v="1045"/>
    <n v="12195"/>
    <x v="0"/>
    <n v="47740.95"/>
    <x v="0"/>
    <n v="3"/>
    <x v="3"/>
    <d v="2024-02-28T00:00:00"/>
    <d v="2024-03-02T00:00:00"/>
  </r>
  <r>
    <n v="1046"/>
    <n v="10069"/>
    <x v="3"/>
    <n v="137315.15"/>
    <x v="0"/>
    <n v="25"/>
    <x v="0"/>
    <d v="2024-01-09T00:00:00"/>
    <d v="2024-02-03T00:00:00"/>
  </r>
  <r>
    <n v="1047"/>
    <n v="18139"/>
    <x v="3"/>
    <n v="118597.58"/>
    <x v="1"/>
    <n v="17"/>
    <x v="0"/>
    <d v="2024-11-19T00:00:00"/>
    <d v="2024-12-06T00:00:00"/>
  </r>
  <r>
    <n v="1048"/>
    <n v="19585"/>
    <x v="3"/>
    <n v="112823.45"/>
    <x v="0"/>
    <n v="13"/>
    <x v="2"/>
    <d v="2024-06-15T00:00:00"/>
    <d v="2024-06-28T00:00:00"/>
  </r>
  <r>
    <n v="1049"/>
    <n v="13659"/>
    <x v="3"/>
    <n v="172575.24"/>
    <x v="0"/>
    <n v="17"/>
    <x v="2"/>
    <d v="2024-12-02T00:00:00"/>
    <d v="2024-12-19T00:00:00"/>
  </r>
  <r>
    <n v="1050"/>
    <n v="19841"/>
    <x v="1"/>
    <n v="24806.57"/>
    <x v="0"/>
    <n v="37"/>
    <x v="2"/>
    <d v="2024-10-05T00:00:00"/>
    <d v="2024-11-11T00:00:00"/>
  </r>
  <r>
    <n v="1051"/>
    <n v="15634"/>
    <x v="0"/>
    <n v="72670.460000000006"/>
    <x v="2"/>
    <m/>
    <x v="3"/>
    <d v="2024-07-09T00:00:00"/>
    <m/>
  </r>
  <r>
    <n v="1052"/>
    <n v="12281"/>
    <x v="3"/>
    <n v="109959.29"/>
    <x v="0"/>
    <n v="26"/>
    <x v="2"/>
    <d v="2024-08-29T00:00:00"/>
    <d v="2024-09-24T00:00:00"/>
  </r>
  <r>
    <n v="1053"/>
    <n v="16822"/>
    <x v="1"/>
    <n v="163201.32999999999"/>
    <x v="0"/>
    <n v="30"/>
    <x v="0"/>
    <d v="2024-10-04T00:00:00"/>
    <d v="2024-11-03T00:00:00"/>
  </r>
  <r>
    <n v="1054"/>
    <n v="13682"/>
    <x v="1"/>
    <n v="47206.400000000001"/>
    <x v="0"/>
    <n v="29"/>
    <x v="0"/>
    <d v="2024-06-02T00:00:00"/>
    <d v="2024-07-01T00:00:00"/>
  </r>
  <r>
    <n v="1055"/>
    <n v="12683"/>
    <x v="3"/>
    <n v="161571.32"/>
    <x v="0"/>
    <n v="11"/>
    <x v="2"/>
    <d v="2024-06-08T00:00:00"/>
    <d v="2024-06-19T00:00:00"/>
  </r>
  <r>
    <n v="1056"/>
    <n v="14562"/>
    <x v="1"/>
    <n v="82929.5"/>
    <x v="0"/>
    <n v="24"/>
    <x v="2"/>
    <d v="2024-09-21T00:00:00"/>
    <d v="2024-10-15T00:00:00"/>
  </r>
  <r>
    <n v="1057"/>
    <n v="14652"/>
    <x v="3"/>
    <n v="41838.199999999997"/>
    <x v="0"/>
    <n v="33"/>
    <x v="1"/>
    <d v="2024-08-22T00:00:00"/>
    <d v="2024-09-24T00:00:00"/>
  </r>
  <r>
    <n v="1058"/>
    <n v="14931"/>
    <x v="3"/>
    <n v="153002.35999999999"/>
    <x v="0"/>
    <n v="32"/>
    <x v="0"/>
    <d v="2024-12-11T00:00:00"/>
    <d v="2025-01-12T00:00:00"/>
  </r>
  <r>
    <n v="1059"/>
    <n v="19502"/>
    <x v="3"/>
    <n v="22725.29"/>
    <x v="1"/>
    <n v="20"/>
    <x v="3"/>
    <d v="2024-07-17T00:00:00"/>
    <d v="2024-08-06T00:00:00"/>
  </r>
  <r>
    <n v="1060"/>
    <n v="14713"/>
    <x v="3"/>
    <n v="105379.64"/>
    <x v="1"/>
    <n v="16"/>
    <x v="1"/>
    <d v="2024-02-02T00:00:00"/>
    <d v="2024-02-18T00:00:00"/>
  </r>
  <r>
    <n v="1061"/>
    <n v="15413"/>
    <x v="3"/>
    <n v="17455.78"/>
    <x v="0"/>
    <n v="34"/>
    <x v="2"/>
    <d v="2024-03-29T00:00:00"/>
    <d v="2024-05-02T00:00:00"/>
  </r>
  <r>
    <n v="1062"/>
    <n v="15600"/>
    <x v="0"/>
    <n v="74501.48"/>
    <x v="1"/>
    <n v="18"/>
    <x v="2"/>
    <d v="2024-04-04T00:00:00"/>
    <d v="2024-04-22T00:00:00"/>
  </r>
  <r>
    <n v="1063"/>
    <n v="14103"/>
    <x v="3"/>
    <n v="122209.98"/>
    <x v="0"/>
    <n v="37"/>
    <x v="0"/>
    <d v="2024-08-08T00:00:00"/>
    <d v="2024-09-14T00:00:00"/>
  </r>
  <r>
    <n v="1064"/>
    <n v="12075"/>
    <x v="3"/>
    <n v="113442.53"/>
    <x v="1"/>
    <n v="21"/>
    <x v="2"/>
    <d v="2024-03-09T00:00:00"/>
    <d v="2024-03-30T00:00:00"/>
  </r>
  <r>
    <n v="1065"/>
    <n v="10782"/>
    <x v="3"/>
    <n v="83907.81"/>
    <x v="0"/>
    <n v="10"/>
    <x v="3"/>
    <d v="2024-10-20T00:00:00"/>
    <d v="2024-10-30T00:00:00"/>
  </r>
  <r>
    <n v="1066"/>
    <n v="13806"/>
    <x v="1"/>
    <n v="88664.36"/>
    <x v="0"/>
    <n v="39"/>
    <x v="0"/>
    <d v="2024-08-24T00:00:00"/>
    <d v="2024-10-02T00:00:00"/>
  </r>
  <r>
    <n v="1067"/>
    <n v="19525"/>
    <x v="1"/>
    <n v="49220.06"/>
    <x v="2"/>
    <m/>
    <x v="2"/>
    <d v="2024-06-08T00:00:00"/>
    <m/>
  </r>
  <r>
    <n v="1068"/>
    <n v="11057"/>
    <x v="1"/>
    <n v="93897.1"/>
    <x v="1"/>
    <n v="3"/>
    <x v="0"/>
    <d v="2024-11-15T00:00:00"/>
    <d v="2024-11-18T00:00:00"/>
  </r>
  <r>
    <n v="1069"/>
    <n v="12054"/>
    <x v="1"/>
    <n v="190884.7"/>
    <x v="0"/>
    <n v="19"/>
    <x v="2"/>
    <d v="2024-11-23T00:00:00"/>
    <d v="2024-12-12T00:00:00"/>
  </r>
  <r>
    <n v="1070"/>
    <n v="12109"/>
    <x v="0"/>
    <n v="170838.32"/>
    <x v="0"/>
    <n v="24"/>
    <x v="2"/>
    <d v="2024-10-02T00:00:00"/>
    <d v="2024-10-26T00:00:00"/>
  </r>
  <r>
    <n v="1071"/>
    <n v="17283"/>
    <x v="3"/>
    <n v="33320.410000000003"/>
    <x v="0"/>
    <n v="20"/>
    <x v="2"/>
    <d v="2024-10-16T00:00:00"/>
    <d v="2024-11-05T00:00:00"/>
  </r>
  <r>
    <n v="1072"/>
    <n v="11320"/>
    <x v="1"/>
    <n v="10807.25"/>
    <x v="0"/>
    <n v="8"/>
    <x v="3"/>
    <d v="2024-02-11T00:00:00"/>
    <d v="2024-02-19T00:00:00"/>
  </r>
  <r>
    <n v="1073"/>
    <n v="17849"/>
    <x v="0"/>
    <n v="187037.24"/>
    <x v="0"/>
    <n v="36"/>
    <x v="3"/>
    <d v="2024-03-06T00:00:00"/>
    <d v="2024-04-11T00:00:00"/>
  </r>
  <r>
    <n v="1074"/>
    <n v="14417"/>
    <x v="2"/>
    <n v="107716.2"/>
    <x v="0"/>
    <n v="21"/>
    <x v="0"/>
    <d v="2024-01-21T00:00:00"/>
    <d v="2024-02-11T00:00:00"/>
  </r>
  <r>
    <n v="1075"/>
    <n v="13699"/>
    <x v="0"/>
    <n v="109878.38"/>
    <x v="1"/>
    <n v="21"/>
    <x v="2"/>
    <d v="2024-11-30T00:00:00"/>
    <d v="2024-12-21T00:00:00"/>
  </r>
  <r>
    <n v="1076"/>
    <n v="10732"/>
    <x v="3"/>
    <n v="157240.01"/>
    <x v="0"/>
    <n v="20"/>
    <x v="2"/>
    <d v="2024-03-10T00:00:00"/>
    <d v="2024-03-30T00:00:00"/>
  </r>
  <r>
    <n v="1077"/>
    <n v="16562"/>
    <x v="3"/>
    <n v="66364.350000000006"/>
    <x v="0"/>
    <n v="42"/>
    <x v="3"/>
    <d v="2024-09-17T00:00:00"/>
    <d v="2024-10-29T00:00:00"/>
  </r>
  <r>
    <n v="1078"/>
    <n v="13549"/>
    <x v="3"/>
    <n v="98971.98"/>
    <x v="0"/>
    <n v="17"/>
    <x v="2"/>
    <d v="2024-09-02T00:00:00"/>
    <d v="2024-09-19T00:00:00"/>
  </r>
  <r>
    <n v="1079"/>
    <n v="16163"/>
    <x v="1"/>
    <n v="193889.27"/>
    <x v="0"/>
    <n v="39"/>
    <x v="3"/>
    <d v="2024-11-18T00:00:00"/>
    <d v="2024-12-27T00:00:00"/>
  </r>
  <r>
    <n v="1080"/>
    <n v="16555"/>
    <x v="3"/>
    <n v="136068.99"/>
    <x v="0"/>
    <n v="22"/>
    <x v="2"/>
    <d v="2024-08-22T00:00:00"/>
    <d v="2024-09-13T00:00:00"/>
  </r>
  <r>
    <n v="1081"/>
    <n v="15378"/>
    <x v="3"/>
    <n v="34980.28"/>
    <x v="0"/>
    <n v="30"/>
    <x v="0"/>
    <d v="2024-09-28T00:00:00"/>
    <d v="2024-10-28T00:00:00"/>
  </r>
  <r>
    <n v="1082"/>
    <n v="18796"/>
    <x v="0"/>
    <n v="30979.22"/>
    <x v="1"/>
    <n v="39"/>
    <x v="2"/>
    <d v="2024-04-08T00:00:00"/>
    <d v="2024-05-17T00:00:00"/>
  </r>
  <r>
    <n v="1083"/>
    <n v="11722"/>
    <x v="3"/>
    <n v="44831.63"/>
    <x v="1"/>
    <n v="25"/>
    <x v="2"/>
    <d v="2024-11-24T00:00:00"/>
    <d v="2024-12-19T00:00:00"/>
  </r>
  <r>
    <n v="1084"/>
    <n v="12812"/>
    <x v="0"/>
    <n v="154508.78"/>
    <x v="0"/>
    <n v="38"/>
    <x v="1"/>
    <d v="2024-02-04T00:00:00"/>
    <d v="2024-03-13T00:00:00"/>
  </r>
  <r>
    <n v="1085"/>
    <n v="19773"/>
    <x v="3"/>
    <n v="62598.52"/>
    <x v="0"/>
    <n v="30"/>
    <x v="3"/>
    <d v="2024-12-04T00:00:00"/>
    <d v="2025-01-03T00:00:00"/>
  </r>
  <r>
    <n v="1086"/>
    <n v="17537"/>
    <x v="3"/>
    <n v="9170.83"/>
    <x v="0"/>
    <n v="32"/>
    <x v="2"/>
    <d v="2024-06-19T00:00:00"/>
    <d v="2024-07-21T00:00:00"/>
  </r>
  <r>
    <n v="1087"/>
    <n v="12278"/>
    <x v="3"/>
    <n v="189114"/>
    <x v="1"/>
    <n v="40"/>
    <x v="2"/>
    <d v="2024-04-19T00:00:00"/>
    <d v="2024-05-29T00:00:00"/>
  </r>
  <r>
    <n v="1088"/>
    <n v="12350"/>
    <x v="1"/>
    <n v="38094.120000000003"/>
    <x v="1"/>
    <n v="13"/>
    <x v="1"/>
    <d v="2024-10-21T00:00:00"/>
    <d v="2024-11-03T00:00:00"/>
  </r>
  <r>
    <n v="1089"/>
    <n v="13623"/>
    <x v="3"/>
    <n v="6863.85"/>
    <x v="0"/>
    <n v="31"/>
    <x v="1"/>
    <d v="2024-01-10T00:00:00"/>
    <d v="2024-02-10T00:00:00"/>
  </r>
  <r>
    <n v="1090"/>
    <n v="16530"/>
    <x v="3"/>
    <n v="51240.66"/>
    <x v="0"/>
    <n v="5"/>
    <x v="3"/>
    <d v="2024-07-20T00:00:00"/>
    <d v="2024-07-25T00:00:00"/>
  </r>
  <r>
    <n v="1091"/>
    <n v="10714"/>
    <x v="2"/>
    <n v="50830.61"/>
    <x v="1"/>
    <n v="31"/>
    <x v="1"/>
    <d v="2024-09-13T00:00:00"/>
    <d v="2024-10-14T00:00:00"/>
  </r>
  <r>
    <n v="1092"/>
    <n v="10924"/>
    <x v="3"/>
    <n v="87291.02"/>
    <x v="0"/>
    <n v="6"/>
    <x v="0"/>
    <d v="2024-09-18T00:00:00"/>
    <d v="2024-09-24T00:00:00"/>
  </r>
  <r>
    <n v="1093"/>
    <n v="13162"/>
    <x v="1"/>
    <n v="184476.02"/>
    <x v="0"/>
    <n v="17"/>
    <x v="1"/>
    <d v="2024-06-29T00:00:00"/>
    <d v="2024-07-16T00:00:00"/>
  </r>
  <r>
    <n v="1094"/>
    <n v="14153"/>
    <x v="1"/>
    <n v="176441.06"/>
    <x v="2"/>
    <m/>
    <x v="0"/>
    <d v="2024-03-06T00:00:00"/>
    <m/>
  </r>
  <r>
    <n v="1095"/>
    <n v="14529"/>
    <x v="3"/>
    <n v="94094.44"/>
    <x v="1"/>
    <n v="5"/>
    <x v="3"/>
    <d v="2024-10-20T00:00:00"/>
    <d v="2024-10-25T00:00:00"/>
  </r>
  <r>
    <n v="1096"/>
    <n v="12569"/>
    <x v="1"/>
    <n v="85125.48"/>
    <x v="0"/>
    <n v="9"/>
    <x v="3"/>
    <d v="2024-06-09T00:00:00"/>
    <d v="2024-06-18T00:00:00"/>
  </r>
  <r>
    <n v="1097"/>
    <n v="12815"/>
    <x v="3"/>
    <n v="113226.77"/>
    <x v="0"/>
    <n v="9"/>
    <x v="3"/>
    <d v="2024-03-07T00:00:00"/>
    <d v="2024-03-16T00:00:00"/>
  </r>
  <r>
    <n v="1098"/>
    <n v="16972"/>
    <x v="1"/>
    <n v="52473.53"/>
    <x v="0"/>
    <n v="18"/>
    <x v="3"/>
    <d v="2024-04-09T00:00:00"/>
    <d v="2024-04-27T00:00:00"/>
  </r>
  <r>
    <n v="1099"/>
    <n v="14578"/>
    <x v="3"/>
    <n v="15176.07"/>
    <x v="0"/>
    <n v="4"/>
    <x v="3"/>
    <d v="2024-03-17T00:00:00"/>
    <d v="2024-03-21T00:00:00"/>
  </r>
  <r>
    <n v="1100"/>
    <n v="14462"/>
    <x v="1"/>
    <n v="188148.71"/>
    <x v="0"/>
    <n v="28"/>
    <x v="0"/>
    <d v="2024-02-04T00:00:00"/>
    <d v="2024-03-03T00:00:00"/>
  </r>
  <r>
    <n v="1101"/>
    <n v="10888"/>
    <x v="3"/>
    <n v="41406.300000000003"/>
    <x v="0"/>
    <n v="35"/>
    <x v="0"/>
    <d v="2024-02-14T00:00:00"/>
    <d v="2024-03-20T00:00:00"/>
  </r>
  <r>
    <n v="1102"/>
    <n v="15948"/>
    <x v="1"/>
    <n v="43688.14"/>
    <x v="1"/>
    <n v="22"/>
    <x v="3"/>
    <d v="2024-05-29T00:00:00"/>
    <d v="2024-06-20T00:00:00"/>
  </r>
  <r>
    <n v="1103"/>
    <n v="13478"/>
    <x v="3"/>
    <n v="97129.76"/>
    <x v="1"/>
    <n v="44"/>
    <x v="1"/>
    <d v="2024-03-08T00:00:00"/>
    <d v="2024-04-21T00:00:00"/>
  </r>
  <r>
    <n v="1104"/>
    <n v="13589"/>
    <x v="3"/>
    <n v="100864.6"/>
    <x v="0"/>
    <n v="25"/>
    <x v="2"/>
    <d v="2024-09-10T00:00:00"/>
    <d v="2024-10-05T00:00:00"/>
  </r>
  <r>
    <n v="1105"/>
    <n v="11723"/>
    <x v="3"/>
    <n v="8594.67"/>
    <x v="0"/>
    <n v="42"/>
    <x v="3"/>
    <d v="2024-01-17T00:00:00"/>
    <d v="2024-02-28T00:00:00"/>
  </r>
  <r>
    <n v="1106"/>
    <n v="11258"/>
    <x v="3"/>
    <n v="33851.17"/>
    <x v="0"/>
    <n v="30"/>
    <x v="1"/>
    <d v="2024-09-17T00:00:00"/>
    <d v="2024-10-17T00:00:00"/>
  </r>
  <r>
    <n v="1107"/>
    <n v="17026"/>
    <x v="0"/>
    <n v="78740.19"/>
    <x v="0"/>
    <n v="40"/>
    <x v="2"/>
    <d v="2024-07-31T00:00:00"/>
    <d v="2024-09-09T00:00:00"/>
  </r>
  <r>
    <n v="1108"/>
    <n v="18602"/>
    <x v="3"/>
    <n v="138327.49"/>
    <x v="0"/>
    <n v="7"/>
    <x v="3"/>
    <d v="2024-11-08T00:00:00"/>
    <d v="2024-11-15T00:00:00"/>
  </r>
  <r>
    <n v="1109"/>
    <n v="12230"/>
    <x v="2"/>
    <n v="49541.599999999999"/>
    <x v="0"/>
    <n v="15"/>
    <x v="3"/>
    <d v="2024-09-12T00:00:00"/>
    <d v="2024-09-27T00:00:00"/>
  </r>
  <r>
    <n v="1110"/>
    <n v="17454"/>
    <x v="2"/>
    <n v="87487.82"/>
    <x v="1"/>
    <n v="15"/>
    <x v="0"/>
    <d v="2024-08-03T00:00:00"/>
    <d v="2024-08-18T00:00:00"/>
  </r>
  <r>
    <n v="1111"/>
    <n v="12060"/>
    <x v="1"/>
    <n v="113682.29"/>
    <x v="0"/>
    <n v="38"/>
    <x v="2"/>
    <d v="2024-12-16T00:00:00"/>
    <d v="2025-01-23T00:00:00"/>
  </r>
  <r>
    <n v="1112"/>
    <n v="13898"/>
    <x v="3"/>
    <n v="178275.54"/>
    <x v="2"/>
    <m/>
    <x v="2"/>
    <d v="2024-10-12T00:00:00"/>
    <m/>
  </r>
  <r>
    <n v="1113"/>
    <n v="12613"/>
    <x v="3"/>
    <n v="68583.75"/>
    <x v="2"/>
    <m/>
    <x v="1"/>
    <d v="2024-01-07T00:00:00"/>
    <m/>
  </r>
  <r>
    <n v="1114"/>
    <n v="17015"/>
    <x v="1"/>
    <n v="31043.86"/>
    <x v="0"/>
    <n v="2"/>
    <x v="0"/>
    <d v="2024-07-17T00:00:00"/>
    <d v="2024-07-19T00:00:00"/>
  </r>
  <r>
    <n v="1115"/>
    <n v="16698"/>
    <x v="3"/>
    <n v="100408.08"/>
    <x v="0"/>
    <n v="13"/>
    <x v="0"/>
    <d v="2024-03-31T00:00:00"/>
    <d v="2024-04-13T00:00:00"/>
  </r>
  <r>
    <n v="1116"/>
    <n v="11802"/>
    <x v="3"/>
    <n v="150610.71"/>
    <x v="2"/>
    <m/>
    <x v="0"/>
    <d v="2024-05-26T00:00:00"/>
    <m/>
  </r>
  <r>
    <n v="1117"/>
    <n v="10677"/>
    <x v="1"/>
    <n v="26422.65"/>
    <x v="2"/>
    <m/>
    <x v="0"/>
    <d v="2024-05-29T00:00:00"/>
    <m/>
  </r>
  <r>
    <n v="1118"/>
    <n v="18087"/>
    <x v="0"/>
    <n v="87813.28"/>
    <x v="0"/>
    <n v="38"/>
    <x v="2"/>
    <d v="2024-02-21T00:00:00"/>
    <d v="2024-03-30T00:00:00"/>
  </r>
  <r>
    <n v="1119"/>
    <n v="14713"/>
    <x v="1"/>
    <n v="8468.1"/>
    <x v="0"/>
    <n v="21"/>
    <x v="2"/>
    <d v="2024-08-30T00:00:00"/>
    <d v="2024-09-20T00:00:00"/>
  </r>
  <r>
    <n v="1120"/>
    <n v="17730"/>
    <x v="3"/>
    <n v="11544.04"/>
    <x v="0"/>
    <n v="7"/>
    <x v="3"/>
    <d v="2024-08-06T00:00:00"/>
    <d v="2024-08-13T00:00:00"/>
  </r>
  <r>
    <n v="1121"/>
    <n v="13004"/>
    <x v="1"/>
    <n v="99175.91"/>
    <x v="2"/>
    <m/>
    <x v="3"/>
    <d v="2024-01-06T00:00:00"/>
    <m/>
  </r>
  <r>
    <n v="1122"/>
    <n v="18986"/>
    <x v="3"/>
    <n v="63148.47"/>
    <x v="0"/>
    <n v="22"/>
    <x v="0"/>
    <d v="2024-04-18T00:00:00"/>
    <d v="2024-05-10T00:00:00"/>
  </r>
  <r>
    <n v="1123"/>
    <n v="10728"/>
    <x v="3"/>
    <n v="169795.92"/>
    <x v="0"/>
    <n v="4"/>
    <x v="0"/>
    <d v="2024-12-16T00:00:00"/>
    <d v="2024-12-20T00:00:00"/>
  </r>
  <r>
    <n v="1124"/>
    <n v="19885"/>
    <x v="0"/>
    <n v="122420.09"/>
    <x v="1"/>
    <n v="28"/>
    <x v="0"/>
    <d v="2024-03-06T00:00:00"/>
    <d v="2024-04-03T00:00:00"/>
  </r>
  <r>
    <n v="1125"/>
    <n v="14734"/>
    <x v="3"/>
    <n v="93516.93"/>
    <x v="0"/>
    <n v="37"/>
    <x v="3"/>
    <d v="2024-01-10T00:00:00"/>
    <d v="2024-02-16T00:00:00"/>
  </r>
  <r>
    <n v="1126"/>
    <n v="10190"/>
    <x v="3"/>
    <n v="84547.4"/>
    <x v="0"/>
    <n v="18"/>
    <x v="1"/>
    <d v="2024-07-20T00:00:00"/>
    <d v="2024-08-07T00:00:00"/>
  </r>
  <r>
    <n v="1127"/>
    <n v="14994"/>
    <x v="3"/>
    <n v="101962.87"/>
    <x v="0"/>
    <n v="16"/>
    <x v="1"/>
    <d v="2024-10-08T00:00:00"/>
    <d v="2024-10-24T00:00:00"/>
  </r>
  <r>
    <n v="1128"/>
    <n v="13866"/>
    <x v="0"/>
    <n v="12885.57"/>
    <x v="1"/>
    <n v="40"/>
    <x v="3"/>
    <d v="2024-08-01T00:00:00"/>
    <d v="2024-09-10T00:00:00"/>
  </r>
  <r>
    <n v="1129"/>
    <n v="19681"/>
    <x v="1"/>
    <n v="179094.7"/>
    <x v="0"/>
    <n v="5"/>
    <x v="3"/>
    <d v="2024-03-08T00:00:00"/>
    <d v="2024-03-13T00:00:00"/>
  </r>
  <r>
    <n v="1130"/>
    <n v="16039"/>
    <x v="1"/>
    <n v="199669.12"/>
    <x v="0"/>
    <n v="18"/>
    <x v="3"/>
    <d v="2024-09-03T00:00:00"/>
    <d v="2024-09-21T00:00:00"/>
  </r>
  <r>
    <n v="1131"/>
    <n v="16445"/>
    <x v="1"/>
    <n v="40389.99"/>
    <x v="0"/>
    <n v="39"/>
    <x v="3"/>
    <d v="2024-12-19T00:00:00"/>
    <d v="2025-01-27T00:00:00"/>
  </r>
  <r>
    <n v="1132"/>
    <n v="18829"/>
    <x v="3"/>
    <n v="28474.68"/>
    <x v="0"/>
    <n v="12"/>
    <x v="3"/>
    <d v="2024-11-22T00:00:00"/>
    <d v="2024-12-04T00:00:00"/>
  </r>
  <r>
    <n v="1133"/>
    <n v="14045"/>
    <x v="3"/>
    <n v="32997.61"/>
    <x v="0"/>
    <n v="13"/>
    <x v="3"/>
    <d v="2024-02-19T00:00:00"/>
    <d v="2024-03-03T00:00:00"/>
  </r>
  <r>
    <n v="1134"/>
    <n v="16315"/>
    <x v="3"/>
    <n v="133900.28"/>
    <x v="0"/>
    <n v="33"/>
    <x v="0"/>
    <d v="2024-01-17T00:00:00"/>
    <d v="2024-02-19T00:00:00"/>
  </r>
  <r>
    <n v="1135"/>
    <n v="15624"/>
    <x v="3"/>
    <n v="133980.96"/>
    <x v="0"/>
    <n v="28"/>
    <x v="0"/>
    <d v="2024-01-11T00:00:00"/>
    <d v="2024-02-08T00:00:00"/>
  </r>
  <r>
    <n v="1136"/>
    <n v="14158"/>
    <x v="3"/>
    <n v="170345.21"/>
    <x v="1"/>
    <n v="44"/>
    <x v="0"/>
    <d v="2024-11-04T00:00:00"/>
    <d v="2024-12-18T00:00:00"/>
  </r>
  <r>
    <n v="1137"/>
    <n v="14111"/>
    <x v="2"/>
    <n v="151606.15"/>
    <x v="1"/>
    <n v="28"/>
    <x v="0"/>
    <d v="2024-11-01T00:00:00"/>
    <d v="2024-11-29T00:00:00"/>
  </r>
  <r>
    <n v="1138"/>
    <n v="16834"/>
    <x v="3"/>
    <n v="92689.49"/>
    <x v="0"/>
    <n v="41"/>
    <x v="3"/>
    <d v="2024-05-03T00:00:00"/>
    <d v="2024-06-13T00:00:00"/>
  </r>
  <r>
    <n v="1139"/>
    <n v="19033"/>
    <x v="3"/>
    <n v="124506.8"/>
    <x v="0"/>
    <n v="30"/>
    <x v="1"/>
    <d v="2024-08-12T00:00:00"/>
    <d v="2024-09-11T00:00:00"/>
  </r>
  <r>
    <n v="1140"/>
    <n v="13951"/>
    <x v="3"/>
    <n v="139215.51"/>
    <x v="0"/>
    <n v="10"/>
    <x v="2"/>
    <d v="2024-08-31T00:00:00"/>
    <d v="2024-09-10T00:00:00"/>
  </r>
  <r>
    <n v="1141"/>
    <n v="15220"/>
    <x v="3"/>
    <n v="104983.61"/>
    <x v="1"/>
    <n v="44"/>
    <x v="3"/>
    <d v="2024-11-13T00:00:00"/>
    <d v="2024-12-27T00:00:00"/>
  </r>
  <r>
    <n v="1142"/>
    <n v="14058"/>
    <x v="2"/>
    <n v="97751.94"/>
    <x v="0"/>
    <n v="4"/>
    <x v="2"/>
    <d v="2024-11-27T00:00:00"/>
    <d v="2024-12-01T00:00:00"/>
  </r>
  <r>
    <n v="1143"/>
    <n v="13247"/>
    <x v="3"/>
    <n v="130794"/>
    <x v="0"/>
    <n v="40"/>
    <x v="1"/>
    <d v="2024-12-11T00:00:00"/>
    <d v="2025-01-20T00:00:00"/>
  </r>
  <r>
    <n v="1144"/>
    <n v="11216"/>
    <x v="3"/>
    <n v="113707.54"/>
    <x v="0"/>
    <n v="30"/>
    <x v="0"/>
    <d v="2024-01-29T00:00:00"/>
    <d v="2024-02-28T00:00:00"/>
  </r>
  <r>
    <n v="1145"/>
    <n v="16092"/>
    <x v="1"/>
    <n v="130568.75"/>
    <x v="0"/>
    <n v="22"/>
    <x v="1"/>
    <d v="2024-12-23T00:00:00"/>
    <d v="2025-01-14T00:00:00"/>
  </r>
  <r>
    <n v="1146"/>
    <n v="17980"/>
    <x v="3"/>
    <n v="124506.68"/>
    <x v="0"/>
    <n v="36"/>
    <x v="3"/>
    <d v="2024-12-22T00:00:00"/>
    <d v="2025-01-27T00:00:00"/>
  </r>
  <r>
    <n v="1147"/>
    <n v="19090"/>
    <x v="3"/>
    <n v="145243.32999999999"/>
    <x v="0"/>
    <n v="11"/>
    <x v="0"/>
    <d v="2024-12-30T00:00:00"/>
    <d v="2025-01-10T00:00:00"/>
  </r>
  <r>
    <n v="1148"/>
    <n v="15586"/>
    <x v="3"/>
    <n v="130346.68"/>
    <x v="0"/>
    <n v="24"/>
    <x v="3"/>
    <d v="2024-10-11T00:00:00"/>
    <d v="2024-11-04T00:00:00"/>
  </r>
  <r>
    <n v="1149"/>
    <n v="17076"/>
    <x v="1"/>
    <n v="106349.78"/>
    <x v="1"/>
    <n v="40"/>
    <x v="0"/>
    <d v="2024-02-28T00:00:00"/>
    <d v="2024-04-08T00:00:00"/>
  </r>
  <r>
    <n v="1150"/>
    <n v="17940"/>
    <x v="2"/>
    <n v="137950.38"/>
    <x v="0"/>
    <n v="26"/>
    <x v="2"/>
    <d v="2024-05-22T00:00:00"/>
    <d v="2024-06-17T00:00:00"/>
  </r>
  <r>
    <n v="1151"/>
    <n v="12222"/>
    <x v="1"/>
    <n v="92648.98"/>
    <x v="0"/>
    <n v="25"/>
    <x v="2"/>
    <d v="2024-11-21T00:00:00"/>
    <d v="2024-12-16T00:00:00"/>
  </r>
  <r>
    <n v="1152"/>
    <n v="19449"/>
    <x v="3"/>
    <n v="52125.89"/>
    <x v="0"/>
    <n v="21"/>
    <x v="2"/>
    <d v="2024-12-17T00:00:00"/>
    <d v="2025-01-07T00:00:00"/>
  </r>
  <r>
    <n v="1153"/>
    <n v="17979"/>
    <x v="0"/>
    <n v="5276.55"/>
    <x v="0"/>
    <n v="16"/>
    <x v="1"/>
    <d v="2024-10-26T00:00:00"/>
    <d v="2024-11-11T00:00:00"/>
  </r>
  <r>
    <n v="1154"/>
    <n v="11514"/>
    <x v="3"/>
    <n v="114193.01"/>
    <x v="0"/>
    <n v="22"/>
    <x v="3"/>
    <d v="2024-08-13T00:00:00"/>
    <d v="2024-09-04T00:00:00"/>
  </r>
  <r>
    <n v="1155"/>
    <n v="18608"/>
    <x v="3"/>
    <n v="120177.77"/>
    <x v="0"/>
    <n v="43"/>
    <x v="1"/>
    <d v="2024-06-12T00:00:00"/>
    <d v="2024-07-25T00:00:00"/>
  </r>
  <r>
    <n v="1156"/>
    <n v="12883"/>
    <x v="3"/>
    <n v="194549.55"/>
    <x v="0"/>
    <n v="13"/>
    <x v="2"/>
    <d v="2024-03-24T00:00:00"/>
    <d v="2024-04-06T00:00:00"/>
  </r>
  <r>
    <n v="1157"/>
    <n v="13826"/>
    <x v="3"/>
    <n v="75488.28"/>
    <x v="0"/>
    <n v="19"/>
    <x v="3"/>
    <d v="2024-11-08T00:00:00"/>
    <d v="2024-11-27T00:00:00"/>
  </r>
  <r>
    <n v="1158"/>
    <n v="14339"/>
    <x v="1"/>
    <n v="81855.98"/>
    <x v="0"/>
    <n v="24"/>
    <x v="2"/>
    <d v="2024-04-26T00:00:00"/>
    <d v="2024-05-20T00:00:00"/>
  </r>
  <r>
    <n v="1159"/>
    <n v="10674"/>
    <x v="1"/>
    <n v="44350.92"/>
    <x v="0"/>
    <n v="42"/>
    <x v="1"/>
    <d v="2024-11-15T00:00:00"/>
    <d v="2024-12-27T00:00:00"/>
  </r>
  <r>
    <n v="1160"/>
    <n v="16289"/>
    <x v="2"/>
    <n v="18754.189999999999"/>
    <x v="1"/>
    <n v="30"/>
    <x v="1"/>
    <d v="2024-07-22T00:00:00"/>
    <d v="2024-08-21T00:00:00"/>
  </r>
  <r>
    <n v="1161"/>
    <n v="10102"/>
    <x v="1"/>
    <n v="155696.88"/>
    <x v="0"/>
    <n v="42"/>
    <x v="1"/>
    <d v="2024-12-20T00:00:00"/>
    <d v="2025-01-31T00:00:00"/>
  </r>
  <r>
    <n v="1162"/>
    <n v="13993"/>
    <x v="1"/>
    <n v="53687.81"/>
    <x v="0"/>
    <n v="37"/>
    <x v="2"/>
    <d v="2024-10-20T00:00:00"/>
    <d v="2024-11-26T00:00:00"/>
  </r>
  <r>
    <n v="1163"/>
    <n v="13708"/>
    <x v="3"/>
    <n v="123736.45"/>
    <x v="0"/>
    <n v="6"/>
    <x v="3"/>
    <d v="2024-05-24T00:00:00"/>
    <d v="2024-05-30T00:00:00"/>
  </r>
  <r>
    <n v="1164"/>
    <n v="11495"/>
    <x v="3"/>
    <n v="139115.74"/>
    <x v="0"/>
    <n v="40"/>
    <x v="3"/>
    <d v="2024-01-27T00:00:00"/>
    <d v="2024-03-07T00:00:00"/>
  </r>
  <r>
    <n v="1165"/>
    <n v="13392"/>
    <x v="1"/>
    <n v="96891.15"/>
    <x v="0"/>
    <n v="27"/>
    <x v="2"/>
    <d v="2024-01-17T00:00:00"/>
    <d v="2024-02-13T00:00:00"/>
  </r>
  <r>
    <n v="1166"/>
    <n v="17537"/>
    <x v="3"/>
    <n v="175888.66"/>
    <x v="0"/>
    <n v="40"/>
    <x v="3"/>
    <d v="2024-03-03T00:00:00"/>
    <d v="2024-04-12T00:00:00"/>
  </r>
  <r>
    <n v="1167"/>
    <n v="12785"/>
    <x v="0"/>
    <n v="91539.99"/>
    <x v="1"/>
    <n v="12"/>
    <x v="2"/>
    <d v="2024-09-23T00:00:00"/>
    <d v="2024-10-05T00:00:00"/>
  </r>
  <r>
    <n v="1168"/>
    <n v="15819"/>
    <x v="3"/>
    <n v="60557.18"/>
    <x v="0"/>
    <n v="43"/>
    <x v="3"/>
    <d v="2024-03-04T00:00:00"/>
    <d v="2024-04-16T00:00:00"/>
  </r>
  <r>
    <n v="1169"/>
    <n v="13659"/>
    <x v="3"/>
    <n v="179723.03"/>
    <x v="0"/>
    <n v="12"/>
    <x v="0"/>
    <d v="2024-02-08T00:00:00"/>
    <d v="2024-02-20T00:00:00"/>
  </r>
  <r>
    <n v="1170"/>
    <n v="14880"/>
    <x v="3"/>
    <n v="173005.04"/>
    <x v="1"/>
    <n v="19"/>
    <x v="0"/>
    <d v="2024-05-09T00:00:00"/>
    <d v="2024-05-28T00:00:00"/>
  </r>
  <r>
    <n v="1171"/>
    <n v="15588"/>
    <x v="3"/>
    <n v="36987.79"/>
    <x v="2"/>
    <m/>
    <x v="1"/>
    <d v="2024-04-24T00:00:00"/>
    <m/>
  </r>
  <r>
    <n v="1172"/>
    <n v="14802"/>
    <x v="3"/>
    <n v="10062.4"/>
    <x v="0"/>
    <n v="17"/>
    <x v="0"/>
    <d v="2024-02-14T00:00:00"/>
    <d v="2024-03-02T00:00:00"/>
  </r>
  <r>
    <n v="1173"/>
    <n v="14891"/>
    <x v="1"/>
    <n v="22547.18"/>
    <x v="0"/>
    <n v="28"/>
    <x v="0"/>
    <d v="2024-08-03T00:00:00"/>
    <d v="2024-08-31T00:00:00"/>
  </r>
  <r>
    <n v="1174"/>
    <n v="13525"/>
    <x v="3"/>
    <n v="60876.74"/>
    <x v="0"/>
    <n v="37"/>
    <x v="0"/>
    <d v="2024-03-28T00:00:00"/>
    <d v="2024-05-04T00:00:00"/>
  </r>
  <r>
    <n v="1175"/>
    <n v="13517"/>
    <x v="1"/>
    <n v="194590.66"/>
    <x v="0"/>
    <n v="18"/>
    <x v="2"/>
    <d v="2024-12-01T00:00:00"/>
    <d v="2024-12-19T00:00:00"/>
  </r>
  <r>
    <n v="1176"/>
    <n v="14777"/>
    <x v="3"/>
    <n v="113910.65"/>
    <x v="0"/>
    <n v="22"/>
    <x v="0"/>
    <d v="2024-06-25T00:00:00"/>
    <d v="2024-07-17T00:00:00"/>
  </r>
  <r>
    <n v="1177"/>
    <n v="14189"/>
    <x v="3"/>
    <n v="77786.039999999994"/>
    <x v="0"/>
    <n v="38"/>
    <x v="0"/>
    <d v="2024-09-21T00:00:00"/>
    <d v="2024-10-29T00:00:00"/>
  </r>
  <r>
    <n v="1178"/>
    <n v="16933"/>
    <x v="3"/>
    <n v="178299.64"/>
    <x v="1"/>
    <n v="32"/>
    <x v="1"/>
    <d v="2024-04-14T00:00:00"/>
    <d v="2024-05-16T00:00:00"/>
  </r>
  <r>
    <n v="1179"/>
    <n v="16137"/>
    <x v="0"/>
    <n v="93361.58"/>
    <x v="0"/>
    <n v="36"/>
    <x v="0"/>
    <d v="2024-11-29T00:00:00"/>
    <d v="2025-01-04T00:00:00"/>
  </r>
  <r>
    <n v="1180"/>
    <n v="16254"/>
    <x v="3"/>
    <n v="66471.53"/>
    <x v="0"/>
    <n v="28"/>
    <x v="0"/>
    <d v="2024-10-27T00:00:00"/>
    <d v="2024-11-24T00:00:00"/>
  </r>
  <r>
    <n v="1181"/>
    <n v="11913"/>
    <x v="1"/>
    <n v="188537.81"/>
    <x v="0"/>
    <n v="24"/>
    <x v="3"/>
    <d v="2024-06-19T00:00:00"/>
    <d v="2024-07-13T00:00:00"/>
  </r>
  <r>
    <n v="1182"/>
    <n v="17335"/>
    <x v="3"/>
    <n v="170655.94"/>
    <x v="1"/>
    <n v="33"/>
    <x v="1"/>
    <d v="2024-04-17T00:00:00"/>
    <d v="2024-05-20T00:00:00"/>
  </r>
  <r>
    <n v="1183"/>
    <n v="11150"/>
    <x v="1"/>
    <n v="169515.33"/>
    <x v="0"/>
    <n v="18"/>
    <x v="1"/>
    <d v="2024-12-20T00:00:00"/>
    <d v="2025-01-07T00:00:00"/>
  </r>
  <r>
    <n v="1184"/>
    <n v="14137"/>
    <x v="3"/>
    <n v="104895.52"/>
    <x v="0"/>
    <n v="12"/>
    <x v="1"/>
    <d v="2024-06-09T00:00:00"/>
    <d v="2024-06-21T00:00:00"/>
  </r>
  <r>
    <n v="1185"/>
    <n v="14136"/>
    <x v="1"/>
    <n v="158940.49"/>
    <x v="0"/>
    <n v="2"/>
    <x v="1"/>
    <d v="2024-10-09T00:00:00"/>
    <d v="2024-10-11T00:00:00"/>
  </r>
  <r>
    <n v="1186"/>
    <n v="17729"/>
    <x v="1"/>
    <n v="39973.910000000003"/>
    <x v="0"/>
    <n v="29"/>
    <x v="1"/>
    <d v="2024-02-09T00:00:00"/>
    <d v="2024-03-09T00:00:00"/>
  </r>
  <r>
    <n v="1187"/>
    <n v="11510"/>
    <x v="2"/>
    <n v="116778.48"/>
    <x v="0"/>
    <n v="19"/>
    <x v="1"/>
    <d v="2024-01-26T00:00:00"/>
    <d v="2024-02-14T00:00:00"/>
  </r>
  <r>
    <n v="1188"/>
    <n v="13915"/>
    <x v="3"/>
    <n v="196849.95"/>
    <x v="0"/>
    <n v="42"/>
    <x v="2"/>
    <d v="2024-03-23T00:00:00"/>
    <d v="2024-05-04T00:00:00"/>
  </r>
  <r>
    <n v="1189"/>
    <n v="16325"/>
    <x v="3"/>
    <n v="61736.89"/>
    <x v="0"/>
    <n v="21"/>
    <x v="0"/>
    <d v="2024-06-21T00:00:00"/>
    <d v="2024-07-12T00:00:00"/>
  </r>
  <r>
    <n v="1190"/>
    <n v="13252"/>
    <x v="3"/>
    <n v="159898.70000000001"/>
    <x v="0"/>
    <n v="8"/>
    <x v="1"/>
    <d v="2024-06-21T00:00:00"/>
    <d v="2024-06-29T00:00:00"/>
  </r>
  <r>
    <n v="1191"/>
    <n v="18935"/>
    <x v="0"/>
    <n v="100643.29"/>
    <x v="0"/>
    <n v="38"/>
    <x v="0"/>
    <d v="2024-10-08T00:00:00"/>
    <d v="2024-11-15T00:00:00"/>
  </r>
  <r>
    <n v="1192"/>
    <n v="13938"/>
    <x v="1"/>
    <n v="12762.11"/>
    <x v="0"/>
    <n v="17"/>
    <x v="0"/>
    <d v="2024-03-10T00:00:00"/>
    <d v="2024-03-27T00:00:00"/>
  </r>
  <r>
    <n v="1193"/>
    <n v="12511"/>
    <x v="1"/>
    <n v="153788.78"/>
    <x v="0"/>
    <n v="40"/>
    <x v="2"/>
    <d v="2024-11-18T00:00:00"/>
    <d v="2024-12-28T00:00:00"/>
  </r>
  <r>
    <n v="1194"/>
    <n v="11073"/>
    <x v="3"/>
    <n v="37870.980000000003"/>
    <x v="0"/>
    <n v="24"/>
    <x v="1"/>
    <d v="2024-01-06T00:00:00"/>
    <d v="2024-01-30T00:00:00"/>
  </r>
  <r>
    <n v="1195"/>
    <n v="12192"/>
    <x v="3"/>
    <n v="128137.35"/>
    <x v="0"/>
    <n v="33"/>
    <x v="3"/>
    <d v="2024-10-10T00:00:00"/>
    <d v="2024-11-12T00:00:00"/>
  </r>
  <r>
    <n v="1196"/>
    <n v="18207"/>
    <x v="3"/>
    <n v="21704.52"/>
    <x v="0"/>
    <n v="18"/>
    <x v="2"/>
    <d v="2024-07-13T00:00:00"/>
    <d v="2024-07-31T00:00:00"/>
  </r>
  <r>
    <n v="1197"/>
    <n v="17383"/>
    <x v="2"/>
    <n v="189639.14"/>
    <x v="2"/>
    <m/>
    <x v="3"/>
    <d v="2024-01-13T00:00:00"/>
    <m/>
  </r>
  <r>
    <n v="1198"/>
    <n v="15171"/>
    <x v="1"/>
    <n v="61886.16"/>
    <x v="0"/>
    <n v="43"/>
    <x v="0"/>
    <d v="2024-03-03T00:00:00"/>
    <d v="2024-04-15T00:00:00"/>
  </r>
  <r>
    <n v="1199"/>
    <n v="18298"/>
    <x v="2"/>
    <n v="49160.61"/>
    <x v="0"/>
    <n v="35"/>
    <x v="0"/>
    <d v="2024-01-13T00:00:00"/>
    <d v="2024-02-17T00:00:00"/>
  </r>
  <r>
    <n v="1200"/>
    <n v="14314"/>
    <x v="3"/>
    <n v="30181.599999999999"/>
    <x v="0"/>
    <n v="15"/>
    <x v="2"/>
    <d v="2024-09-05T00:00:00"/>
    <d v="2024-09-20T00:00:00"/>
  </r>
  <r>
    <n v="1201"/>
    <n v="16480"/>
    <x v="1"/>
    <n v="189470.43"/>
    <x v="2"/>
    <m/>
    <x v="2"/>
    <d v="2024-07-23T00:00:00"/>
    <m/>
  </r>
  <r>
    <n v="1202"/>
    <n v="12857"/>
    <x v="1"/>
    <n v="143821.23000000001"/>
    <x v="1"/>
    <n v="40"/>
    <x v="3"/>
    <d v="2024-09-09T00:00:00"/>
    <d v="2024-10-19T00:00:00"/>
  </r>
  <r>
    <n v="1203"/>
    <n v="14349"/>
    <x v="3"/>
    <n v="149623.87"/>
    <x v="0"/>
    <n v="26"/>
    <x v="1"/>
    <d v="2024-02-09T00:00:00"/>
    <d v="2024-03-06T00:00:00"/>
  </r>
  <r>
    <n v="1204"/>
    <n v="11428"/>
    <x v="0"/>
    <n v="102383.89"/>
    <x v="0"/>
    <n v="12"/>
    <x v="3"/>
    <d v="2024-06-13T00:00:00"/>
    <d v="2024-06-25T00:00:00"/>
  </r>
  <r>
    <n v="1205"/>
    <n v="16723"/>
    <x v="2"/>
    <n v="97571.92"/>
    <x v="0"/>
    <n v="16"/>
    <x v="2"/>
    <d v="2024-01-31T00:00:00"/>
    <d v="2024-02-16T00:00:00"/>
  </r>
  <r>
    <n v="1206"/>
    <n v="16779"/>
    <x v="0"/>
    <n v="26454.14"/>
    <x v="0"/>
    <n v="20"/>
    <x v="3"/>
    <d v="2024-01-17T00:00:00"/>
    <d v="2024-02-06T00:00:00"/>
  </r>
  <r>
    <n v="1207"/>
    <n v="17856"/>
    <x v="1"/>
    <n v="114169.01"/>
    <x v="1"/>
    <n v="44"/>
    <x v="2"/>
    <d v="2024-05-16T00:00:00"/>
    <d v="2024-06-29T00:00:00"/>
  </r>
  <r>
    <n v="1208"/>
    <n v="17300"/>
    <x v="3"/>
    <n v="53148.72"/>
    <x v="0"/>
    <n v="16"/>
    <x v="3"/>
    <d v="2024-12-30T00:00:00"/>
    <d v="2025-01-15T00:00:00"/>
  </r>
  <r>
    <n v="1209"/>
    <n v="16645"/>
    <x v="3"/>
    <n v="195543.34"/>
    <x v="0"/>
    <n v="16"/>
    <x v="2"/>
    <d v="2024-11-15T00:00:00"/>
    <d v="2024-12-01T00:00:00"/>
  </r>
  <r>
    <n v="1210"/>
    <n v="17670"/>
    <x v="2"/>
    <n v="160333.28"/>
    <x v="1"/>
    <n v="39"/>
    <x v="2"/>
    <d v="2024-11-08T00:00:00"/>
    <d v="2024-12-17T00:00:00"/>
  </r>
  <r>
    <n v="1211"/>
    <n v="12921"/>
    <x v="3"/>
    <n v="85533.45"/>
    <x v="1"/>
    <n v="16"/>
    <x v="2"/>
    <d v="2024-06-13T00:00:00"/>
    <d v="2024-06-29T00:00:00"/>
  </r>
  <r>
    <n v="1212"/>
    <n v="18166"/>
    <x v="1"/>
    <n v="34511.550000000003"/>
    <x v="0"/>
    <n v="10"/>
    <x v="1"/>
    <d v="2024-10-07T00:00:00"/>
    <d v="2024-10-17T00:00:00"/>
  </r>
  <r>
    <n v="1213"/>
    <n v="17244"/>
    <x v="1"/>
    <n v="158139.68"/>
    <x v="0"/>
    <n v="6"/>
    <x v="3"/>
    <d v="2024-08-10T00:00:00"/>
    <d v="2024-08-16T00:00:00"/>
  </r>
  <r>
    <n v="1214"/>
    <n v="10878"/>
    <x v="1"/>
    <n v="28800.48"/>
    <x v="0"/>
    <n v="20"/>
    <x v="3"/>
    <d v="2024-05-01T00:00:00"/>
    <d v="2024-05-21T00:00:00"/>
  </r>
  <r>
    <n v="1215"/>
    <n v="18502"/>
    <x v="2"/>
    <n v="41920.080000000002"/>
    <x v="1"/>
    <n v="25"/>
    <x v="3"/>
    <d v="2024-03-18T00:00:00"/>
    <d v="2024-04-12T00:00:00"/>
  </r>
  <r>
    <n v="1216"/>
    <n v="19306"/>
    <x v="3"/>
    <n v="46246.5"/>
    <x v="1"/>
    <n v="30"/>
    <x v="2"/>
    <d v="2024-11-08T00:00:00"/>
    <d v="2024-12-08T00:00:00"/>
  </r>
  <r>
    <n v="1217"/>
    <n v="11321"/>
    <x v="3"/>
    <n v="113593.67"/>
    <x v="0"/>
    <n v="6"/>
    <x v="3"/>
    <d v="2024-11-22T00:00:00"/>
    <d v="2024-11-28T00:00:00"/>
  </r>
  <r>
    <n v="1218"/>
    <n v="14375"/>
    <x v="3"/>
    <n v="158476.04999999999"/>
    <x v="0"/>
    <n v="23"/>
    <x v="3"/>
    <d v="2024-03-28T00:00:00"/>
    <d v="2024-04-20T00:00:00"/>
  </r>
  <r>
    <n v="1219"/>
    <n v="19158"/>
    <x v="3"/>
    <n v="66291.399999999994"/>
    <x v="1"/>
    <n v="14"/>
    <x v="2"/>
    <d v="2024-04-22T00:00:00"/>
    <d v="2024-05-06T00:00:00"/>
  </r>
  <r>
    <n v="1220"/>
    <n v="18886"/>
    <x v="3"/>
    <n v="21510.61"/>
    <x v="0"/>
    <n v="30"/>
    <x v="0"/>
    <d v="2024-04-09T00:00:00"/>
    <d v="2024-05-09T00:00:00"/>
  </r>
  <r>
    <n v="1221"/>
    <n v="15005"/>
    <x v="3"/>
    <n v="95585"/>
    <x v="0"/>
    <n v="17"/>
    <x v="2"/>
    <d v="2024-10-29T00:00:00"/>
    <d v="2024-11-15T00:00:00"/>
  </r>
  <r>
    <n v="1222"/>
    <n v="18462"/>
    <x v="0"/>
    <n v="150881.5"/>
    <x v="1"/>
    <n v="37"/>
    <x v="3"/>
    <d v="2024-08-26T00:00:00"/>
    <d v="2024-10-02T00:00:00"/>
  </r>
  <r>
    <n v="1223"/>
    <n v="15636"/>
    <x v="2"/>
    <n v="48224.45"/>
    <x v="0"/>
    <n v="18"/>
    <x v="2"/>
    <d v="2024-12-11T00:00:00"/>
    <d v="2024-12-29T00:00:00"/>
  </r>
  <r>
    <n v="1224"/>
    <n v="15220"/>
    <x v="3"/>
    <n v="47885.29"/>
    <x v="0"/>
    <n v="21"/>
    <x v="0"/>
    <d v="2024-04-20T00:00:00"/>
    <d v="2024-05-11T00:00:00"/>
  </r>
  <r>
    <n v="1225"/>
    <n v="19603"/>
    <x v="3"/>
    <n v="189709.27"/>
    <x v="1"/>
    <n v="15"/>
    <x v="2"/>
    <d v="2024-03-30T00:00:00"/>
    <d v="2024-04-14T00:00:00"/>
  </r>
  <r>
    <n v="1226"/>
    <n v="13027"/>
    <x v="2"/>
    <n v="191059.98"/>
    <x v="1"/>
    <n v="7"/>
    <x v="3"/>
    <d v="2024-05-18T00:00:00"/>
    <d v="2024-05-25T00:00:00"/>
  </r>
  <r>
    <n v="1227"/>
    <n v="13124"/>
    <x v="3"/>
    <n v="198140.82"/>
    <x v="0"/>
    <n v="23"/>
    <x v="0"/>
    <d v="2024-05-14T00:00:00"/>
    <d v="2024-06-06T00:00:00"/>
  </r>
  <r>
    <n v="1228"/>
    <n v="11753"/>
    <x v="3"/>
    <n v="162493.62"/>
    <x v="0"/>
    <n v="41"/>
    <x v="1"/>
    <d v="2024-01-12T00:00:00"/>
    <d v="2024-02-22T00:00:00"/>
  </r>
  <r>
    <n v="1229"/>
    <n v="18186"/>
    <x v="3"/>
    <n v="41695.910000000003"/>
    <x v="0"/>
    <n v="10"/>
    <x v="3"/>
    <d v="2024-08-31T00:00:00"/>
    <d v="2024-09-10T00:00:00"/>
  </r>
  <r>
    <n v="1230"/>
    <n v="15099"/>
    <x v="1"/>
    <n v="46336.4"/>
    <x v="0"/>
    <n v="33"/>
    <x v="0"/>
    <d v="2024-06-30T00:00:00"/>
    <d v="2024-08-02T00:00:00"/>
  </r>
  <r>
    <n v="1231"/>
    <n v="14335"/>
    <x v="3"/>
    <n v="71343.92"/>
    <x v="0"/>
    <n v="25"/>
    <x v="0"/>
    <d v="2024-07-13T00:00:00"/>
    <d v="2024-08-07T00:00:00"/>
  </r>
  <r>
    <n v="1232"/>
    <n v="13285"/>
    <x v="2"/>
    <n v="67035.839999999997"/>
    <x v="1"/>
    <n v="34"/>
    <x v="1"/>
    <d v="2024-12-27T00:00:00"/>
    <d v="2025-01-30T00:00:00"/>
  </r>
  <r>
    <n v="1233"/>
    <n v="18552"/>
    <x v="3"/>
    <n v="191522.91"/>
    <x v="0"/>
    <n v="14"/>
    <x v="2"/>
    <d v="2024-05-01T00:00:00"/>
    <d v="2024-05-15T00:00:00"/>
  </r>
  <r>
    <n v="1234"/>
    <n v="18925"/>
    <x v="1"/>
    <n v="158869.43"/>
    <x v="0"/>
    <n v="36"/>
    <x v="2"/>
    <d v="2024-02-22T00:00:00"/>
    <d v="2024-03-29T00:00:00"/>
  </r>
  <r>
    <n v="1235"/>
    <n v="10851"/>
    <x v="3"/>
    <n v="146181.71"/>
    <x v="0"/>
    <n v="7"/>
    <x v="3"/>
    <d v="2024-12-21T00:00:00"/>
    <d v="2024-12-28T00:00:00"/>
  </r>
  <r>
    <n v="1236"/>
    <n v="10859"/>
    <x v="3"/>
    <n v="41262.83"/>
    <x v="2"/>
    <m/>
    <x v="1"/>
    <d v="2024-06-21T00:00:00"/>
    <m/>
  </r>
  <r>
    <n v="1237"/>
    <n v="11350"/>
    <x v="1"/>
    <n v="182357.48"/>
    <x v="0"/>
    <n v="31"/>
    <x v="2"/>
    <d v="2024-06-27T00:00:00"/>
    <d v="2024-07-28T00:00:00"/>
  </r>
  <r>
    <n v="1238"/>
    <n v="14918"/>
    <x v="1"/>
    <n v="166434.72"/>
    <x v="0"/>
    <n v="39"/>
    <x v="1"/>
    <d v="2024-10-19T00:00:00"/>
    <d v="2024-11-27T00:00:00"/>
  </r>
  <r>
    <n v="1239"/>
    <n v="15730"/>
    <x v="1"/>
    <n v="36910.160000000003"/>
    <x v="0"/>
    <n v="17"/>
    <x v="2"/>
    <d v="2024-02-28T00:00:00"/>
    <d v="2024-03-16T00:00:00"/>
  </r>
  <r>
    <n v="1240"/>
    <n v="10326"/>
    <x v="1"/>
    <n v="174878.21"/>
    <x v="0"/>
    <n v="2"/>
    <x v="0"/>
    <d v="2024-02-23T00:00:00"/>
    <d v="2024-02-25T00:00:00"/>
  </r>
  <r>
    <n v="1241"/>
    <n v="12120"/>
    <x v="2"/>
    <n v="58088.27"/>
    <x v="0"/>
    <n v="43"/>
    <x v="2"/>
    <d v="2024-09-13T00:00:00"/>
    <d v="2024-10-26T00:00:00"/>
  </r>
  <r>
    <n v="1242"/>
    <n v="10993"/>
    <x v="0"/>
    <n v="20769.599999999999"/>
    <x v="0"/>
    <n v="19"/>
    <x v="1"/>
    <d v="2024-09-01T00:00:00"/>
    <d v="2024-09-20T00:00:00"/>
  </r>
  <r>
    <n v="1243"/>
    <n v="15375"/>
    <x v="1"/>
    <n v="133080.35"/>
    <x v="0"/>
    <n v="23"/>
    <x v="0"/>
    <d v="2024-05-28T00:00:00"/>
    <d v="2024-06-20T00:00:00"/>
  </r>
  <r>
    <n v="1244"/>
    <n v="11766"/>
    <x v="3"/>
    <n v="132491.91"/>
    <x v="0"/>
    <n v="27"/>
    <x v="0"/>
    <d v="2024-10-10T00:00:00"/>
    <d v="2024-11-06T00:00:00"/>
  </r>
  <r>
    <n v="1245"/>
    <n v="19372"/>
    <x v="3"/>
    <n v="23511.74"/>
    <x v="0"/>
    <n v="15"/>
    <x v="0"/>
    <d v="2024-01-16T00:00:00"/>
    <d v="2024-01-31T00:00:00"/>
  </r>
  <r>
    <n v="1246"/>
    <n v="11964"/>
    <x v="3"/>
    <n v="67176.100000000006"/>
    <x v="0"/>
    <n v="38"/>
    <x v="1"/>
    <d v="2024-06-24T00:00:00"/>
    <d v="2024-08-01T00:00:00"/>
  </r>
  <r>
    <n v="1247"/>
    <n v="16601"/>
    <x v="1"/>
    <n v="198598.82"/>
    <x v="0"/>
    <n v="15"/>
    <x v="3"/>
    <d v="2024-01-28T00:00:00"/>
    <d v="2024-02-12T00:00:00"/>
  </r>
  <r>
    <n v="1248"/>
    <n v="12781"/>
    <x v="3"/>
    <n v="137293.20000000001"/>
    <x v="0"/>
    <n v="27"/>
    <x v="3"/>
    <d v="2024-05-08T00:00:00"/>
    <d v="2024-06-04T00:00:00"/>
  </r>
  <r>
    <n v="1249"/>
    <n v="17019"/>
    <x v="3"/>
    <n v="147364.66"/>
    <x v="0"/>
    <n v="37"/>
    <x v="3"/>
    <d v="2024-08-10T00:00:00"/>
    <d v="2024-09-16T00:00:00"/>
  </r>
  <r>
    <n v="1250"/>
    <n v="12905"/>
    <x v="0"/>
    <n v="46518.87"/>
    <x v="0"/>
    <n v="24"/>
    <x v="1"/>
    <d v="2024-08-31T00:00:00"/>
    <d v="2024-09-24T00:00:00"/>
  </r>
  <r>
    <n v="1251"/>
    <n v="18290"/>
    <x v="0"/>
    <n v="20362.5"/>
    <x v="0"/>
    <n v="3"/>
    <x v="0"/>
    <d v="2024-12-19T00:00:00"/>
    <d v="2024-12-22T00:00:00"/>
  </r>
  <r>
    <n v="1252"/>
    <n v="10243"/>
    <x v="2"/>
    <n v="58995.83"/>
    <x v="0"/>
    <n v="40"/>
    <x v="3"/>
    <d v="2024-08-25T00:00:00"/>
    <d v="2024-10-04T00:00:00"/>
  </r>
  <r>
    <n v="1253"/>
    <n v="14037"/>
    <x v="3"/>
    <n v="53535.19"/>
    <x v="0"/>
    <n v="8"/>
    <x v="1"/>
    <d v="2024-08-19T00:00:00"/>
    <d v="2024-08-27T00:00:00"/>
  </r>
  <r>
    <n v="1254"/>
    <n v="17938"/>
    <x v="1"/>
    <n v="50736.1"/>
    <x v="0"/>
    <n v="40"/>
    <x v="3"/>
    <d v="2024-11-21T00:00:00"/>
    <d v="2024-12-31T00:00:00"/>
  </r>
  <r>
    <n v="1255"/>
    <n v="19692"/>
    <x v="3"/>
    <n v="42587.09"/>
    <x v="2"/>
    <m/>
    <x v="2"/>
    <d v="2024-04-01T00:00:00"/>
    <m/>
  </r>
  <r>
    <n v="1256"/>
    <n v="15494"/>
    <x v="3"/>
    <n v="117077.36"/>
    <x v="1"/>
    <n v="29"/>
    <x v="3"/>
    <d v="2024-01-03T00:00:00"/>
    <d v="2024-02-01T00:00:00"/>
  </r>
  <r>
    <n v="1257"/>
    <n v="12709"/>
    <x v="3"/>
    <n v="68980.179999999993"/>
    <x v="0"/>
    <n v="39"/>
    <x v="3"/>
    <d v="2024-03-21T00:00:00"/>
    <d v="2024-04-29T00:00:00"/>
  </r>
  <r>
    <n v="1258"/>
    <n v="17701"/>
    <x v="3"/>
    <n v="164967.28"/>
    <x v="0"/>
    <n v="21"/>
    <x v="0"/>
    <d v="2024-02-13T00:00:00"/>
    <d v="2024-03-05T00:00:00"/>
  </r>
  <r>
    <n v="1259"/>
    <n v="17795"/>
    <x v="3"/>
    <n v="40869.75"/>
    <x v="0"/>
    <n v="19"/>
    <x v="1"/>
    <d v="2024-06-03T00:00:00"/>
    <d v="2024-06-22T00:00:00"/>
  </r>
  <r>
    <n v="1260"/>
    <n v="17088"/>
    <x v="0"/>
    <n v="95602.28"/>
    <x v="0"/>
    <n v="25"/>
    <x v="0"/>
    <d v="2024-01-24T00:00:00"/>
    <d v="2024-02-18T00:00:00"/>
  </r>
  <r>
    <n v="1261"/>
    <n v="11047"/>
    <x v="3"/>
    <n v="7663.28"/>
    <x v="0"/>
    <n v="34"/>
    <x v="0"/>
    <d v="2024-04-08T00:00:00"/>
    <d v="2024-05-12T00:00:00"/>
  </r>
  <r>
    <n v="1262"/>
    <n v="14378"/>
    <x v="1"/>
    <n v="98928.05"/>
    <x v="0"/>
    <n v="27"/>
    <x v="0"/>
    <d v="2024-06-19T00:00:00"/>
    <d v="2024-07-16T00:00:00"/>
  </r>
  <r>
    <n v="1263"/>
    <n v="19507"/>
    <x v="1"/>
    <n v="15888.45"/>
    <x v="0"/>
    <n v="20"/>
    <x v="0"/>
    <d v="2024-05-27T00:00:00"/>
    <d v="2024-06-16T00:00:00"/>
  </r>
  <r>
    <n v="1264"/>
    <n v="19578"/>
    <x v="3"/>
    <n v="195656.08"/>
    <x v="1"/>
    <n v="43"/>
    <x v="0"/>
    <d v="2024-05-02T00:00:00"/>
    <d v="2024-06-14T00:00:00"/>
  </r>
  <r>
    <n v="1265"/>
    <n v="16544"/>
    <x v="3"/>
    <n v="159165.47"/>
    <x v="0"/>
    <n v="14"/>
    <x v="3"/>
    <d v="2024-04-21T00:00:00"/>
    <d v="2024-05-05T00:00:00"/>
  </r>
  <r>
    <n v="1266"/>
    <n v="16711"/>
    <x v="3"/>
    <n v="100571.74"/>
    <x v="1"/>
    <n v="11"/>
    <x v="0"/>
    <d v="2024-05-09T00:00:00"/>
    <d v="2024-05-20T00:00:00"/>
  </r>
  <r>
    <n v="1267"/>
    <n v="17221"/>
    <x v="1"/>
    <n v="21884.53"/>
    <x v="1"/>
    <n v="15"/>
    <x v="0"/>
    <d v="2024-03-08T00:00:00"/>
    <d v="2024-03-23T00:00:00"/>
  </r>
  <r>
    <n v="1268"/>
    <n v="19929"/>
    <x v="3"/>
    <n v="120526.86"/>
    <x v="0"/>
    <n v="10"/>
    <x v="1"/>
    <d v="2024-12-12T00:00:00"/>
    <d v="2024-12-22T00:00:00"/>
  </r>
  <r>
    <n v="1269"/>
    <n v="18613"/>
    <x v="3"/>
    <n v="152958.93"/>
    <x v="0"/>
    <n v="12"/>
    <x v="2"/>
    <d v="2024-11-11T00:00:00"/>
    <d v="2024-11-23T00:00:00"/>
  </r>
  <r>
    <n v="1270"/>
    <n v="16992"/>
    <x v="3"/>
    <n v="42189.86"/>
    <x v="0"/>
    <n v="4"/>
    <x v="3"/>
    <d v="2024-08-04T00:00:00"/>
    <d v="2024-08-08T00:00:00"/>
  </r>
  <r>
    <n v="1271"/>
    <n v="18062"/>
    <x v="1"/>
    <n v="115800.63"/>
    <x v="0"/>
    <n v="41"/>
    <x v="3"/>
    <d v="2024-04-05T00:00:00"/>
    <d v="2024-05-16T00:00:00"/>
  </r>
  <r>
    <n v="1272"/>
    <n v="13801"/>
    <x v="2"/>
    <n v="163771.13"/>
    <x v="0"/>
    <n v="13"/>
    <x v="3"/>
    <d v="2024-05-24T00:00:00"/>
    <d v="2024-06-06T00:00:00"/>
  </r>
  <r>
    <n v="1273"/>
    <n v="15362"/>
    <x v="3"/>
    <n v="154808.32000000001"/>
    <x v="0"/>
    <n v="36"/>
    <x v="0"/>
    <d v="2024-02-02T00:00:00"/>
    <d v="2024-03-09T00:00:00"/>
  </r>
  <r>
    <n v="1274"/>
    <n v="15473"/>
    <x v="1"/>
    <n v="161583.44"/>
    <x v="0"/>
    <n v="40"/>
    <x v="0"/>
    <d v="2024-10-12T00:00:00"/>
    <d v="2024-11-21T00:00:00"/>
  </r>
  <r>
    <n v="1275"/>
    <n v="19603"/>
    <x v="1"/>
    <n v="176468.07"/>
    <x v="2"/>
    <m/>
    <x v="0"/>
    <d v="2024-01-05T00:00:00"/>
    <m/>
  </r>
  <r>
    <n v="1276"/>
    <n v="14570"/>
    <x v="2"/>
    <n v="187848.01"/>
    <x v="0"/>
    <n v="33"/>
    <x v="1"/>
    <d v="2024-04-27T00:00:00"/>
    <d v="2024-05-30T00:00:00"/>
  </r>
  <r>
    <n v="1277"/>
    <n v="12452"/>
    <x v="0"/>
    <n v="84076.63"/>
    <x v="2"/>
    <m/>
    <x v="2"/>
    <d v="2024-05-19T00:00:00"/>
    <m/>
  </r>
  <r>
    <n v="1278"/>
    <n v="12083"/>
    <x v="1"/>
    <n v="115909.97"/>
    <x v="0"/>
    <n v="15"/>
    <x v="0"/>
    <d v="2024-08-17T00:00:00"/>
    <d v="2024-09-01T00:00:00"/>
  </r>
  <r>
    <n v="1279"/>
    <n v="19542"/>
    <x v="1"/>
    <n v="159178.60999999999"/>
    <x v="1"/>
    <n v="2"/>
    <x v="2"/>
    <d v="2024-06-08T00:00:00"/>
    <d v="2024-06-10T00:00:00"/>
  </r>
  <r>
    <n v="1280"/>
    <n v="15163"/>
    <x v="0"/>
    <n v="140942.26"/>
    <x v="0"/>
    <n v="28"/>
    <x v="1"/>
    <d v="2024-10-20T00:00:00"/>
    <d v="2024-11-17T00:00:00"/>
  </r>
  <r>
    <n v="1281"/>
    <n v="14833"/>
    <x v="3"/>
    <n v="199126.44"/>
    <x v="0"/>
    <n v="38"/>
    <x v="3"/>
    <d v="2024-09-05T00:00:00"/>
    <d v="2024-10-13T00:00:00"/>
  </r>
  <r>
    <n v="1282"/>
    <n v="16801"/>
    <x v="3"/>
    <n v="7667.14"/>
    <x v="1"/>
    <n v="44"/>
    <x v="0"/>
    <d v="2024-09-29T00:00:00"/>
    <d v="2024-11-12T00:00:00"/>
  </r>
  <r>
    <n v="1283"/>
    <n v="13340"/>
    <x v="3"/>
    <n v="74250.98"/>
    <x v="0"/>
    <n v="2"/>
    <x v="2"/>
    <d v="2024-07-04T00:00:00"/>
    <d v="2024-07-06T00:00:00"/>
  </r>
  <r>
    <n v="1284"/>
    <n v="13844"/>
    <x v="0"/>
    <n v="59800.45"/>
    <x v="0"/>
    <n v="30"/>
    <x v="2"/>
    <d v="2024-12-30T00:00:00"/>
    <d v="2025-01-29T00:00:00"/>
  </r>
  <r>
    <n v="1285"/>
    <n v="10639"/>
    <x v="0"/>
    <n v="56151.59"/>
    <x v="0"/>
    <n v="25"/>
    <x v="0"/>
    <d v="2024-02-09T00:00:00"/>
    <d v="2024-03-05T00:00:00"/>
  </r>
  <r>
    <n v="1286"/>
    <n v="19766"/>
    <x v="3"/>
    <n v="48393.31"/>
    <x v="0"/>
    <n v="18"/>
    <x v="3"/>
    <d v="2024-08-11T00:00:00"/>
    <d v="2024-08-29T00:00:00"/>
  </r>
  <r>
    <n v="1287"/>
    <n v="18096"/>
    <x v="1"/>
    <n v="143279.15"/>
    <x v="0"/>
    <n v="36"/>
    <x v="3"/>
    <d v="2024-05-31T00:00:00"/>
    <d v="2024-07-06T00:00:00"/>
  </r>
  <r>
    <n v="1288"/>
    <n v="18151"/>
    <x v="3"/>
    <n v="21528.1"/>
    <x v="1"/>
    <n v="32"/>
    <x v="3"/>
    <d v="2024-05-19T00:00:00"/>
    <d v="2024-06-20T00:00:00"/>
  </r>
  <r>
    <n v="1289"/>
    <n v="18377"/>
    <x v="3"/>
    <n v="149613.72"/>
    <x v="0"/>
    <n v="43"/>
    <x v="1"/>
    <d v="2024-05-07T00:00:00"/>
    <d v="2024-06-19T00:00:00"/>
  </r>
  <r>
    <n v="1290"/>
    <n v="15400"/>
    <x v="2"/>
    <n v="140218.04"/>
    <x v="0"/>
    <n v="33"/>
    <x v="2"/>
    <d v="2024-12-16T00:00:00"/>
    <d v="2025-01-18T00:00:00"/>
  </r>
  <r>
    <n v="1291"/>
    <n v="11318"/>
    <x v="3"/>
    <n v="53906.81"/>
    <x v="1"/>
    <n v="20"/>
    <x v="2"/>
    <d v="2024-05-26T00:00:00"/>
    <d v="2024-06-15T00:00:00"/>
  </r>
  <r>
    <n v="1292"/>
    <n v="18719"/>
    <x v="3"/>
    <n v="54302.59"/>
    <x v="0"/>
    <n v="32"/>
    <x v="2"/>
    <d v="2024-10-11T00:00:00"/>
    <d v="2024-11-12T00:00:00"/>
  </r>
  <r>
    <n v="1293"/>
    <n v="13259"/>
    <x v="1"/>
    <n v="127627.81"/>
    <x v="0"/>
    <n v="40"/>
    <x v="1"/>
    <d v="2024-08-05T00:00:00"/>
    <d v="2024-09-14T00:00:00"/>
  </r>
  <r>
    <n v="1294"/>
    <n v="13483"/>
    <x v="1"/>
    <n v="153623.37"/>
    <x v="1"/>
    <n v="21"/>
    <x v="2"/>
    <d v="2024-08-07T00:00:00"/>
    <d v="2024-08-28T00:00:00"/>
  </r>
  <r>
    <n v="1295"/>
    <n v="13019"/>
    <x v="3"/>
    <n v="175914.69"/>
    <x v="0"/>
    <n v="29"/>
    <x v="1"/>
    <d v="2024-05-24T00:00:00"/>
    <d v="2024-06-22T00:00:00"/>
  </r>
  <r>
    <n v="1296"/>
    <n v="14779"/>
    <x v="1"/>
    <n v="171167.21"/>
    <x v="0"/>
    <n v="4"/>
    <x v="3"/>
    <d v="2024-11-24T00:00:00"/>
    <d v="2024-11-28T00:00:00"/>
  </r>
  <r>
    <n v="1297"/>
    <n v="19759"/>
    <x v="1"/>
    <n v="193152.18"/>
    <x v="0"/>
    <n v="33"/>
    <x v="0"/>
    <d v="2024-10-03T00:00:00"/>
    <d v="2024-11-05T00:00:00"/>
  </r>
  <r>
    <n v="1298"/>
    <n v="18766"/>
    <x v="3"/>
    <n v="118370.05"/>
    <x v="0"/>
    <n v="23"/>
    <x v="2"/>
    <d v="2024-08-29T00:00:00"/>
    <d v="2024-09-21T00:00:00"/>
  </r>
  <r>
    <n v="1299"/>
    <n v="11324"/>
    <x v="3"/>
    <n v="182187.83"/>
    <x v="0"/>
    <n v="43"/>
    <x v="2"/>
    <d v="2024-02-29T00:00:00"/>
    <d v="2024-04-12T00:00:00"/>
  </r>
  <r>
    <n v="1300"/>
    <n v="14404"/>
    <x v="1"/>
    <n v="162660.09"/>
    <x v="0"/>
    <n v="16"/>
    <x v="3"/>
    <d v="2024-04-07T00:00:00"/>
    <d v="2024-04-23T00:00:00"/>
  </r>
  <r>
    <n v="1301"/>
    <n v="19404"/>
    <x v="3"/>
    <n v="179460.19"/>
    <x v="1"/>
    <n v="39"/>
    <x v="0"/>
    <d v="2024-11-26T00:00:00"/>
    <d v="2025-01-04T00:00:00"/>
  </r>
  <r>
    <n v="1302"/>
    <n v="15937"/>
    <x v="2"/>
    <n v="7267.19"/>
    <x v="0"/>
    <n v="20"/>
    <x v="1"/>
    <d v="2024-06-29T00:00:00"/>
    <d v="2024-07-19T00:00:00"/>
  </r>
  <r>
    <n v="1303"/>
    <n v="11434"/>
    <x v="0"/>
    <n v="193351.08"/>
    <x v="0"/>
    <n v="32"/>
    <x v="0"/>
    <d v="2024-04-23T00:00:00"/>
    <d v="2024-05-25T00:00:00"/>
  </r>
  <r>
    <n v="1304"/>
    <n v="18729"/>
    <x v="2"/>
    <n v="97338.38"/>
    <x v="2"/>
    <m/>
    <x v="3"/>
    <d v="2024-04-12T00:00:00"/>
    <m/>
  </r>
  <r>
    <n v="1305"/>
    <n v="17554"/>
    <x v="3"/>
    <n v="160645.68"/>
    <x v="0"/>
    <n v="6"/>
    <x v="3"/>
    <d v="2024-12-01T00:00:00"/>
    <d v="2024-12-07T00:00:00"/>
  </r>
  <r>
    <n v="1306"/>
    <n v="14953"/>
    <x v="2"/>
    <n v="29804.799999999999"/>
    <x v="1"/>
    <n v="21"/>
    <x v="0"/>
    <d v="2024-11-14T00:00:00"/>
    <d v="2024-12-05T00:00:00"/>
  </r>
  <r>
    <n v="1307"/>
    <n v="19766"/>
    <x v="3"/>
    <n v="82208.509999999995"/>
    <x v="0"/>
    <n v="3"/>
    <x v="1"/>
    <d v="2024-02-26T00:00:00"/>
    <d v="2024-02-29T00:00:00"/>
  </r>
  <r>
    <n v="1308"/>
    <n v="18384"/>
    <x v="3"/>
    <n v="57934.83"/>
    <x v="1"/>
    <n v="22"/>
    <x v="1"/>
    <d v="2024-10-11T00:00:00"/>
    <d v="2024-11-02T00:00:00"/>
  </r>
  <r>
    <n v="1309"/>
    <n v="19378"/>
    <x v="3"/>
    <n v="61873.46"/>
    <x v="0"/>
    <n v="37"/>
    <x v="2"/>
    <d v="2024-05-08T00:00:00"/>
    <d v="2024-06-14T00:00:00"/>
  </r>
  <r>
    <n v="1310"/>
    <n v="18666"/>
    <x v="3"/>
    <n v="29034.85"/>
    <x v="0"/>
    <n v="29"/>
    <x v="1"/>
    <d v="2024-11-10T00:00:00"/>
    <d v="2024-12-09T00:00:00"/>
  </r>
  <r>
    <n v="1311"/>
    <n v="14269"/>
    <x v="1"/>
    <n v="162123.95000000001"/>
    <x v="0"/>
    <n v="21"/>
    <x v="0"/>
    <d v="2024-03-26T00:00:00"/>
    <d v="2024-04-16T00:00:00"/>
  </r>
  <r>
    <n v="1312"/>
    <n v="17378"/>
    <x v="3"/>
    <n v="6802.25"/>
    <x v="0"/>
    <n v="38"/>
    <x v="3"/>
    <d v="2024-07-18T00:00:00"/>
    <d v="2024-08-25T00:00:00"/>
  </r>
  <r>
    <n v="1313"/>
    <n v="12437"/>
    <x v="3"/>
    <n v="65938.559999999998"/>
    <x v="1"/>
    <n v="40"/>
    <x v="2"/>
    <d v="2024-03-11T00:00:00"/>
    <d v="2024-04-20T00:00:00"/>
  </r>
  <r>
    <n v="1314"/>
    <n v="14552"/>
    <x v="1"/>
    <n v="39010.06"/>
    <x v="0"/>
    <n v="37"/>
    <x v="2"/>
    <d v="2024-12-10T00:00:00"/>
    <d v="2025-01-16T00:00:00"/>
  </r>
  <r>
    <n v="1315"/>
    <n v="11354"/>
    <x v="3"/>
    <n v="119862.59"/>
    <x v="0"/>
    <n v="12"/>
    <x v="3"/>
    <d v="2024-04-07T00:00:00"/>
    <d v="2024-04-19T00:00:00"/>
  </r>
  <r>
    <n v="1316"/>
    <n v="13400"/>
    <x v="1"/>
    <n v="54579.22"/>
    <x v="1"/>
    <n v="4"/>
    <x v="1"/>
    <d v="2024-10-26T00:00:00"/>
    <d v="2024-10-30T00:00:00"/>
  </r>
  <r>
    <n v="1317"/>
    <n v="17196"/>
    <x v="3"/>
    <n v="55504.7"/>
    <x v="0"/>
    <n v="38"/>
    <x v="3"/>
    <d v="2024-06-24T00:00:00"/>
    <d v="2024-08-01T00:00:00"/>
  </r>
  <r>
    <n v="1318"/>
    <n v="13754"/>
    <x v="0"/>
    <n v="100225.94"/>
    <x v="0"/>
    <n v="21"/>
    <x v="1"/>
    <d v="2024-08-20T00:00:00"/>
    <d v="2024-09-10T00:00:00"/>
  </r>
  <r>
    <n v="1319"/>
    <n v="16265"/>
    <x v="0"/>
    <n v="132274.35999999999"/>
    <x v="0"/>
    <n v="33"/>
    <x v="3"/>
    <d v="2024-03-15T00:00:00"/>
    <d v="2024-04-17T00:00:00"/>
  </r>
  <r>
    <n v="1320"/>
    <n v="10158"/>
    <x v="3"/>
    <n v="28654.42"/>
    <x v="0"/>
    <n v="26"/>
    <x v="0"/>
    <d v="2024-05-22T00:00:00"/>
    <d v="2024-06-17T00:00:00"/>
  </r>
  <r>
    <n v="1321"/>
    <n v="16741"/>
    <x v="3"/>
    <n v="39224.730000000003"/>
    <x v="0"/>
    <n v="22"/>
    <x v="1"/>
    <d v="2024-01-23T00:00:00"/>
    <d v="2024-02-14T00:00:00"/>
  </r>
  <r>
    <n v="1322"/>
    <n v="11837"/>
    <x v="3"/>
    <n v="53199.08"/>
    <x v="2"/>
    <m/>
    <x v="0"/>
    <d v="2024-06-29T00:00:00"/>
    <m/>
  </r>
  <r>
    <n v="1323"/>
    <n v="14611"/>
    <x v="0"/>
    <n v="194880.9"/>
    <x v="0"/>
    <n v="43"/>
    <x v="2"/>
    <d v="2024-02-14T00:00:00"/>
    <d v="2024-03-28T00:00:00"/>
  </r>
  <r>
    <n v="1324"/>
    <n v="11025"/>
    <x v="3"/>
    <n v="82444.740000000005"/>
    <x v="0"/>
    <n v="2"/>
    <x v="3"/>
    <d v="2024-04-01T00:00:00"/>
    <d v="2024-04-03T00:00:00"/>
  </r>
  <r>
    <n v="1325"/>
    <n v="17812"/>
    <x v="3"/>
    <n v="121803.07"/>
    <x v="1"/>
    <n v="24"/>
    <x v="2"/>
    <d v="2024-09-25T00:00:00"/>
    <d v="2024-10-19T00:00:00"/>
  </r>
  <r>
    <n v="1326"/>
    <n v="17246"/>
    <x v="3"/>
    <n v="52100.85"/>
    <x v="0"/>
    <n v="44"/>
    <x v="2"/>
    <d v="2024-02-03T00:00:00"/>
    <d v="2024-03-18T00:00:00"/>
  </r>
  <r>
    <n v="1327"/>
    <n v="10658"/>
    <x v="3"/>
    <n v="100639.61"/>
    <x v="0"/>
    <n v="25"/>
    <x v="2"/>
    <d v="2024-06-14T00:00:00"/>
    <d v="2024-07-09T00:00:00"/>
  </r>
  <r>
    <n v="1328"/>
    <n v="10677"/>
    <x v="3"/>
    <n v="19453.240000000002"/>
    <x v="0"/>
    <n v="26"/>
    <x v="2"/>
    <d v="2024-03-10T00:00:00"/>
    <d v="2024-04-05T00:00:00"/>
  </r>
  <r>
    <n v="1329"/>
    <n v="14046"/>
    <x v="0"/>
    <n v="11774.72"/>
    <x v="0"/>
    <n v="8"/>
    <x v="3"/>
    <d v="2024-12-29T00:00:00"/>
    <d v="2025-01-06T00:00:00"/>
  </r>
  <r>
    <n v="1330"/>
    <n v="13821"/>
    <x v="3"/>
    <n v="96403.04"/>
    <x v="0"/>
    <n v="39"/>
    <x v="2"/>
    <d v="2024-07-14T00:00:00"/>
    <d v="2024-08-22T00:00:00"/>
  </r>
  <r>
    <n v="1331"/>
    <n v="12375"/>
    <x v="3"/>
    <n v="82738.559999999998"/>
    <x v="0"/>
    <n v="40"/>
    <x v="3"/>
    <d v="2024-05-12T00:00:00"/>
    <d v="2024-06-21T00:00:00"/>
  </r>
  <r>
    <n v="1332"/>
    <n v="10275"/>
    <x v="0"/>
    <n v="31691.66"/>
    <x v="0"/>
    <n v="36"/>
    <x v="3"/>
    <d v="2024-09-03T00:00:00"/>
    <d v="2024-10-09T00:00:00"/>
  </r>
  <r>
    <n v="1333"/>
    <n v="16859"/>
    <x v="0"/>
    <n v="139082.28"/>
    <x v="1"/>
    <n v="15"/>
    <x v="0"/>
    <d v="2024-06-16T00:00:00"/>
    <d v="2024-07-01T00:00:00"/>
  </r>
  <r>
    <n v="1334"/>
    <n v="11588"/>
    <x v="3"/>
    <n v="198616.18"/>
    <x v="0"/>
    <n v="10"/>
    <x v="1"/>
    <d v="2024-10-03T00:00:00"/>
    <d v="2024-10-13T00:00:00"/>
  </r>
  <r>
    <n v="1335"/>
    <n v="14581"/>
    <x v="3"/>
    <n v="82151.13"/>
    <x v="2"/>
    <m/>
    <x v="1"/>
    <d v="2024-06-04T00:00:00"/>
    <m/>
  </r>
  <r>
    <n v="1336"/>
    <n v="10245"/>
    <x v="3"/>
    <n v="126788.93"/>
    <x v="0"/>
    <n v="39"/>
    <x v="3"/>
    <d v="2024-01-23T00:00:00"/>
    <d v="2024-03-02T00:00:00"/>
  </r>
  <r>
    <n v="1337"/>
    <n v="19080"/>
    <x v="2"/>
    <n v="192780.31"/>
    <x v="0"/>
    <n v="21"/>
    <x v="0"/>
    <d v="2024-07-18T00:00:00"/>
    <d v="2024-08-08T00:00:00"/>
  </r>
  <r>
    <n v="1338"/>
    <n v="16670"/>
    <x v="3"/>
    <n v="167149.32"/>
    <x v="0"/>
    <n v="42"/>
    <x v="3"/>
    <d v="2024-10-01T00:00:00"/>
    <d v="2024-11-12T00:00:00"/>
  </r>
  <r>
    <n v="1339"/>
    <n v="18192"/>
    <x v="2"/>
    <n v="95392.68"/>
    <x v="2"/>
    <m/>
    <x v="3"/>
    <d v="2024-02-19T00:00:00"/>
    <m/>
  </r>
  <r>
    <n v="1340"/>
    <n v="12184"/>
    <x v="1"/>
    <n v="148810.45000000001"/>
    <x v="0"/>
    <n v="42"/>
    <x v="3"/>
    <d v="2024-07-04T00:00:00"/>
    <d v="2024-08-15T00:00:00"/>
  </r>
  <r>
    <n v="1341"/>
    <n v="13251"/>
    <x v="1"/>
    <n v="29986.33"/>
    <x v="0"/>
    <n v="33"/>
    <x v="0"/>
    <d v="2024-01-20T00:00:00"/>
    <d v="2024-02-22T00:00:00"/>
  </r>
  <r>
    <n v="1342"/>
    <n v="15863"/>
    <x v="3"/>
    <n v="104860.25"/>
    <x v="1"/>
    <n v="37"/>
    <x v="1"/>
    <d v="2024-04-25T00:00:00"/>
    <d v="2024-06-01T00:00:00"/>
  </r>
  <r>
    <n v="1343"/>
    <n v="13051"/>
    <x v="3"/>
    <n v="59416.75"/>
    <x v="0"/>
    <n v="27"/>
    <x v="0"/>
    <d v="2024-04-01T00:00:00"/>
    <d v="2024-04-28T00:00:00"/>
  </r>
  <r>
    <n v="1344"/>
    <n v="19702"/>
    <x v="3"/>
    <n v="36426.92"/>
    <x v="1"/>
    <n v="6"/>
    <x v="2"/>
    <d v="2024-12-14T00:00:00"/>
    <d v="2024-12-20T00:00:00"/>
  </r>
  <r>
    <n v="1345"/>
    <n v="13771"/>
    <x v="3"/>
    <n v="88124.78"/>
    <x v="0"/>
    <n v="31"/>
    <x v="0"/>
    <d v="2024-12-04T00:00:00"/>
    <d v="2025-01-04T00:00:00"/>
  </r>
  <r>
    <n v="1346"/>
    <n v="19320"/>
    <x v="1"/>
    <n v="30547.84"/>
    <x v="1"/>
    <n v="18"/>
    <x v="0"/>
    <d v="2024-02-22T00:00:00"/>
    <d v="2024-03-11T00:00:00"/>
  </r>
  <r>
    <n v="1347"/>
    <n v="18889"/>
    <x v="2"/>
    <n v="141302.1"/>
    <x v="2"/>
    <m/>
    <x v="0"/>
    <d v="2024-05-02T00:00:00"/>
    <m/>
  </r>
  <r>
    <n v="1348"/>
    <n v="19280"/>
    <x v="1"/>
    <n v="93966.81"/>
    <x v="0"/>
    <n v="16"/>
    <x v="0"/>
    <d v="2024-12-06T00:00:00"/>
    <d v="2024-12-22T00:00:00"/>
  </r>
  <r>
    <n v="1349"/>
    <n v="12419"/>
    <x v="1"/>
    <n v="108573.2"/>
    <x v="0"/>
    <n v="2"/>
    <x v="1"/>
    <d v="2024-12-03T00:00:00"/>
    <d v="2024-12-05T00:00:00"/>
  </r>
  <r>
    <n v="1350"/>
    <n v="17396"/>
    <x v="3"/>
    <n v="33543.31"/>
    <x v="0"/>
    <n v="14"/>
    <x v="2"/>
    <d v="2024-09-21T00:00:00"/>
    <d v="2024-10-05T00:00:00"/>
  </r>
  <r>
    <n v="1351"/>
    <n v="12628"/>
    <x v="3"/>
    <n v="32255.47"/>
    <x v="2"/>
    <m/>
    <x v="1"/>
    <d v="2024-01-04T00:00:00"/>
    <m/>
  </r>
  <r>
    <n v="1352"/>
    <n v="17309"/>
    <x v="3"/>
    <n v="118766.01"/>
    <x v="0"/>
    <n v="31"/>
    <x v="1"/>
    <d v="2024-06-17T00:00:00"/>
    <d v="2024-07-18T00:00:00"/>
  </r>
  <r>
    <n v="1353"/>
    <n v="10685"/>
    <x v="1"/>
    <n v="197076.9"/>
    <x v="0"/>
    <n v="20"/>
    <x v="0"/>
    <d v="2024-10-07T00:00:00"/>
    <d v="2024-10-27T00:00:00"/>
  </r>
  <r>
    <n v="1354"/>
    <n v="12756"/>
    <x v="2"/>
    <n v="23768.86"/>
    <x v="0"/>
    <n v="3"/>
    <x v="3"/>
    <d v="2024-10-16T00:00:00"/>
    <d v="2024-10-19T00:00:00"/>
  </r>
  <r>
    <n v="1355"/>
    <n v="15023"/>
    <x v="1"/>
    <n v="60717.63"/>
    <x v="0"/>
    <n v="13"/>
    <x v="3"/>
    <d v="2024-03-13T00:00:00"/>
    <d v="2024-03-26T00:00:00"/>
  </r>
  <r>
    <n v="1356"/>
    <n v="19924"/>
    <x v="3"/>
    <n v="174544.53"/>
    <x v="0"/>
    <n v="41"/>
    <x v="1"/>
    <d v="2024-05-16T00:00:00"/>
    <d v="2024-06-26T00:00:00"/>
  </r>
  <r>
    <n v="1357"/>
    <n v="14835"/>
    <x v="3"/>
    <n v="19093.04"/>
    <x v="0"/>
    <n v="25"/>
    <x v="1"/>
    <d v="2024-12-03T00:00:00"/>
    <d v="2024-12-28T00:00:00"/>
  </r>
  <r>
    <n v="1358"/>
    <n v="11972"/>
    <x v="1"/>
    <n v="175797.72"/>
    <x v="0"/>
    <n v="12"/>
    <x v="0"/>
    <d v="2024-09-12T00:00:00"/>
    <d v="2024-09-24T00:00:00"/>
  </r>
  <r>
    <n v="1359"/>
    <n v="10710"/>
    <x v="3"/>
    <n v="107235.77"/>
    <x v="0"/>
    <n v="3"/>
    <x v="1"/>
    <d v="2024-05-20T00:00:00"/>
    <d v="2024-05-23T00:00:00"/>
  </r>
  <r>
    <n v="1360"/>
    <n v="18516"/>
    <x v="0"/>
    <n v="84612.02"/>
    <x v="0"/>
    <n v="2"/>
    <x v="0"/>
    <d v="2024-07-26T00:00:00"/>
    <d v="2024-07-28T00:00:00"/>
  </r>
  <r>
    <n v="1361"/>
    <n v="15085"/>
    <x v="0"/>
    <n v="65387.71"/>
    <x v="0"/>
    <n v="29"/>
    <x v="3"/>
    <d v="2024-09-16T00:00:00"/>
    <d v="2024-10-15T00:00:00"/>
  </r>
  <r>
    <n v="1362"/>
    <n v="15646"/>
    <x v="1"/>
    <n v="62937.85"/>
    <x v="1"/>
    <n v="5"/>
    <x v="3"/>
    <d v="2024-09-19T00:00:00"/>
    <d v="2024-09-24T00:00:00"/>
  </r>
  <r>
    <n v="1363"/>
    <n v="14893"/>
    <x v="3"/>
    <n v="64631.5"/>
    <x v="1"/>
    <n v="42"/>
    <x v="2"/>
    <d v="2024-09-27T00:00:00"/>
    <d v="2024-11-08T00:00:00"/>
  </r>
  <r>
    <n v="1364"/>
    <n v="12594"/>
    <x v="3"/>
    <n v="177536.6"/>
    <x v="0"/>
    <n v="31"/>
    <x v="3"/>
    <d v="2024-02-07T00:00:00"/>
    <d v="2024-03-09T00:00:00"/>
  </r>
  <r>
    <n v="1365"/>
    <n v="11092"/>
    <x v="3"/>
    <n v="146140.07"/>
    <x v="0"/>
    <n v="8"/>
    <x v="1"/>
    <d v="2024-07-21T00:00:00"/>
    <d v="2024-07-29T00:00:00"/>
  </r>
  <r>
    <n v="1366"/>
    <n v="12955"/>
    <x v="3"/>
    <n v="135595.99"/>
    <x v="0"/>
    <n v="23"/>
    <x v="3"/>
    <d v="2024-08-11T00:00:00"/>
    <d v="2024-09-03T00:00:00"/>
  </r>
  <r>
    <n v="1367"/>
    <n v="18403"/>
    <x v="3"/>
    <n v="160756.07999999999"/>
    <x v="0"/>
    <n v="27"/>
    <x v="0"/>
    <d v="2024-12-12T00:00:00"/>
    <d v="2025-01-08T00:00:00"/>
  </r>
  <r>
    <n v="1368"/>
    <n v="19773"/>
    <x v="1"/>
    <n v="55137.36"/>
    <x v="0"/>
    <n v="30"/>
    <x v="3"/>
    <d v="2024-02-21T00:00:00"/>
    <d v="2024-03-22T00:00:00"/>
  </r>
  <r>
    <n v="1369"/>
    <n v="19635"/>
    <x v="1"/>
    <n v="125518.35"/>
    <x v="0"/>
    <n v="26"/>
    <x v="2"/>
    <d v="2024-03-21T00:00:00"/>
    <d v="2024-04-16T00:00:00"/>
  </r>
  <r>
    <n v="1370"/>
    <n v="14143"/>
    <x v="3"/>
    <n v="94712.92"/>
    <x v="0"/>
    <n v="11"/>
    <x v="3"/>
    <d v="2024-12-21T00:00:00"/>
    <d v="2025-01-01T00:00:00"/>
  </r>
  <r>
    <n v="1371"/>
    <n v="18770"/>
    <x v="3"/>
    <n v="157576.12"/>
    <x v="2"/>
    <m/>
    <x v="0"/>
    <d v="2024-07-29T00:00:00"/>
    <m/>
  </r>
  <r>
    <n v="1372"/>
    <n v="17644"/>
    <x v="3"/>
    <n v="65304.94"/>
    <x v="0"/>
    <n v="15"/>
    <x v="0"/>
    <d v="2024-01-07T00:00:00"/>
    <d v="2024-01-22T00:00:00"/>
  </r>
  <r>
    <n v="1373"/>
    <n v="12997"/>
    <x v="3"/>
    <n v="130419.83"/>
    <x v="0"/>
    <n v="34"/>
    <x v="1"/>
    <d v="2024-12-28T00:00:00"/>
    <d v="2025-01-31T00:00:00"/>
  </r>
  <r>
    <n v="1374"/>
    <n v="15208"/>
    <x v="0"/>
    <n v="177031.42"/>
    <x v="0"/>
    <n v="6"/>
    <x v="3"/>
    <d v="2024-02-14T00:00:00"/>
    <d v="2024-02-20T00:00:00"/>
  </r>
  <r>
    <n v="1375"/>
    <n v="19946"/>
    <x v="3"/>
    <n v="83419.34"/>
    <x v="2"/>
    <m/>
    <x v="0"/>
    <d v="2024-11-10T00:00:00"/>
    <m/>
  </r>
  <r>
    <n v="1376"/>
    <n v="12979"/>
    <x v="3"/>
    <n v="17991.310000000001"/>
    <x v="0"/>
    <n v="23"/>
    <x v="2"/>
    <d v="2024-10-03T00:00:00"/>
    <d v="2024-10-26T00:00:00"/>
  </r>
  <r>
    <n v="1377"/>
    <n v="13605"/>
    <x v="3"/>
    <n v="105629.91"/>
    <x v="0"/>
    <n v="18"/>
    <x v="1"/>
    <d v="2024-09-15T00:00:00"/>
    <d v="2024-10-03T00:00:00"/>
  </r>
  <r>
    <n v="1378"/>
    <n v="10421"/>
    <x v="0"/>
    <n v="72464.639999999999"/>
    <x v="0"/>
    <n v="16"/>
    <x v="2"/>
    <d v="2024-05-21T00:00:00"/>
    <d v="2024-06-06T00:00:00"/>
  </r>
  <r>
    <n v="1379"/>
    <n v="10610"/>
    <x v="1"/>
    <n v="136083.95000000001"/>
    <x v="0"/>
    <n v="40"/>
    <x v="3"/>
    <d v="2024-09-14T00:00:00"/>
    <d v="2024-10-24T00:00:00"/>
  </r>
  <r>
    <n v="1380"/>
    <n v="18637"/>
    <x v="3"/>
    <n v="190451.42"/>
    <x v="0"/>
    <n v="41"/>
    <x v="3"/>
    <d v="2024-10-11T00:00:00"/>
    <d v="2024-11-21T00:00:00"/>
  </r>
  <r>
    <n v="1381"/>
    <n v="19152"/>
    <x v="1"/>
    <n v="99693.62"/>
    <x v="0"/>
    <n v="29"/>
    <x v="3"/>
    <d v="2024-02-06T00:00:00"/>
    <d v="2024-03-06T00:00:00"/>
  </r>
  <r>
    <n v="1382"/>
    <n v="10130"/>
    <x v="1"/>
    <n v="95907.09"/>
    <x v="0"/>
    <n v="3"/>
    <x v="1"/>
    <d v="2024-02-14T00:00:00"/>
    <d v="2024-02-17T00:00:00"/>
  </r>
  <r>
    <n v="1383"/>
    <n v="12647"/>
    <x v="2"/>
    <n v="132644.04"/>
    <x v="0"/>
    <n v="19"/>
    <x v="0"/>
    <d v="2024-04-29T00:00:00"/>
    <d v="2024-05-18T00:00:00"/>
  </r>
  <r>
    <n v="1384"/>
    <n v="16673"/>
    <x v="3"/>
    <n v="25182.01"/>
    <x v="0"/>
    <n v="28"/>
    <x v="1"/>
    <d v="2024-02-15T00:00:00"/>
    <d v="2024-03-14T00:00:00"/>
  </r>
  <r>
    <n v="1385"/>
    <n v="13729"/>
    <x v="0"/>
    <n v="54433.71"/>
    <x v="1"/>
    <n v="22"/>
    <x v="2"/>
    <d v="2024-05-19T00:00:00"/>
    <d v="2024-06-10T00:00:00"/>
  </r>
  <r>
    <n v="1386"/>
    <n v="14431"/>
    <x v="2"/>
    <n v="184200.97"/>
    <x v="0"/>
    <n v="24"/>
    <x v="1"/>
    <d v="2024-02-22T00:00:00"/>
    <d v="2024-03-17T00:00:00"/>
  </r>
  <r>
    <n v="1387"/>
    <n v="11024"/>
    <x v="2"/>
    <n v="135638.81"/>
    <x v="1"/>
    <n v="8"/>
    <x v="2"/>
    <d v="2024-10-27T00:00:00"/>
    <d v="2024-11-04T00:00:00"/>
  </r>
  <r>
    <n v="1388"/>
    <n v="19844"/>
    <x v="1"/>
    <n v="7621.59"/>
    <x v="0"/>
    <n v="20"/>
    <x v="1"/>
    <d v="2024-10-14T00:00:00"/>
    <d v="2024-11-03T00:00:00"/>
  </r>
  <r>
    <n v="1389"/>
    <n v="17039"/>
    <x v="1"/>
    <n v="44901.97"/>
    <x v="0"/>
    <n v="10"/>
    <x v="0"/>
    <d v="2024-09-30T00:00:00"/>
    <d v="2024-10-10T00:00:00"/>
  </r>
  <r>
    <n v="1390"/>
    <n v="10537"/>
    <x v="3"/>
    <n v="138153.26999999999"/>
    <x v="0"/>
    <n v="13"/>
    <x v="2"/>
    <d v="2024-09-25T00:00:00"/>
    <d v="2024-10-08T00:00:00"/>
  </r>
  <r>
    <n v="1391"/>
    <n v="14591"/>
    <x v="1"/>
    <n v="154057.84"/>
    <x v="0"/>
    <n v="31"/>
    <x v="3"/>
    <d v="2024-10-05T00:00:00"/>
    <d v="2024-11-05T00:00:00"/>
  </r>
  <r>
    <n v="1392"/>
    <n v="13083"/>
    <x v="1"/>
    <n v="168772.62"/>
    <x v="1"/>
    <n v="8"/>
    <x v="3"/>
    <d v="2024-03-02T00:00:00"/>
    <d v="2024-03-10T00:00:00"/>
  </r>
  <r>
    <n v="1393"/>
    <n v="10507"/>
    <x v="1"/>
    <n v="61974.48"/>
    <x v="2"/>
    <m/>
    <x v="1"/>
    <d v="2024-02-23T00:00:00"/>
    <m/>
  </r>
  <r>
    <n v="1394"/>
    <n v="13924"/>
    <x v="3"/>
    <n v="186550.58"/>
    <x v="0"/>
    <n v="18"/>
    <x v="3"/>
    <d v="2024-03-09T00:00:00"/>
    <d v="2024-03-27T00:00:00"/>
  </r>
  <r>
    <n v="1395"/>
    <n v="18872"/>
    <x v="1"/>
    <n v="112824.64"/>
    <x v="0"/>
    <n v="12"/>
    <x v="2"/>
    <d v="2024-08-29T00:00:00"/>
    <d v="2024-09-10T00:00:00"/>
  </r>
  <r>
    <n v="1396"/>
    <n v="12612"/>
    <x v="0"/>
    <n v="140825.10999999999"/>
    <x v="0"/>
    <n v="13"/>
    <x v="3"/>
    <d v="2024-09-26T00:00:00"/>
    <d v="2024-10-09T00:00:00"/>
  </r>
  <r>
    <n v="1397"/>
    <n v="14876"/>
    <x v="3"/>
    <n v="121364.08"/>
    <x v="0"/>
    <n v="4"/>
    <x v="0"/>
    <d v="2024-09-08T00:00:00"/>
    <d v="2024-09-12T00:00:00"/>
  </r>
  <r>
    <n v="1398"/>
    <n v="18951"/>
    <x v="0"/>
    <n v="28934.31"/>
    <x v="0"/>
    <n v="22"/>
    <x v="0"/>
    <d v="2024-12-19T00:00:00"/>
    <d v="2025-01-10T00:00:00"/>
  </r>
  <r>
    <n v="1399"/>
    <n v="14223"/>
    <x v="1"/>
    <n v="192807.36"/>
    <x v="0"/>
    <n v="15"/>
    <x v="1"/>
    <d v="2024-10-10T00:00:00"/>
    <d v="2024-10-25T00:00:00"/>
  </r>
  <r>
    <n v="1400"/>
    <n v="13147"/>
    <x v="0"/>
    <n v="28960.74"/>
    <x v="2"/>
    <m/>
    <x v="2"/>
    <d v="2024-12-16T00:00:00"/>
    <m/>
  </r>
  <r>
    <n v="1401"/>
    <n v="12193"/>
    <x v="3"/>
    <n v="54701.98"/>
    <x v="0"/>
    <n v="43"/>
    <x v="0"/>
    <d v="2024-03-11T00:00:00"/>
    <d v="2024-04-23T00:00:00"/>
  </r>
  <r>
    <n v="1402"/>
    <n v="18082"/>
    <x v="3"/>
    <n v="163657.44"/>
    <x v="2"/>
    <m/>
    <x v="0"/>
    <d v="2024-11-18T00:00:00"/>
    <m/>
  </r>
  <r>
    <n v="1403"/>
    <n v="12546"/>
    <x v="2"/>
    <n v="125626.41"/>
    <x v="1"/>
    <n v="11"/>
    <x v="2"/>
    <d v="2024-04-09T00:00:00"/>
    <d v="2024-04-20T00:00:00"/>
  </r>
  <r>
    <n v="1404"/>
    <n v="15061"/>
    <x v="3"/>
    <n v="168439.09"/>
    <x v="1"/>
    <n v="37"/>
    <x v="3"/>
    <d v="2024-03-01T00:00:00"/>
    <d v="2024-04-07T00:00:00"/>
  </r>
  <r>
    <n v="1405"/>
    <n v="14655"/>
    <x v="0"/>
    <n v="105568.56"/>
    <x v="0"/>
    <n v="11"/>
    <x v="3"/>
    <d v="2024-04-12T00:00:00"/>
    <d v="2024-04-23T00:00:00"/>
  </r>
  <r>
    <n v="1406"/>
    <n v="11222"/>
    <x v="3"/>
    <n v="78513.679999999993"/>
    <x v="0"/>
    <n v="18"/>
    <x v="1"/>
    <d v="2024-04-28T00:00:00"/>
    <d v="2024-05-16T00:00:00"/>
  </r>
  <r>
    <n v="1407"/>
    <n v="17750"/>
    <x v="1"/>
    <n v="184759.87"/>
    <x v="0"/>
    <n v="26"/>
    <x v="3"/>
    <d v="2024-01-17T00:00:00"/>
    <d v="2024-02-12T00:00:00"/>
  </r>
  <r>
    <n v="1408"/>
    <n v="15019"/>
    <x v="3"/>
    <n v="12069.2"/>
    <x v="0"/>
    <n v="28"/>
    <x v="2"/>
    <d v="2024-10-31T00:00:00"/>
    <d v="2024-11-28T00:00:00"/>
  </r>
  <r>
    <n v="1409"/>
    <n v="13574"/>
    <x v="1"/>
    <n v="171945.39"/>
    <x v="0"/>
    <n v="34"/>
    <x v="0"/>
    <d v="2024-07-09T00:00:00"/>
    <d v="2024-08-12T00:00:00"/>
  </r>
  <r>
    <n v="1410"/>
    <n v="15723"/>
    <x v="3"/>
    <n v="50009.47"/>
    <x v="2"/>
    <m/>
    <x v="3"/>
    <d v="2024-07-30T00:00:00"/>
    <m/>
  </r>
  <r>
    <n v="1411"/>
    <n v="16546"/>
    <x v="3"/>
    <n v="170503.58"/>
    <x v="1"/>
    <n v="14"/>
    <x v="1"/>
    <d v="2024-03-18T00:00:00"/>
    <d v="2024-04-01T00:00:00"/>
  </r>
  <r>
    <n v="1412"/>
    <n v="13023"/>
    <x v="3"/>
    <n v="32143.34"/>
    <x v="1"/>
    <n v="2"/>
    <x v="3"/>
    <d v="2024-02-15T00:00:00"/>
    <d v="2024-02-17T00:00:00"/>
  </r>
  <r>
    <n v="1413"/>
    <n v="13280"/>
    <x v="3"/>
    <n v="118142.7"/>
    <x v="1"/>
    <n v="32"/>
    <x v="2"/>
    <d v="2024-04-02T00:00:00"/>
    <d v="2024-05-04T00:00:00"/>
  </r>
  <r>
    <n v="1414"/>
    <n v="19263"/>
    <x v="2"/>
    <n v="178181.04"/>
    <x v="0"/>
    <n v="34"/>
    <x v="1"/>
    <d v="2024-01-13T00:00:00"/>
    <d v="2024-02-16T00:00:00"/>
  </r>
  <r>
    <n v="1415"/>
    <n v="10540"/>
    <x v="2"/>
    <n v="97340.23"/>
    <x v="0"/>
    <n v="22"/>
    <x v="3"/>
    <d v="2024-08-15T00:00:00"/>
    <d v="2024-09-06T00:00:00"/>
  </r>
  <r>
    <n v="1416"/>
    <n v="10510"/>
    <x v="3"/>
    <n v="150580.5"/>
    <x v="0"/>
    <n v="17"/>
    <x v="1"/>
    <d v="2024-10-27T00:00:00"/>
    <d v="2024-11-13T00:00:00"/>
  </r>
  <r>
    <n v="1417"/>
    <n v="16162"/>
    <x v="1"/>
    <n v="161910.97"/>
    <x v="0"/>
    <n v="40"/>
    <x v="2"/>
    <d v="2024-01-17T00:00:00"/>
    <d v="2024-02-26T00:00:00"/>
  </r>
  <r>
    <n v="1418"/>
    <n v="16702"/>
    <x v="3"/>
    <n v="148616.37"/>
    <x v="1"/>
    <n v="24"/>
    <x v="0"/>
    <d v="2024-10-29T00:00:00"/>
    <d v="2024-11-22T00:00:00"/>
  </r>
  <r>
    <n v="1419"/>
    <n v="10344"/>
    <x v="1"/>
    <n v="185439.3"/>
    <x v="0"/>
    <n v="11"/>
    <x v="2"/>
    <d v="2024-03-02T00:00:00"/>
    <d v="2024-03-13T00:00:00"/>
  </r>
  <r>
    <n v="1420"/>
    <n v="15179"/>
    <x v="0"/>
    <n v="92132.67"/>
    <x v="0"/>
    <n v="34"/>
    <x v="2"/>
    <d v="2024-02-12T00:00:00"/>
    <d v="2024-03-17T00:00:00"/>
  </r>
  <r>
    <n v="1421"/>
    <n v="18083"/>
    <x v="2"/>
    <n v="38759.46"/>
    <x v="0"/>
    <n v="23"/>
    <x v="2"/>
    <d v="2024-03-08T00:00:00"/>
    <d v="2024-03-31T00:00:00"/>
  </r>
  <r>
    <n v="1422"/>
    <n v="16372"/>
    <x v="3"/>
    <n v="14323.16"/>
    <x v="0"/>
    <n v="42"/>
    <x v="2"/>
    <d v="2024-07-30T00:00:00"/>
    <d v="2024-09-10T00:00:00"/>
  </r>
  <r>
    <n v="1423"/>
    <n v="12480"/>
    <x v="1"/>
    <n v="53059.67"/>
    <x v="0"/>
    <n v="7"/>
    <x v="0"/>
    <d v="2024-07-21T00:00:00"/>
    <d v="2024-07-28T00:00:00"/>
  </r>
  <r>
    <n v="1424"/>
    <n v="18590"/>
    <x v="3"/>
    <n v="32923.51"/>
    <x v="1"/>
    <n v="37"/>
    <x v="0"/>
    <d v="2024-08-01T00:00:00"/>
    <d v="2024-09-07T00:00:00"/>
  </r>
  <r>
    <n v="1425"/>
    <n v="15819"/>
    <x v="2"/>
    <n v="113800"/>
    <x v="0"/>
    <n v="11"/>
    <x v="1"/>
    <d v="2024-04-18T00:00:00"/>
    <d v="2024-04-29T00:00:00"/>
  </r>
  <r>
    <n v="1426"/>
    <n v="16742"/>
    <x v="3"/>
    <n v="41064.339999999997"/>
    <x v="0"/>
    <n v="17"/>
    <x v="3"/>
    <d v="2024-10-10T00:00:00"/>
    <d v="2024-10-27T00:00:00"/>
  </r>
  <r>
    <n v="1427"/>
    <n v="19486"/>
    <x v="1"/>
    <n v="12592.07"/>
    <x v="0"/>
    <n v="14"/>
    <x v="0"/>
    <d v="2024-04-03T00:00:00"/>
    <d v="2024-04-17T00:00:00"/>
  </r>
  <r>
    <n v="1428"/>
    <n v="16900"/>
    <x v="1"/>
    <n v="12018.02"/>
    <x v="0"/>
    <n v="21"/>
    <x v="0"/>
    <d v="2024-08-12T00:00:00"/>
    <d v="2024-09-02T00:00:00"/>
  </r>
  <r>
    <n v="1429"/>
    <n v="15638"/>
    <x v="1"/>
    <n v="167156.04999999999"/>
    <x v="0"/>
    <n v="5"/>
    <x v="3"/>
    <d v="2024-08-12T00:00:00"/>
    <d v="2024-08-17T00:00:00"/>
  </r>
  <r>
    <n v="1430"/>
    <n v="15900"/>
    <x v="3"/>
    <n v="120332.74"/>
    <x v="2"/>
    <m/>
    <x v="0"/>
    <d v="2024-08-26T00:00:00"/>
    <m/>
  </r>
  <r>
    <n v="1431"/>
    <n v="15523"/>
    <x v="2"/>
    <n v="74826.63"/>
    <x v="0"/>
    <n v="23"/>
    <x v="2"/>
    <d v="2024-04-27T00:00:00"/>
    <d v="2024-05-20T00:00:00"/>
  </r>
  <r>
    <n v="1432"/>
    <n v="13849"/>
    <x v="3"/>
    <n v="179374.47"/>
    <x v="0"/>
    <n v="30"/>
    <x v="2"/>
    <d v="2024-03-31T00:00:00"/>
    <d v="2024-04-30T00:00:00"/>
  </r>
  <r>
    <n v="1433"/>
    <n v="11777"/>
    <x v="1"/>
    <n v="18688.34"/>
    <x v="0"/>
    <n v="17"/>
    <x v="3"/>
    <d v="2024-12-05T00:00:00"/>
    <d v="2024-12-22T00:00:00"/>
  </r>
  <r>
    <n v="1434"/>
    <n v="18571"/>
    <x v="3"/>
    <n v="196162.8"/>
    <x v="0"/>
    <n v="44"/>
    <x v="1"/>
    <d v="2024-10-15T00:00:00"/>
    <d v="2024-11-28T00:00:00"/>
  </r>
  <r>
    <n v="1435"/>
    <n v="13763"/>
    <x v="3"/>
    <n v="125176.9"/>
    <x v="0"/>
    <n v="44"/>
    <x v="1"/>
    <d v="2024-10-07T00:00:00"/>
    <d v="2024-11-20T00:00:00"/>
  </r>
  <r>
    <n v="1436"/>
    <n v="19853"/>
    <x v="1"/>
    <n v="40775.53"/>
    <x v="0"/>
    <n v="24"/>
    <x v="3"/>
    <d v="2024-01-19T00:00:00"/>
    <d v="2024-02-12T00:00:00"/>
  </r>
  <r>
    <n v="1437"/>
    <n v="13058"/>
    <x v="3"/>
    <n v="137418.47"/>
    <x v="0"/>
    <n v="31"/>
    <x v="3"/>
    <d v="2024-06-23T00:00:00"/>
    <d v="2024-07-24T00:00:00"/>
  </r>
  <r>
    <n v="1438"/>
    <n v="19498"/>
    <x v="3"/>
    <n v="153859.35"/>
    <x v="1"/>
    <n v="31"/>
    <x v="2"/>
    <d v="2024-04-15T00:00:00"/>
    <d v="2024-05-16T00:00:00"/>
  </r>
  <r>
    <n v="1439"/>
    <n v="12465"/>
    <x v="3"/>
    <n v="88721.84"/>
    <x v="0"/>
    <n v="44"/>
    <x v="1"/>
    <d v="2024-10-15T00:00:00"/>
    <d v="2024-11-28T00:00:00"/>
  </r>
  <r>
    <n v="1440"/>
    <n v="14451"/>
    <x v="3"/>
    <n v="173018.36"/>
    <x v="0"/>
    <n v="4"/>
    <x v="0"/>
    <d v="2024-09-04T00:00:00"/>
    <d v="2024-09-08T00:00:00"/>
  </r>
  <r>
    <n v="1441"/>
    <n v="10015"/>
    <x v="1"/>
    <n v="34392.82"/>
    <x v="0"/>
    <n v="25"/>
    <x v="2"/>
    <d v="2024-11-18T00:00:00"/>
    <d v="2024-12-13T00:00:00"/>
  </r>
  <r>
    <n v="1442"/>
    <n v="14410"/>
    <x v="0"/>
    <n v="59373.33"/>
    <x v="0"/>
    <n v="38"/>
    <x v="3"/>
    <d v="2024-05-21T00:00:00"/>
    <d v="2024-06-28T00:00:00"/>
  </r>
  <r>
    <n v="1443"/>
    <n v="12580"/>
    <x v="3"/>
    <n v="23231.01"/>
    <x v="1"/>
    <n v="14"/>
    <x v="1"/>
    <d v="2024-10-24T00:00:00"/>
    <d v="2024-11-07T00:00:00"/>
  </r>
  <r>
    <n v="1444"/>
    <n v="15135"/>
    <x v="3"/>
    <n v="46121.18"/>
    <x v="2"/>
    <m/>
    <x v="0"/>
    <d v="2024-07-11T00:00:00"/>
    <m/>
  </r>
  <r>
    <n v="1445"/>
    <n v="17948"/>
    <x v="3"/>
    <n v="51552.12"/>
    <x v="0"/>
    <n v="33"/>
    <x v="0"/>
    <d v="2024-12-16T00:00:00"/>
    <d v="2025-01-18T00:00:00"/>
  </r>
  <r>
    <n v="1446"/>
    <n v="12592"/>
    <x v="3"/>
    <n v="183938.47"/>
    <x v="1"/>
    <n v="38"/>
    <x v="2"/>
    <d v="2024-10-29T00:00:00"/>
    <d v="2024-12-06T00:00:00"/>
  </r>
  <r>
    <n v="1447"/>
    <n v="14789"/>
    <x v="1"/>
    <n v="20231.39"/>
    <x v="1"/>
    <n v="13"/>
    <x v="1"/>
    <d v="2024-10-17T00:00:00"/>
    <d v="2024-10-30T00:00:00"/>
  </r>
  <r>
    <n v="1448"/>
    <n v="18260"/>
    <x v="1"/>
    <n v="88345.95"/>
    <x v="2"/>
    <m/>
    <x v="1"/>
    <d v="2024-11-27T00:00:00"/>
    <m/>
  </r>
  <r>
    <n v="1449"/>
    <n v="18602"/>
    <x v="3"/>
    <n v="108817.74"/>
    <x v="0"/>
    <n v="25"/>
    <x v="3"/>
    <d v="2024-07-26T00:00:00"/>
    <d v="2024-08-20T00:00:00"/>
  </r>
  <r>
    <n v="1450"/>
    <n v="17232"/>
    <x v="3"/>
    <n v="180245.15"/>
    <x v="0"/>
    <n v="17"/>
    <x v="1"/>
    <d v="2024-09-04T00:00:00"/>
    <d v="2024-09-21T00:00:00"/>
  </r>
  <r>
    <n v="1451"/>
    <n v="18093"/>
    <x v="3"/>
    <n v="199550.76"/>
    <x v="0"/>
    <n v="33"/>
    <x v="1"/>
    <d v="2024-05-21T00:00:00"/>
    <d v="2024-06-23T00:00:00"/>
  </r>
  <r>
    <n v="1452"/>
    <n v="10918"/>
    <x v="0"/>
    <n v="151910.68"/>
    <x v="1"/>
    <n v="35"/>
    <x v="2"/>
    <d v="2024-11-06T00:00:00"/>
    <d v="2024-12-11T00:00:00"/>
  </r>
  <r>
    <n v="1453"/>
    <n v="14835"/>
    <x v="2"/>
    <n v="194304.24"/>
    <x v="0"/>
    <n v="36"/>
    <x v="1"/>
    <d v="2024-08-09T00:00:00"/>
    <d v="2024-09-14T00:00:00"/>
  </r>
  <r>
    <n v="1454"/>
    <n v="19682"/>
    <x v="3"/>
    <n v="158484.72"/>
    <x v="0"/>
    <n v="33"/>
    <x v="0"/>
    <d v="2024-08-12T00:00:00"/>
    <d v="2024-09-14T00:00:00"/>
  </r>
  <r>
    <n v="1455"/>
    <n v="13343"/>
    <x v="3"/>
    <n v="192824.51"/>
    <x v="0"/>
    <n v="18"/>
    <x v="2"/>
    <d v="2024-12-19T00:00:00"/>
    <d v="2025-01-06T00:00:00"/>
  </r>
  <r>
    <n v="1456"/>
    <n v="12486"/>
    <x v="0"/>
    <n v="142917.79"/>
    <x v="0"/>
    <n v="3"/>
    <x v="2"/>
    <d v="2024-07-02T00:00:00"/>
    <d v="2024-07-05T00:00:00"/>
  </r>
  <r>
    <n v="1457"/>
    <n v="16873"/>
    <x v="2"/>
    <n v="20553.87"/>
    <x v="0"/>
    <n v="27"/>
    <x v="3"/>
    <d v="2024-12-29T00:00:00"/>
    <d v="2025-01-25T00:00:00"/>
  </r>
  <r>
    <n v="1458"/>
    <n v="10272"/>
    <x v="3"/>
    <n v="83374.44"/>
    <x v="1"/>
    <n v="18"/>
    <x v="1"/>
    <d v="2024-10-31T00:00:00"/>
    <d v="2024-11-18T00:00:00"/>
  </r>
  <r>
    <n v="1459"/>
    <n v="14554"/>
    <x v="3"/>
    <n v="131086.47"/>
    <x v="0"/>
    <n v="39"/>
    <x v="3"/>
    <d v="2024-07-06T00:00:00"/>
    <d v="2024-08-14T00:00:00"/>
  </r>
  <r>
    <n v="1460"/>
    <n v="10819"/>
    <x v="3"/>
    <n v="73390.11"/>
    <x v="1"/>
    <n v="3"/>
    <x v="0"/>
    <d v="2024-04-22T00:00:00"/>
    <d v="2024-04-25T00:00:00"/>
  </r>
  <r>
    <n v="1461"/>
    <n v="15292"/>
    <x v="1"/>
    <n v="58309.86"/>
    <x v="0"/>
    <n v="9"/>
    <x v="2"/>
    <d v="2024-06-29T00:00:00"/>
    <d v="2024-07-08T00:00:00"/>
  </r>
  <r>
    <n v="1462"/>
    <n v="12615"/>
    <x v="3"/>
    <n v="117592.86"/>
    <x v="0"/>
    <n v="7"/>
    <x v="2"/>
    <d v="2024-07-17T00:00:00"/>
    <d v="2024-07-24T00:00:00"/>
  </r>
  <r>
    <n v="1463"/>
    <n v="16069"/>
    <x v="3"/>
    <n v="187032.87"/>
    <x v="0"/>
    <n v="10"/>
    <x v="2"/>
    <d v="2024-03-10T00:00:00"/>
    <d v="2024-03-20T00:00:00"/>
  </r>
  <r>
    <n v="1464"/>
    <n v="15640"/>
    <x v="1"/>
    <n v="11821.47"/>
    <x v="0"/>
    <n v="2"/>
    <x v="0"/>
    <d v="2024-03-26T00:00:00"/>
    <d v="2024-03-28T00:00:00"/>
  </r>
  <r>
    <n v="1465"/>
    <n v="13984"/>
    <x v="3"/>
    <n v="155000.07999999999"/>
    <x v="0"/>
    <n v="6"/>
    <x v="0"/>
    <d v="2024-02-08T00:00:00"/>
    <d v="2024-02-14T00:00:00"/>
  </r>
  <r>
    <n v="1466"/>
    <n v="14890"/>
    <x v="1"/>
    <n v="145931.82"/>
    <x v="0"/>
    <n v="40"/>
    <x v="3"/>
    <d v="2024-05-10T00:00:00"/>
    <d v="2024-06-19T00:00:00"/>
  </r>
  <r>
    <n v="1467"/>
    <n v="17701"/>
    <x v="3"/>
    <n v="192970.92"/>
    <x v="0"/>
    <n v="10"/>
    <x v="3"/>
    <d v="2024-01-10T00:00:00"/>
    <d v="2024-01-20T00:00:00"/>
  </r>
  <r>
    <n v="1468"/>
    <n v="15191"/>
    <x v="3"/>
    <n v="186488.69"/>
    <x v="1"/>
    <n v="15"/>
    <x v="3"/>
    <d v="2024-01-03T00:00:00"/>
    <d v="2024-01-18T00:00:00"/>
  </r>
  <r>
    <n v="1469"/>
    <n v="12981"/>
    <x v="1"/>
    <n v="153635.35"/>
    <x v="0"/>
    <n v="28"/>
    <x v="1"/>
    <d v="2024-10-28T00:00:00"/>
    <d v="2024-11-25T00:00:00"/>
  </r>
  <r>
    <n v="1470"/>
    <n v="13039"/>
    <x v="3"/>
    <n v="106479.71"/>
    <x v="0"/>
    <n v="10"/>
    <x v="2"/>
    <d v="2024-05-29T00:00:00"/>
    <d v="2024-06-08T00:00:00"/>
  </r>
  <r>
    <n v="1471"/>
    <n v="14935"/>
    <x v="2"/>
    <n v="44832.17"/>
    <x v="0"/>
    <n v="37"/>
    <x v="2"/>
    <d v="2024-03-07T00:00:00"/>
    <d v="2024-04-13T00:00:00"/>
  </r>
  <r>
    <n v="1472"/>
    <n v="10602"/>
    <x v="1"/>
    <n v="111320.97"/>
    <x v="0"/>
    <n v="30"/>
    <x v="3"/>
    <d v="2024-07-11T00:00:00"/>
    <d v="2024-08-10T00:00:00"/>
  </r>
  <r>
    <n v="1473"/>
    <n v="17459"/>
    <x v="3"/>
    <n v="154243.64000000001"/>
    <x v="0"/>
    <n v="21"/>
    <x v="2"/>
    <d v="2024-04-06T00:00:00"/>
    <d v="2024-04-27T00:00:00"/>
  </r>
  <r>
    <n v="1474"/>
    <n v="17419"/>
    <x v="1"/>
    <n v="179655.5"/>
    <x v="0"/>
    <n v="16"/>
    <x v="3"/>
    <d v="2024-01-19T00:00:00"/>
    <d v="2024-02-04T00:00:00"/>
  </r>
  <r>
    <n v="1475"/>
    <n v="19624"/>
    <x v="3"/>
    <n v="158993.84"/>
    <x v="0"/>
    <n v="37"/>
    <x v="1"/>
    <d v="2024-11-13T00:00:00"/>
    <d v="2024-12-20T00:00:00"/>
  </r>
  <r>
    <n v="1476"/>
    <n v="18447"/>
    <x v="2"/>
    <n v="43077.05"/>
    <x v="0"/>
    <n v="4"/>
    <x v="1"/>
    <d v="2024-04-07T00:00:00"/>
    <d v="2024-04-11T00:00:00"/>
  </r>
  <r>
    <n v="1477"/>
    <n v="17692"/>
    <x v="3"/>
    <n v="121938.83"/>
    <x v="0"/>
    <n v="24"/>
    <x v="0"/>
    <d v="2024-02-26T00:00:00"/>
    <d v="2024-03-21T00:00:00"/>
  </r>
  <r>
    <n v="1478"/>
    <n v="12487"/>
    <x v="1"/>
    <n v="69773.820000000007"/>
    <x v="1"/>
    <n v="10"/>
    <x v="1"/>
    <d v="2024-12-16T00:00:00"/>
    <d v="2024-12-26T00:00:00"/>
  </r>
  <r>
    <n v="1479"/>
    <n v="11358"/>
    <x v="3"/>
    <n v="6795.11"/>
    <x v="0"/>
    <n v="31"/>
    <x v="3"/>
    <d v="2024-04-16T00:00:00"/>
    <d v="2024-05-17T00:00:00"/>
  </r>
  <r>
    <n v="1480"/>
    <n v="10689"/>
    <x v="3"/>
    <n v="44043.08"/>
    <x v="0"/>
    <n v="20"/>
    <x v="1"/>
    <d v="2024-03-28T00:00:00"/>
    <d v="2024-04-17T00:00:00"/>
  </r>
  <r>
    <n v="1481"/>
    <n v="18499"/>
    <x v="0"/>
    <n v="27078.03"/>
    <x v="1"/>
    <n v="39"/>
    <x v="0"/>
    <d v="2024-05-20T00:00:00"/>
    <d v="2024-06-28T00:00:00"/>
  </r>
  <r>
    <n v="1482"/>
    <n v="16131"/>
    <x v="0"/>
    <n v="169330.23"/>
    <x v="0"/>
    <n v="4"/>
    <x v="2"/>
    <d v="2024-05-23T00:00:00"/>
    <d v="2024-05-27T00:00:00"/>
  </r>
  <r>
    <n v="1483"/>
    <n v="19888"/>
    <x v="3"/>
    <n v="55408.72"/>
    <x v="0"/>
    <n v="4"/>
    <x v="3"/>
    <d v="2024-02-21T00:00:00"/>
    <d v="2024-02-25T00:00:00"/>
  </r>
  <r>
    <n v="1484"/>
    <n v="13166"/>
    <x v="3"/>
    <n v="60516.1"/>
    <x v="0"/>
    <n v="35"/>
    <x v="2"/>
    <d v="2024-07-30T00:00:00"/>
    <d v="2024-09-03T00:00:00"/>
  </r>
  <r>
    <n v="1485"/>
    <n v="18600"/>
    <x v="0"/>
    <n v="192187.63"/>
    <x v="0"/>
    <n v="3"/>
    <x v="0"/>
    <d v="2024-02-10T00:00:00"/>
    <d v="2024-02-13T00:00:00"/>
  </r>
  <r>
    <n v="1486"/>
    <n v="10825"/>
    <x v="2"/>
    <n v="78921.91"/>
    <x v="0"/>
    <n v="28"/>
    <x v="0"/>
    <d v="2024-10-30T00:00:00"/>
    <d v="2024-11-27T00:00:00"/>
  </r>
  <r>
    <n v="1487"/>
    <n v="11191"/>
    <x v="3"/>
    <n v="6869.2"/>
    <x v="0"/>
    <n v="24"/>
    <x v="0"/>
    <d v="2024-03-31T00:00:00"/>
    <d v="2024-04-24T00:00:00"/>
  </r>
  <r>
    <n v="1488"/>
    <n v="15647"/>
    <x v="3"/>
    <n v="60350"/>
    <x v="2"/>
    <m/>
    <x v="2"/>
    <d v="2024-02-08T00:00:00"/>
    <m/>
  </r>
  <r>
    <n v="1489"/>
    <n v="16785"/>
    <x v="3"/>
    <n v="28263.42"/>
    <x v="1"/>
    <n v="33"/>
    <x v="2"/>
    <d v="2024-01-13T00:00:00"/>
    <d v="2024-02-15T00:00:00"/>
  </r>
  <r>
    <n v="1490"/>
    <n v="16813"/>
    <x v="0"/>
    <n v="25047.67"/>
    <x v="0"/>
    <n v="36"/>
    <x v="2"/>
    <d v="2024-04-05T00:00:00"/>
    <d v="2024-05-11T00:00:00"/>
  </r>
  <r>
    <n v="1491"/>
    <n v="19966"/>
    <x v="3"/>
    <n v="20110.02"/>
    <x v="0"/>
    <n v="41"/>
    <x v="2"/>
    <d v="2024-04-18T00:00:00"/>
    <d v="2024-05-29T00:00:00"/>
  </r>
  <r>
    <n v="1492"/>
    <n v="15641"/>
    <x v="3"/>
    <n v="120685.6"/>
    <x v="0"/>
    <n v="19"/>
    <x v="0"/>
    <d v="2024-04-13T00:00:00"/>
    <d v="2024-05-02T00:00:00"/>
  </r>
  <r>
    <n v="1493"/>
    <n v="10533"/>
    <x v="1"/>
    <n v="41922.81"/>
    <x v="0"/>
    <n v="28"/>
    <x v="0"/>
    <d v="2024-12-19T00:00:00"/>
    <d v="2025-01-16T00:00:00"/>
  </r>
  <r>
    <n v="1494"/>
    <n v="16510"/>
    <x v="3"/>
    <n v="75442.34"/>
    <x v="0"/>
    <n v="12"/>
    <x v="3"/>
    <d v="2024-08-18T00:00:00"/>
    <d v="2024-08-30T00:00:00"/>
  </r>
  <r>
    <n v="1495"/>
    <n v="11207"/>
    <x v="3"/>
    <n v="173093.45"/>
    <x v="0"/>
    <n v="40"/>
    <x v="3"/>
    <d v="2024-02-12T00:00:00"/>
    <d v="2024-03-23T00:00:00"/>
  </r>
  <r>
    <n v="1496"/>
    <n v="18608"/>
    <x v="3"/>
    <n v="87745.94"/>
    <x v="0"/>
    <n v="20"/>
    <x v="2"/>
    <d v="2024-07-27T00:00:00"/>
    <d v="2024-08-16T00:00:00"/>
  </r>
  <r>
    <n v="1497"/>
    <n v="11237"/>
    <x v="3"/>
    <n v="183559.81"/>
    <x v="0"/>
    <n v="26"/>
    <x v="1"/>
    <d v="2024-03-28T00:00:00"/>
    <d v="2024-04-23T00:00:00"/>
  </r>
  <r>
    <n v="1498"/>
    <n v="14943"/>
    <x v="3"/>
    <n v="102097.92"/>
    <x v="2"/>
    <m/>
    <x v="1"/>
    <d v="2024-04-02T00:00:00"/>
    <m/>
  </r>
  <r>
    <n v="1499"/>
    <n v="14765"/>
    <x v="1"/>
    <n v="82773.14"/>
    <x v="0"/>
    <n v="32"/>
    <x v="0"/>
    <d v="2024-06-22T00:00:00"/>
    <d v="2024-07-24T00:00:00"/>
  </r>
  <r>
    <n v="1500"/>
    <n v="14836"/>
    <x v="3"/>
    <n v="151325.84"/>
    <x v="2"/>
    <m/>
    <x v="0"/>
    <d v="2024-05-05T00:00:00"/>
    <m/>
  </r>
  <r>
    <n v="1501"/>
    <n v="10459"/>
    <x v="1"/>
    <n v="19269.14"/>
    <x v="2"/>
    <m/>
    <x v="0"/>
    <d v="2024-04-18T00:00:00"/>
    <m/>
  </r>
  <r>
    <n v="1502"/>
    <n v="18841"/>
    <x v="0"/>
    <n v="22448.28"/>
    <x v="0"/>
    <n v="6"/>
    <x v="3"/>
    <d v="2024-02-16T00:00:00"/>
    <d v="2024-02-22T00:00:00"/>
  </r>
  <r>
    <n v="1503"/>
    <n v="10119"/>
    <x v="1"/>
    <n v="132134.87"/>
    <x v="1"/>
    <n v="15"/>
    <x v="3"/>
    <d v="2024-08-01T00:00:00"/>
    <d v="2024-08-16T00:00:00"/>
  </r>
  <r>
    <n v="1504"/>
    <n v="14768"/>
    <x v="3"/>
    <n v="99953.44"/>
    <x v="0"/>
    <n v="19"/>
    <x v="0"/>
    <d v="2024-04-01T00:00:00"/>
    <d v="2024-04-20T00:00:00"/>
  </r>
  <r>
    <n v="1505"/>
    <n v="15980"/>
    <x v="3"/>
    <n v="159130.97"/>
    <x v="0"/>
    <n v="37"/>
    <x v="0"/>
    <d v="2024-06-29T00:00:00"/>
    <d v="2024-08-05T00:00:00"/>
  </r>
  <r>
    <n v="1506"/>
    <n v="18509"/>
    <x v="3"/>
    <n v="183672.81"/>
    <x v="0"/>
    <n v="5"/>
    <x v="0"/>
    <d v="2024-02-10T00:00:00"/>
    <d v="2024-02-15T00:00:00"/>
  </r>
  <r>
    <n v="1507"/>
    <n v="16481"/>
    <x v="3"/>
    <n v="80731.539999999994"/>
    <x v="0"/>
    <n v="25"/>
    <x v="1"/>
    <d v="2024-09-15T00:00:00"/>
    <d v="2024-10-10T00:00:00"/>
  </r>
  <r>
    <n v="1508"/>
    <n v="16298"/>
    <x v="3"/>
    <n v="121299.96"/>
    <x v="0"/>
    <n v="14"/>
    <x v="3"/>
    <d v="2024-04-30T00:00:00"/>
    <d v="2024-05-14T00:00:00"/>
  </r>
  <r>
    <n v="1509"/>
    <n v="19059"/>
    <x v="1"/>
    <n v="102635.84"/>
    <x v="0"/>
    <n v="22"/>
    <x v="1"/>
    <d v="2024-03-17T00:00:00"/>
    <d v="2024-04-08T00:00:00"/>
  </r>
  <r>
    <n v="1510"/>
    <n v="13226"/>
    <x v="3"/>
    <n v="196414.07999999999"/>
    <x v="0"/>
    <n v="34"/>
    <x v="1"/>
    <d v="2024-04-04T00:00:00"/>
    <d v="2024-05-08T00:00:00"/>
  </r>
  <r>
    <n v="1511"/>
    <n v="18585"/>
    <x v="3"/>
    <n v="167061.46"/>
    <x v="0"/>
    <n v="21"/>
    <x v="0"/>
    <d v="2024-09-25T00:00:00"/>
    <d v="2024-10-16T00:00:00"/>
  </r>
  <r>
    <n v="1512"/>
    <n v="12552"/>
    <x v="3"/>
    <n v="182788.85"/>
    <x v="0"/>
    <n v="6"/>
    <x v="0"/>
    <d v="2024-12-26T00:00:00"/>
    <d v="2025-01-01T00:00:00"/>
  </r>
  <r>
    <n v="1513"/>
    <n v="15378"/>
    <x v="1"/>
    <n v="54596.32"/>
    <x v="0"/>
    <n v="25"/>
    <x v="2"/>
    <d v="2024-01-18T00:00:00"/>
    <d v="2024-02-12T00:00:00"/>
  </r>
  <r>
    <n v="1514"/>
    <n v="13228"/>
    <x v="3"/>
    <n v="155642.65"/>
    <x v="0"/>
    <n v="36"/>
    <x v="2"/>
    <d v="2024-10-19T00:00:00"/>
    <d v="2024-11-24T00:00:00"/>
  </r>
  <r>
    <n v="1515"/>
    <n v="10076"/>
    <x v="1"/>
    <n v="56767.28"/>
    <x v="0"/>
    <n v="31"/>
    <x v="1"/>
    <d v="2024-06-19T00:00:00"/>
    <d v="2024-07-20T00:00:00"/>
  </r>
  <r>
    <n v="1516"/>
    <n v="13410"/>
    <x v="3"/>
    <n v="45704.79"/>
    <x v="0"/>
    <n v="29"/>
    <x v="3"/>
    <d v="2024-06-10T00:00:00"/>
    <d v="2024-07-09T00:00:00"/>
  </r>
  <r>
    <n v="1517"/>
    <n v="10408"/>
    <x v="0"/>
    <n v="189131.9"/>
    <x v="0"/>
    <n v="8"/>
    <x v="0"/>
    <d v="2024-11-06T00:00:00"/>
    <d v="2024-11-14T00:00:00"/>
  </r>
  <r>
    <n v="1518"/>
    <n v="14092"/>
    <x v="0"/>
    <n v="8764.36"/>
    <x v="1"/>
    <n v="43"/>
    <x v="0"/>
    <d v="2024-02-21T00:00:00"/>
    <d v="2024-04-04T00:00:00"/>
  </r>
  <r>
    <n v="1519"/>
    <n v="12267"/>
    <x v="3"/>
    <n v="193250.8"/>
    <x v="0"/>
    <n v="36"/>
    <x v="1"/>
    <d v="2024-02-05T00:00:00"/>
    <d v="2024-03-12T00:00:00"/>
  </r>
  <r>
    <n v="1520"/>
    <n v="18935"/>
    <x v="3"/>
    <n v="34106.07"/>
    <x v="0"/>
    <n v="31"/>
    <x v="2"/>
    <d v="2024-07-05T00:00:00"/>
    <d v="2024-08-05T00:00:00"/>
  </r>
  <r>
    <n v="1521"/>
    <n v="14528"/>
    <x v="3"/>
    <n v="164790.43"/>
    <x v="0"/>
    <n v="35"/>
    <x v="3"/>
    <d v="2024-09-04T00:00:00"/>
    <d v="2024-10-09T00:00:00"/>
  </r>
  <r>
    <n v="1522"/>
    <n v="15574"/>
    <x v="3"/>
    <n v="58804.9"/>
    <x v="1"/>
    <n v="40"/>
    <x v="2"/>
    <d v="2024-02-21T00:00:00"/>
    <d v="2024-04-01T00:00:00"/>
  </r>
  <r>
    <n v="1523"/>
    <n v="15773"/>
    <x v="1"/>
    <n v="73386.95"/>
    <x v="0"/>
    <n v="10"/>
    <x v="2"/>
    <d v="2024-01-19T00:00:00"/>
    <d v="2024-01-29T00:00:00"/>
  </r>
  <r>
    <n v="1524"/>
    <n v="13834"/>
    <x v="0"/>
    <n v="47267.75"/>
    <x v="0"/>
    <n v="13"/>
    <x v="2"/>
    <d v="2024-04-01T00:00:00"/>
    <d v="2024-04-14T00:00:00"/>
  </r>
  <r>
    <n v="1525"/>
    <n v="13997"/>
    <x v="1"/>
    <n v="119175.24"/>
    <x v="0"/>
    <n v="30"/>
    <x v="2"/>
    <d v="2024-05-18T00:00:00"/>
    <d v="2024-06-17T00:00:00"/>
  </r>
  <r>
    <n v="1526"/>
    <n v="17307"/>
    <x v="0"/>
    <n v="72878.63"/>
    <x v="0"/>
    <n v="11"/>
    <x v="0"/>
    <d v="2024-10-30T00:00:00"/>
    <d v="2024-11-10T00:00:00"/>
  </r>
  <r>
    <n v="1527"/>
    <n v="19179"/>
    <x v="3"/>
    <n v="133191.64000000001"/>
    <x v="0"/>
    <n v="28"/>
    <x v="0"/>
    <d v="2024-12-22T00:00:00"/>
    <d v="2025-01-19T00:00:00"/>
  </r>
  <r>
    <n v="1528"/>
    <n v="15617"/>
    <x v="3"/>
    <n v="8051.23"/>
    <x v="0"/>
    <n v="20"/>
    <x v="2"/>
    <d v="2024-08-07T00:00:00"/>
    <d v="2024-08-27T00:00:00"/>
  </r>
  <r>
    <n v="1529"/>
    <n v="12701"/>
    <x v="1"/>
    <n v="17553.099999999999"/>
    <x v="2"/>
    <m/>
    <x v="3"/>
    <d v="2024-04-08T00:00:00"/>
    <m/>
  </r>
  <r>
    <n v="1530"/>
    <n v="13712"/>
    <x v="3"/>
    <n v="24433.919999999998"/>
    <x v="0"/>
    <n v="43"/>
    <x v="1"/>
    <d v="2024-08-23T00:00:00"/>
    <d v="2024-10-05T00:00:00"/>
  </r>
  <r>
    <n v="1531"/>
    <n v="13907"/>
    <x v="1"/>
    <n v="86703.77"/>
    <x v="0"/>
    <n v="38"/>
    <x v="3"/>
    <d v="2024-07-25T00:00:00"/>
    <d v="2024-09-01T00:00:00"/>
  </r>
  <r>
    <n v="1532"/>
    <n v="18946"/>
    <x v="3"/>
    <n v="163885.25"/>
    <x v="1"/>
    <n v="33"/>
    <x v="3"/>
    <d v="2024-05-23T00:00:00"/>
    <d v="2024-06-25T00:00:00"/>
  </r>
  <r>
    <n v="1533"/>
    <n v="10675"/>
    <x v="3"/>
    <n v="178194.69"/>
    <x v="0"/>
    <n v="16"/>
    <x v="3"/>
    <d v="2024-07-17T00:00:00"/>
    <d v="2024-08-02T00:00:00"/>
  </r>
  <r>
    <n v="1534"/>
    <n v="14927"/>
    <x v="2"/>
    <n v="52738.09"/>
    <x v="1"/>
    <n v="22"/>
    <x v="2"/>
    <d v="2024-10-29T00:00:00"/>
    <d v="2024-11-20T00:00:00"/>
  </r>
  <r>
    <n v="1535"/>
    <n v="15349"/>
    <x v="3"/>
    <n v="117002.1"/>
    <x v="0"/>
    <n v="4"/>
    <x v="0"/>
    <d v="2024-11-18T00:00:00"/>
    <d v="2024-11-22T00:00:00"/>
  </r>
  <r>
    <n v="1536"/>
    <n v="16168"/>
    <x v="2"/>
    <n v="154831.17000000001"/>
    <x v="1"/>
    <n v="9"/>
    <x v="3"/>
    <d v="2024-10-13T00:00:00"/>
    <d v="2024-10-22T00:00:00"/>
  </r>
  <r>
    <n v="1537"/>
    <n v="19902"/>
    <x v="2"/>
    <n v="61321.74"/>
    <x v="0"/>
    <n v="7"/>
    <x v="2"/>
    <d v="2024-11-27T00:00:00"/>
    <d v="2024-12-04T00:00:00"/>
  </r>
  <r>
    <n v="1538"/>
    <n v="13475"/>
    <x v="1"/>
    <n v="84756.51"/>
    <x v="1"/>
    <n v="30"/>
    <x v="3"/>
    <d v="2024-09-20T00:00:00"/>
    <d v="2024-10-20T00:00:00"/>
  </r>
  <r>
    <n v="1539"/>
    <n v="16816"/>
    <x v="1"/>
    <n v="107174.97"/>
    <x v="1"/>
    <n v="20"/>
    <x v="3"/>
    <d v="2024-08-04T00:00:00"/>
    <d v="2024-08-24T00:00:00"/>
  </r>
  <r>
    <n v="1540"/>
    <n v="10541"/>
    <x v="1"/>
    <n v="31300.6"/>
    <x v="0"/>
    <n v="18"/>
    <x v="2"/>
    <d v="2024-07-07T00:00:00"/>
    <d v="2024-07-25T00:00:00"/>
  </r>
  <r>
    <n v="1541"/>
    <n v="10164"/>
    <x v="0"/>
    <n v="10066.549999999999"/>
    <x v="0"/>
    <n v="11"/>
    <x v="0"/>
    <d v="2024-02-13T00:00:00"/>
    <d v="2024-02-24T00:00:00"/>
  </r>
  <r>
    <n v="1542"/>
    <n v="17092"/>
    <x v="3"/>
    <n v="34797.129999999997"/>
    <x v="0"/>
    <n v="34"/>
    <x v="0"/>
    <d v="2024-10-17T00:00:00"/>
    <d v="2024-11-20T00:00:00"/>
  </r>
  <r>
    <n v="1543"/>
    <n v="10984"/>
    <x v="3"/>
    <n v="127236.46"/>
    <x v="2"/>
    <m/>
    <x v="1"/>
    <d v="2024-07-07T00:00:00"/>
    <m/>
  </r>
  <r>
    <n v="1544"/>
    <n v="12661"/>
    <x v="1"/>
    <n v="19355.560000000001"/>
    <x v="0"/>
    <n v="28"/>
    <x v="2"/>
    <d v="2024-07-12T00:00:00"/>
    <d v="2024-08-09T00:00:00"/>
  </r>
  <r>
    <n v="1545"/>
    <n v="14468"/>
    <x v="3"/>
    <n v="41990.79"/>
    <x v="0"/>
    <n v="43"/>
    <x v="1"/>
    <d v="2024-09-26T00:00:00"/>
    <d v="2024-11-08T00:00:00"/>
  </r>
  <r>
    <n v="1546"/>
    <n v="10617"/>
    <x v="3"/>
    <n v="70881.509999999995"/>
    <x v="0"/>
    <n v="13"/>
    <x v="1"/>
    <d v="2024-09-16T00:00:00"/>
    <d v="2024-09-29T00:00:00"/>
  </r>
  <r>
    <n v="1547"/>
    <n v="18260"/>
    <x v="3"/>
    <n v="20184.66"/>
    <x v="0"/>
    <n v="3"/>
    <x v="1"/>
    <d v="2024-08-26T00:00:00"/>
    <d v="2024-08-29T00:00:00"/>
  </r>
  <r>
    <n v="1548"/>
    <n v="15639"/>
    <x v="1"/>
    <n v="42381.36"/>
    <x v="0"/>
    <n v="11"/>
    <x v="0"/>
    <d v="2024-04-21T00:00:00"/>
    <d v="2024-05-02T00:00:00"/>
  </r>
  <r>
    <n v="1549"/>
    <n v="14196"/>
    <x v="0"/>
    <n v="182697.61"/>
    <x v="2"/>
    <m/>
    <x v="2"/>
    <d v="2024-03-09T00:00:00"/>
    <m/>
  </r>
  <r>
    <n v="1550"/>
    <n v="10000"/>
    <x v="3"/>
    <n v="8763.33"/>
    <x v="0"/>
    <n v="24"/>
    <x v="1"/>
    <d v="2024-02-18T00:00:00"/>
    <d v="2024-03-13T00:00:00"/>
  </r>
  <r>
    <n v="1551"/>
    <n v="18377"/>
    <x v="2"/>
    <n v="132419.23000000001"/>
    <x v="1"/>
    <n v="2"/>
    <x v="2"/>
    <d v="2024-11-06T00:00:00"/>
    <d v="2024-11-08T00:00:00"/>
  </r>
  <r>
    <n v="1552"/>
    <n v="14438"/>
    <x v="1"/>
    <n v="79959.740000000005"/>
    <x v="0"/>
    <n v="34"/>
    <x v="2"/>
    <d v="2024-05-30T00:00:00"/>
    <d v="2024-07-03T00:00:00"/>
  </r>
  <r>
    <n v="1553"/>
    <n v="14808"/>
    <x v="0"/>
    <n v="136166.5"/>
    <x v="0"/>
    <n v="27"/>
    <x v="0"/>
    <d v="2024-08-26T00:00:00"/>
    <d v="2024-09-22T00:00:00"/>
  </r>
  <r>
    <n v="1554"/>
    <n v="13079"/>
    <x v="1"/>
    <n v="119794.89"/>
    <x v="0"/>
    <n v="16"/>
    <x v="1"/>
    <d v="2024-12-02T00:00:00"/>
    <d v="2024-12-18T00:00:00"/>
  </r>
  <r>
    <n v="1555"/>
    <n v="16719"/>
    <x v="1"/>
    <n v="48582.26"/>
    <x v="0"/>
    <n v="23"/>
    <x v="1"/>
    <d v="2024-04-24T00:00:00"/>
    <d v="2024-05-17T00:00:00"/>
  </r>
  <r>
    <n v="1556"/>
    <n v="18327"/>
    <x v="3"/>
    <n v="170205.85"/>
    <x v="2"/>
    <m/>
    <x v="2"/>
    <d v="2024-03-15T00:00:00"/>
    <m/>
  </r>
  <r>
    <n v="1557"/>
    <n v="16018"/>
    <x v="0"/>
    <n v="100928.37"/>
    <x v="1"/>
    <n v="2"/>
    <x v="3"/>
    <d v="2024-04-07T00:00:00"/>
    <d v="2024-04-09T00:00:00"/>
  </r>
  <r>
    <n v="1558"/>
    <n v="10382"/>
    <x v="3"/>
    <n v="165394.51999999999"/>
    <x v="0"/>
    <n v="27"/>
    <x v="0"/>
    <d v="2024-04-20T00:00:00"/>
    <d v="2024-05-17T00:00:00"/>
  </r>
  <r>
    <n v="1559"/>
    <n v="10927"/>
    <x v="0"/>
    <n v="84172.44"/>
    <x v="0"/>
    <n v="22"/>
    <x v="0"/>
    <d v="2024-12-22T00:00:00"/>
    <d v="2025-01-13T00:00:00"/>
  </r>
  <r>
    <n v="1560"/>
    <n v="15059"/>
    <x v="2"/>
    <n v="197013.68"/>
    <x v="0"/>
    <n v="42"/>
    <x v="0"/>
    <d v="2024-10-11T00:00:00"/>
    <d v="2024-11-22T00:00:00"/>
  </r>
  <r>
    <n v="1561"/>
    <n v="10560"/>
    <x v="3"/>
    <n v="155245.42000000001"/>
    <x v="2"/>
    <m/>
    <x v="0"/>
    <d v="2024-09-12T00:00:00"/>
    <m/>
  </r>
  <r>
    <n v="1562"/>
    <n v="11189"/>
    <x v="3"/>
    <n v="193360.29"/>
    <x v="1"/>
    <n v="40"/>
    <x v="1"/>
    <d v="2024-11-13T00:00:00"/>
    <d v="2024-12-23T00:00:00"/>
  </r>
  <r>
    <n v="1563"/>
    <n v="10897"/>
    <x v="1"/>
    <n v="105293.66"/>
    <x v="1"/>
    <n v="17"/>
    <x v="1"/>
    <d v="2024-11-04T00:00:00"/>
    <d v="2024-11-21T00:00:00"/>
  </r>
  <r>
    <n v="1564"/>
    <n v="12368"/>
    <x v="3"/>
    <n v="97369.77"/>
    <x v="0"/>
    <n v="33"/>
    <x v="3"/>
    <d v="2024-04-26T00:00:00"/>
    <d v="2024-05-29T00:00:00"/>
  </r>
  <r>
    <n v="1565"/>
    <n v="19930"/>
    <x v="0"/>
    <n v="152313.49"/>
    <x v="0"/>
    <n v="17"/>
    <x v="0"/>
    <d v="2024-06-24T00:00:00"/>
    <d v="2024-07-11T00:00:00"/>
  </r>
  <r>
    <n v="1566"/>
    <n v="14953"/>
    <x v="3"/>
    <n v="176656.8"/>
    <x v="0"/>
    <n v="14"/>
    <x v="0"/>
    <d v="2024-08-15T00:00:00"/>
    <d v="2024-08-29T00:00:00"/>
  </r>
  <r>
    <n v="1567"/>
    <n v="17898"/>
    <x v="3"/>
    <n v="193008.43"/>
    <x v="0"/>
    <n v="43"/>
    <x v="2"/>
    <d v="2024-12-12T00:00:00"/>
    <d v="2025-01-24T00:00:00"/>
  </r>
  <r>
    <n v="1568"/>
    <n v="14380"/>
    <x v="2"/>
    <n v="68287.62"/>
    <x v="0"/>
    <n v="33"/>
    <x v="1"/>
    <d v="2024-04-15T00:00:00"/>
    <d v="2024-05-18T00:00:00"/>
  </r>
  <r>
    <n v="1569"/>
    <n v="12398"/>
    <x v="1"/>
    <n v="160747.39000000001"/>
    <x v="0"/>
    <n v="42"/>
    <x v="0"/>
    <d v="2024-12-07T00:00:00"/>
    <d v="2025-01-18T00:00:00"/>
  </r>
  <r>
    <n v="1570"/>
    <n v="16226"/>
    <x v="0"/>
    <n v="46075.89"/>
    <x v="0"/>
    <n v="25"/>
    <x v="3"/>
    <d v="2024-08-26T00:00:00"/>
    <d v="2024-09-20T00:00:00"/>
  </r>
  <r>
    <n v="1571"/>
    <n v="15743"/>
    <x v="3"/>
    <n v="111387"/>
    <x v="1"/>
    <n v="14"/>
    <x v="3"/>
    <d v="2024-04-09T00:00:00"/>
    <d v="2024-04-23T00:00:00"/>
  </r>
  <r>
    <n v="1572"/>
    <n v="19585"/>
    <x v="1"/>
    <n v="40070.39"/>
    <x v="1"/>
    <n v="12"/>
    <x v="1"/>
    <d v="2024-06-24T00:00:00"/>
    <d v="2024-07-06T00:00:00"/>
  </r>
  <r>
    <n v="1573"/>
    <n v="12588"/>
    <x v="1"/>
    <n v="72742.490000000005"/>
    <x v="0"/>
    <n v="16"/>
    <x v="3"/>
    <d v="2024-12-15T00:00:00"/>
    <d v="2024-12-31T00:00:00"/>
  </r>
  <r>
    <n v="1574"/>
    <n v="16356"/>
    <x v="1"/>
    <n v="186614.88"/>
    <x v="0"/>
    <n v="11"/>
    <x v="3"/>
    <d v="2024-09-05T00:00:00"/>
    <d v="2024-09-16T00:00:00"/>
  </r>
  <r>
    <n v="1575"/>
    <n v="13685"/>
    <x v="1"/>
    <n v="33487.69"/>
    <x v="0"/>
    <n v="43"/>
    <x v="1"/>
    <d v="2024-03-16T00:00:00"/>
    <d v="2024-04-28T00:00:00"/>
  </r>
  <r>
    <n v="1576"/>
    <n v="19121"/>
    <x v="1"/>
    <n v="128318.17"/>
    <x v="1"/>
    <n v="42"/>
    <x v="0"/>
    <d v="2024-01-03T00:00:00"/>
    <d v="2024-02-14T00:00:00"/>
  </r>
  <r>
    <n v="1577"/>
    <n v="14309"/>
    <x v="3"/>
    <n v="120626.08"/>
    <x v="1"/>
    <n v="4"/>
    <x v="0"/>
    <d v="2024-03-21T00:00:00"/>
    <d v="2024-03-25T00:00:00"/>
  </r>
  <r>
    <n v="1578"/>
    <n v="14399"/>
    <x v="3"/>
    <n v="28543.98"/>
    <x v="1"/>
    <n v="17"/>
    <x v="3"/>
    <d v="2024-12-26T00:00:00"/>
    <d v="2025-01-12T00:00:00"/>
  </r>
  <r>
    <n v="1579"/>
    <n v="13226"/>
    <x v="1"/>
    <n v="68565.91"/>
    <x v="1"/>
    <n v="18"/>
    <x v="3"/>
    <d v="2024-10-14T00:00:00"/>
    <d v="2024-11-01T00:00:00"/>
  </r>
  <r>
    <n v="1580"/>
    <n v="11403"/>
    <x v="3"/>
    <n v="114781.39"/>
    <x v="0"/>
    <n v="26"/>
    <x v="0"/>
    <d v="2024-01-08T00:00:00"/>
    <d v="2024-02-03T00:00:00"/>
  </r>
  <r>
    <n v="1581"/>
    <n v="18391"/>
    <x v="1"/>
    <n v="41499.83"/>
    <x v="0"/>
    <n v="31"/>
    <x v="1"/>
    <d v="2024-03-27T00:00:00"/>
    <d v="2024-04-27T00:00:00"/>
  </r>
  <r>
    <n v="1582"/>
    <n v="12285"/>
    <x v="3"/>
    <n v="161121.60999999999"/>
    <x v="0"/>
    <n v="36"/>
    <x v="3"/>
    <d v="2024-10-12T00:00:00"/>
    <d v="2024-11-17T00:00:00"/>
  </r>
  <r>
    <n v="1583"/>
    <n v="18862"/>
    <x v="1"/>
    <n v="194570.52"/>
    <x v="0"/>
    <n v="38"/>
    <x v="2"/>
    <d v="2024-03-14T00:00:00"/>
    <d v="2024-04-21T00:00:00"/>
  </r>
  <r>
    <n v="1584"/>
    <n v="11728"/>
    <x v="1"/>
    <n v="46878.080000000002"/>
    <x v="1"/>
    <n v="14"/>
    <x v="1"/>
    <d v="2024-05-02T00:00:00"/>
    <d v="2024-05-16T00:00:00"/>
  </r>
  <r>
    <n v="1585"/>
    <n v="11249"/>
    <x v="3"/>
    <n v="41447.83"/>
    <x v="0"/>
    <n v="25"/>
    <x v="3"/>
    <d v="2024-10-20T00:00:00"/>
    <d v="2024-11-14T00:00:00"/>
  </r>
  <r>
    <n v="1586"/>
    <n v="10878"/>
    <x v="3"/>
    <n v="93712.34"/>
    <x v="0"/>
    <n v="39"/>
    <x v="3"/>
    <d v="2024-05-22T00:00:00"/>
    <d v="2024-06-30T00:00:00"/>
  </r>
  <r>
    <n v="1587"/>
    <n v="12523"/>
    <x v="3"/>
    <n v="150814.23000000001"/>
    <x v="0"/>
    <n v="27"/>
    <x v="2"/>
    <d v="2024-06-06T00:00:00"/>
    <d v="2024-07-03T00:00:00"/>
  </r>
  <r>
    <n v="1588"/>
    <n v="10497"/>
    <x v="1"/>
    <n v="59912.12"/>
    <x v="2"/>
    <m/>
    <x v="2"/>
    <d v="2024-04-18T00:00:00"/>
    <m/>
  </r>
  <r>
    <n v="1589"/>
    <n v="19169"/>
    <x v="0"/>
    <n v="8876.58"/>
    <x v="0"/>
    <n v="20"/>
    <x v="0"/>
    <d v="2024-11-29T00:00:00"/>
    <d v="2024-12-19T00:00:00"/>
  </r>
  <r>
    <n v="1590"/>
    <n v="17702"/>
    <x v="3"/>
    <n v="110538.02"/>
    <x v="0"/>
    <n v="29"/>
    <x v="1"/>
    <d v="2024-07-13T00:00:00"/>
    <d v="2024-08-11T00:00:00"/>
  </r>
  <r>
    <n v="1591"/>
    <n v="17578"/>
    <x v="1"/>
    <n v="191537.11"/>
    <x v="0"/>
    <n v="8"/>
    <x v="1"/>
    <d v="2024-02-05T00:00:00"/>
    <d v="2024-02-13T00:00:00"/>
  </r>
  <r>
    <n v="1592"/>
    <n v="14879"/>
    <x v="3"/>
    <n v="81298.990000000005"/>
    <x v="0"/>
    <n v="23"/>
    <x v="0"/>
    <d v="2024-03-30T00:00:00"/>
    <d v="2024-04-22T00:00:00"/>
  </r>
  <r>
    <n v="1593"/>
    <n v="10538"/>
    <x v="3"/>
    <n v="86926.24"/>
    <x v="0"/>
    <n v="31"/>
    <x v="1"/>
    <d v="2024-10-22T00:00:00"/>
    <d v="2024-11-22T00:00:00"/>
  </r>
  <r>
    <n v="1594"/>
    <n v="19092"/>
    <x v="2"/>
    <n v="193935.83"/>
    <x v="1"/>
    <n v="38"/>
    <x v="1"/>
    <d v="2024-11-25T00:00:00"/>
    <d v="2025-01-02T00:00:00"/>
  </r>
  <r>
    <n v="1595"/>
    <n v="11466"/>
    <x v="3"/>
    <n v="140448.48000000001"/>
    <x v="0"/>
    <n v="17"/>
    <x v="1"/>
    <d v="2024-07-19T00:00:00"/>
    <d v="2024-08-05T00:00:00"/>
  </r>
  <r>
    <n v="1596"/>
    <n v="17714"/>
    <x v="3"/>
    <n v="145238.51999999999"/>
    <x v="1"/>
    <n v="37"/>
    <x v="1"/>
    <d v="2024-02-15T00:00:00"/>
    <d v="2024-03-23T00:00:00"/>
  </r>
  <r>
    <n v="1597"/>
    <n v="11733"/>
    <x v="3"/>
    <n v="114726.89"/>
    <x v="0"/>
    <n v="6"/>
    <x v="1"/>
    <d v="2024-04-16T00:00:00"/>
    <d v="2024-04-22T00:00:00"/>
  </r>
  <r>
    <n v="1598"/>
    <n v="10490"/>
    <x v="3"/>
    <n v="195048.8"/>
    <x v="0"/>
    <n v="30"/>
    <x v="2"/>
    <d v="2024-06-18T00:00:00"/>
    <d v="2024-07-18T00:00:00"/>
  </r>
  <r>
    <n v="1599"/>
    <n v="11709"/>
    <x v="3"/>
    <n v="139328.95999999999"/>
    <x v="2"/>
    <m/>
    <x v="1"/>
    <d v="2024-05-25T00:00:00"/>
    <m/>
  </r>
  <r>
    <n v="1600"/>
    <n v="19945"/>
    <x v="3"/>
    <n v="179531.39"/>
    <x v="0"/>
    <n v="7"/>
    <x v="2"/>
    <d v="2024-12-21T00:00:00"/>
    <d v="2024-12-28T00:00:00"/>
  </r>
  <r>
    <n v="1601"/>
    <n v="16711"/>
    <x v="1"/>
    <n v="141378.88"/>
    <x v="0"/>
    <n v="37"/>
    <x v="1"/>
    <d v="2024-06-26T00:00:00"/>
    <d v="2024-08-02T00:00:00"/>
  </r>
  <r>
    <n v="1602"/>
    <n v="11918"/>
    <x v="3"/>
    <n v="148347.59"/>
    <x v="1"/>
    <n v="34"/>
    <x v="0"/>
    <d v="2024-03-01T00:00:00"/>
    <d v="2024-04-04T00:00:00"/>
  </r>
  <r>
    <n v="1603"/>
    <n v="18166"/>
    <x v="1"/>
    <n v="61630.13"/>
    <x v="0"/>
    <n v="42"/>
    <x v="3"/>
    <d v="2024-01-03T00:00:00"/>
    <d v="2024-02-14T00:00:00"/>
  </r>
  <r>
    <n v="1604"/>
    <n v="16025"/>
    <x v="3"/>
    <n v="64178.35"/>
    <x v="1"/>
    <n v="17"/>
    <x v="2"/>
    <d v="2024-03-22T00:00:00"/>
    <d v="2024-04-08T00:00:00"/>
  </r>
  <r>
    <n v="1605"/>
    <n v="19678"/>
    <x v="3"/>
    <n v="157682.01"/>
    <x v="0"/>
    <n v="35"/>
    <x v="1"/>
    <d v="2024-09-19T00:00:00"/>
    <d v="2024-10-24T00:00:00"/>
  </r>
  <r>
    <n v="1606"/>
    <n v="16099"/>
    <x v="1"/>
    <n v="62857.73"/>
    <x v="0"/>
    <n v="44"/>
    <x v="0"/>
    <d v="2024-10-13T00:00:00"/>
    <d v="2024-11-26T00:00:00"/>
  </r>
  <r>
    <n v="1607"/>
    <n v="19692"/>
    <x v="2"/>
    <n v="114740.16"/>
    <x v="0"/>
    <n v="27"/>
    <x v="3"/>
    <d v="2024-11-16T00:00:00"/>
    <d v="2024-12-13T00:00:00"/>
  </r>
  <r>
    <n v="1608"/>
    <n v="10197"/>
    <x v="3"/>
    <n v="53623.7"/>
    <x v="1"/>
    <n v="38"/>
    <x v="2"/>
    <d v="2024-04-04T00:00:00"/>
    <d v="2024-05-12T00:00:00"/>
  </r>
  <r>
    <n v="1609"/>
    <n v="19726"/>
    <x v="0"/>
    <n v="164311.76"/>
    <x v="0"/>
    <n v="14"/>
    <x v="3"/>
    <d v="2024-03-04T00:00:00"/>
    <d v="2024-03-18T00:00:00"/>
  </r>
  <r>
    <n v="1610"/>
    <n v="11713"/>
    <x v="1"/>
    <n v="26547.759999999998"/>
    <x v="1"/>
    <n v="18"/>
    <x v="0"/>
    <d v="2024-09-02T00:00:00"/>
    <d v="2024-09-20T00:00:00"/>
  </r>
  <r>
    <n v="1611"/>
    <n v="19540"/>
    <x v="1"/>
    <n v="166742.09"/>
    <x v="2"/>
    <m/>
    <x v="2"/>
    <d v="2024-03-17T00:00:00"/>
    <m/>
  </r>
  <r>
    <n v="1612"/>
    <n v="14783"/>
    <x v="1"/>
    <n v="122532.31"/>
    <x v="0"/>
    <n v="33"/>
    <x v="3"/>
    <d v="2024-09-15T00:00:00"/>
    <d v="2024-10-18T00:00:00"/>
  </r>
  <r>
    <n v="1613"/>
    <n v="18102"/>
    <x v="3"/>
    <n v="41447.360000000001"/>
    <x v="0"/>
    <n v="29"/>
    <x v="1"/>
    <d v="2024-04-02T00:00:00"/>
    <d v="2024-05-01T00:00:00"/>
  </r>
  <r>
    <n v="1614"/>
    <n v="13844"/>
    <x v="3"/>
    <n v="110696.9"/>
    <x v="0"/>
    <n v="30"/>
    <x v="2"/>
    <d v="2024-10-17T00:00:00"/>
    <d v="2024-11-16T00:00:00"/>
  </r>
  <r>
    <n v="1615"/>
    <n v="10595"/>
    <x v="1"/>
    <n v="60087.27"/>
    <x v="0"/>
    <n v="26"/>
    <x v="3"/>
    <d v="2024-09-27T00:00:00"/>
    <d v="2024-10-23T00:00:00"/>
  </r>
  <r>
    <n v="1616"/>
    <n v="18330"/>
    <x v="3"/>
    <n v="68076.13"/>
    <x v="0"/>
    <n v="23"/>
    <x v="0"/>
    <d v="2024-01-21T00:00:00"/>
    <d v="2024-02-13T00:00:00"/>
  </r>
  <r>
    <n v="1617"/>
    <n v="11014"/>
    <x v="2"/>
    <n v="73547.97"/>
    <x v="0"/>
    <n v="28"/>
    <x v="0"/>
    <d v="2024-03-02T00:00:00"/>
    <d v="2024-03-30T00:00:00"/>
  </r>
  <r>
    <n v="1618"/>
    <n v="10241"/>
    <x v="3"/>
    <n v="17347.25"/>
    <x v="2"/>
    <m/>
    <x v="2"/>
    <d v="2024-12-04T00:00:00"/>
    <m/>
  </r>
  <r>
    <n v="1619"/>
    <n v="12363"/>
    <x v="3"/>
    <n v="197262.53"/>
    <x v="2"/>
    <m/>
    <x v="3"/>
    <d v="2024-09-16T00:00:00"/>
    <m/>
  </r>
  <r>
    <n v="1620"/>
    <n v="10732"/>
    <x v="1"/>
    <n v="11149.25"/>
    <x v="1"/>
    <n v="25"/>
    <x v="2"/>
    <d v="2024-08-24T00:00:00"/>
    <d v="2024-09-18T00:00:00"/>
  </r>
  <r>
    <n v="1621"/>
    <n v="10134"/>
    <x v="3"/>
    <n v="134186.89000000001"/>
    <x v="1"/>
    <n v="9"/>
    <x v="2"/>
    <d v="2024-05-20T00:00:00"/>
    <d v="2024-05-29T00:00:00"/>
  </r>
  <r>
    <n v="1622"/>
    <n v="13761"/>
    <x v="1"/>
    <n v="77389.39"/>
    <x v="0"/>
    <n v="15"/>
    <x v="3"/>
    <d v="2024-06-15T00:00:00"/>
    <d v="2024-06-30T00:00:00"/>
  </r>
  <r>
    <n v="1623"/>
    <n v="12626"/>
    <x v="1"/>
    <n v="130972.01"/>
    <x v="0"/>
    <n v="40"/>
    <x v="3"/>
    <d v="2024-03-07T00:00:00"/>
    <d v="2024-04-16T00:00:00"/>
  </r>
  <r>
    <n v="1624"/>
    <n v="17179"/>
    <x v="2"/>
    <n v="74468.41"/>
    <x v="1"/>
    <n v="15"/>
    <x v="1"/>
    <d v="2024-12-15T00:00:00"/>
    <d v="2024-12-30T00:00:00"/>
  </r>
  <r>
    <n v="1625"/>
    <n v="11510"/>
    <x v="1"/>
    <n v="136381.38"/>
    <x v="0"/>
    <n v="6"/>
    <x v="3"/>
    <d v="2024-02-27T00:00:00"/>
    <d v="2024-03-04T00:00:00"/>
  </r>
  <r>
    <n v="1626"/>
    <n v="12796"/>
    <x v="1"/>
    <n v="147200.92000000001"/>
    <x v="2"/>
    <m/>
    <x v="0"/>
    <d v="2024-07-30T00:00:00"/>
    <m/>
  </r>
  <r>
    <n v="1627"/>
    <n v="16907"/>
    <x v="1"/>
    <n v="139657.76"/>
    <x v="0"/>
    <n v="16"/>
    <x v="2"/>
    <d v="2024-05-09T00:00:00"/>
    <d v="2024-05-25T00:00:00"/>
  </r>
  <r>
    <n v="1628"/>
    <n v="14512"/>
    <x v="2"/>
    <n v="27222.59"/>
    <x v="0"/>
    <n v="37"/>
    <x v="2"/>
    <d v="2024-01-25T00:00:00"/>
    <d v="2024-03-02T00:00:00"/>
  </r>
  <r>
    <n v="1629"/>
    <n v="14302"/>
    <x v="3"/>
    <n v="133094.18"/>
    <x v="1"/>
    <n v="34"/>
    <x v="0"/>
    <d v="2024-01-11T00:00:00"/>
    <d v="2024-02-14T00:00:00"/>
  </r>
  <r>
    <n v="1630"/>
    <n v="11643"/>
    <x v="3"/>
    <n v="59597.57"/>
    <x v="2"/>
    <m/>
    <x v="3"/>
    <d v="2024-09-13T00:00:00"/>
    <m/>
  </r>
  <r>
    <n v="1631"/>
    <n v="14406"/>
    <x v="3"/>
    <n v="10616.27"/>
    <x v="0"/>
    <n v="21"/>
    <x v="0"/>
    <d v="2024-10-30T00:00:00"/>
    <d v="2024-11-20T00:00:00"/>
  </r>
  <r>
    <n v="1632"/>
    <n v="13364"/>
    <x v="3"/>
    <n v="85891.98"/>
    <x v="1"/>
    <n v="2"/>
    <x v="0"/>
    <d v="2024-03-21T00:00:00"/>
    <d v="2024-03-23T00:00:00"/>
  </r>
  <r>
    <n v="1633"/>
    <n v="16768"/>
    <x v="1"/>
    <n v="89540.91"/>
    <x v="0"/>
    <n v="17"/>
    <x v="1"/>
    <d v="2024-10-12T00:00:00"/>
    <d v="2024-10-29T00:00:00"/>
  </r>
  <r>
    <n v="1634"/>
    <n v="19591"/>
    <x v="1"/>
    <n v="96098.96"/>
    <x v="0"/>
    <n v="19"/>
    <x v="0"/>
    <d v="2024-01-19T00:00:00"/>
    <d v="2024-02-07T00:00:00"/>
  </r>
  <r>
    <n v="1635"/>
    <n v="19742"/>
    <x v="1"/>
    <n v="142440.71"/>
    <x v="1"/>
    <n v="11"/>
    <x v="2"/>
    <d v="2024-04-19T00:00:00"/>
    <d v="2024-04-30T00:00:00"/>
  </r>
  <r>
    <n v="1636"/>
    <n v="13411"/>
    <x v="3"/>
    <n v="65224.54"/>
    <x v="0"/>
    <n v="24"/>
    <x v="0"/>
    <d v="2024-02-03T00:00:00"/>
    <d v="2024-02-27T00:00:00"/>
  </r>
  <r>
    <n v="1637"/>
    <n v="10082"/>
    <x v="1"/>
    <n v="66479.7"/>
    <x v="0"/>
    <n v="19"/>
    <x v="2"/>
    <d v="2024-10-14T00:00:00"/>
    <d v="2024-11-02T00:00:00"/>
  </r>
  <r>
    <n v="1638"/>
    <n v="15696"/>
    <x v="3"/>
    <n v="16807.689999999999"/>
    <x v="0"/>
    <n v="10"/>
    <x v="2"/>
    <d v="2024-11-27T00:00:00"/>
    <d v="2024-12-07T00:00:00"/>
  </r>
  <r>
    <n v="1639"/>
    <n v="19671"/>
    <x v="1"/>
    <n v="138930.14000000001"/>
    <x v="0"/>
    <n v="31"/>
    <x v="2"/>
    <d v="2024-09-11T00:00:00"/>
    <d v="2024-10-12T00:00:00"/>
  </r>
  <r>
    <n v="1640"/>
    <n v="12440"/>
    <x v="1"/>
    <n v="115726.09"/>
    <x v="0"/>
    <n v="14"/>
    <x v="3"/>
    <d v="2024-05-05T00:00:00"/>
    <d v="2024-05-19T00:00:00"/>
  </r>
  <r>
    <n v="1641"/>
    <n v="15760"/>
    <x v="3"/>
    <n v="73137.899999999994"/>
    <x v="0"/>
    <n v="32"/>
    <x v="1"/>
    <d v="2024-07-27T00:00:00"/>
    <d v="2024-08-28T00:00:00"/>
  </r>
  <r>
    <n v="1642"/>
    <n v="11782"/>
    <x v="3"/>
    <n v="142511.85"/>
    <x v="0"/>
    <n v="44"/>
    <x v="2"/>
    <d v="2024-05-13T00:00:00"/>
    <d v="2024-06-26T00:00:00"/>
  </r>
  <r>
    <n v="1643"/>
    <n v="18796"/>
    <x v="3"/>
    <n v="109784.76"/>
    <x v="2"/>
    <m/>
    <x v="2"/>
    <d v="2024-03-26T00:00:00"/>
    <m/>
  </r>
  <r>
    <n v="1644"/>
    <n v="16426"/>
    <x v="0"/>
    <n v="96502.76"/>
    <x v="0"/>
    <n v="33"/>
    <x v="3"/>
    <d v="2024-03-15T00:00:00"/>
    <d v="2024-04-17T00:00:00"/>
  </r>
  <r>
    <n v="1645"/>
    <n v="17906"/>
    <x v="2"/>
    <n v="104708.29"/>
    <x v="1"/>
    <n v="18"/>
    <x v="2"/>
    <d v="2024-05-14T00:00:00"/>
    <d v="2024-06-01T00:00:00"/>
  </r>
  <r>
    <n v="1646"/>
    <n v="18922"/>
    <x v="1"/>
    <n v="129087.88"/>
    <x v="0"/>
    <n v="4"/>
    <x v="0"/>
    <d v="2024-10-27T00:00:00"/>
    <d v="2024-10-31T00:00:00"/>
  </r>
  <r>
    <n v="1647"/>
    <n v="11360"/>
    <x v="3"/>
    <n v="133700.51"/>
    <x v="0"/>
    <n v="2"/>
    <x v="0"/>
    <d v="2024-06-21T00:00:00"/>
    <d v="2024-06-23T00:00:00"/>
  </r>
  <r>
    <n v="1648"/>
    <n v="12078"/>
    <x v="3"/>
    <n v="61346.77"/>
    <x v="0"/>
    <n v="6"/>
    <x v="1"/>
    <d v="2024-07-31T00:00:00"/>
    <d v="2024-08-06T00:00:00"/>
  </r>
  <r>
    <n v="1649"/>
    <n v="10977"/>
    <x v="1"/>
    <n v="32444.959999999999"/>
    <x v="0"/>
    <n v="33"/>
    <x v="2"/>
    <d v="2024-11-16T00:00:00"/>
    <d v="2024-12-19T00:00:00"/>
  </r>
  <r>
    <n v="1650"/>
    <n v="17793"/>
    <x v="1"/>
    <n v="35543.67"/>
    <x v="0"/>
    <n v="26"/>
    <x v="3"/>
    <d v="2024-12-15T00:00:00"/>
    <d v="2025-01-10T00:00:00"/>
  </r>
  <r>
    <n v="1651"/>
    <n v="11637"/>
    <x v="3"/>
    <n v="129681.22"/>
    <x v="0"/>
    <n v="6"/>
    <x v="0"/>
    <d v="2024-01-19T00:00:00"/>
    <d v="2024-01-25T00:00:00"/>
  </r>
  <r>
    <n v="1652"/>
    <n v="13300"/>
    <x v="3"/>
    <n v="175210.29"/>
    <x v="0"/>
    <n v="38"/>
    <x v="3"/>
    <d v="2024-04-28T00:00:00"/>
    <d v="2024-06-05T00:00:00"/>
  </r>
  <r>
    <n v="1653"/>
    <n v="14004"/>
    <x v="1"/>
    <n v="84851.77"/>
    <x v="0"/>
    <n v="24"/>
    <x v="3"/>
    <d v="2024-10-29T00:00:00"/>
    <d v="2024-11-22T00:00:00"/>
  </r>
  <r>
    <n v="1654"/>
    <n v="10582"/>
    <x v="3"/>
    <n v="38056.43"/>
    <x v="0"/>
    <n v="13"/>
    <x v="0"/>
    <d v="2024-10-28T00:00:00"/>
    <d v="2024-11-10T00:00:00"/>
  </r>
  <r>
    <n v="1655"/>
    <n v="18651"/>
    <x v="3"/>
    <n v="152537.49"/>
    <x v="0"/>
    <n v="35"/>
    <x v="3"/>
    <d v="2024-10-11T00:00:00"/>
    <d v="2024-11-15T00:00:00"/>
  </r>
  <r>
    <n v="1656"/>
    <n v="18327"/>
    <x v="3"/>
    <n v="167335.45000000001"/>
    <x v="0"/>
    <n v="24"/>
    <x v="0"/>
    <d v="2024-08-14T00:00:00"/>
    <d v="2024-09-07T00:00:00"/>
  </r>
  <r>
    <n v="1657"/>
    <n v="19169"/>
    <x v="1"/>
    <n v="176713.58"/>
    <x v="2"/>
    <m/>
    <x v="3"/>
    <d v="2024-07-30T00:00:00"/>
    <m/>
  </r>
  <r>
    <n v="1658"/>
    <n v="18475"/>
    <x v="0"/>
    <n v="123332.13"/>
    <x v="0"/>
    <n v="6"/>
    <x v="0"/>
    <d v="2024-12-21T00:00:00"/>
    <d v="2024-12-27T00:00:00"/>
  </r>
  <r>
    <n v="1659"/>
    <n v="12398"/>
    <x v="2"/>
    <n v="172842.07"/>
    <x v="0"/>
    <n v="29"/>
    <x v="2"/>
    <d v="2024-07-07T00:00:00"/>
    <d v="2024-08-05T00:00:00"/>
  </r>
  <r>
    <n v="1660"/>
    <n v="14112"/>
    <x v="1"/>
    <n v="8005.92"/>
    <x v="0"/>
    <n v="7"/>
    <x v="1"/>
    <d v="2024-11-16T00:00:00"/>
    <d v="2024-11-23T00:00:00"/>
  </r>
  <r>
    <n v="1661"/>
    <n v="11238"/>
    <x v="1"/>
    <n v="25910.98"/>
    <x v="2"/>
    <m/>
    <x v="0"/>
    <d v="2024-05-30T00:00:00"/>
    <m/>
  </r>
  <r>
    <n v="1662"/>
    <n v="13466"/>
    <x v="3"/>
    <n v="23052.33"/>
    <x v="0"/>
    <n v="44"/>
    <x v="0"/>
    <d v="2024-08-10T00:00:00"/>
    <d v="2024-09-23T00:00:00"/>
  </r>
  <r>
    <n v="1663"/>
    <n v="15518"/>
    <x v="1"/>
    <n v="143957.91"/>
    <x v="1"/>
    <n v="31"/>
    <x v="1"/>
    <d v="2024-05-07T00:00:00"/>
    <d v="2024-06-07T00:00:00"/>
  </r>
  <r>
    <n v="1664"/>
    <n v="15363"/>
    <x v="3"/>
    <n v="18568.45"/>
    <x v="0"/>
    <n v="27"/>
    <x v="0"/>
    <d v="2024-09-04T00:00:00"/>
    <d v="2024-10-01T00:00:00"/>
  </r>
  <r>
    <n v="1665"/>
    <n v="13166"/>
    <x v="1"/>
    <n v="101791.05"/>
    <x v="2"/>
    <m/>
    <x v="0"/>
    <d v="2024-02-20T00:00:00"/>
    <m/>
  </r>
  <r>
    <n v="1666"/>
    <n v="10779"/>
    <x v="3"/>
    <n v="97177.85"/>
    <x v="1"/>
    <n v="10"/>
    <x v="3"/>
    <d v="2024-07-09T00:00:00"/>
    <d v="2024-07-19T00:00:00"/>
  </r>
  <r>
    <n v="1667"/>
    <n v="12134"/>
    <x v="3"/>
    <n v="65587.19"/>
    <x v="1"/>
    <n v="17"/>
    <x v="1"/>
    <d v="2024-08-24T00:00:00"/>
    <d v="2024-09-10T00:00:00"/>
  </r>
  <r>
    <n v="1668"/>
    <n v="12236"/>
    <x v="3"/>
    <n v="174729.01"/>
    <x v="0"/>
    <n v="19"/>
    <x v="2"/>
    <d v="2024-01-22T00:00:00"/>
    <d v="2024-02-10T00:00:00"/>
  </r>
  <r>
    <n v="1669"/>
    <n v="11639"/>
    <x v="3"/>
    <n v="38234.47"/>
    <x v="0"/>
    <n v="14"/>
    <x v="0"/>
    <d v="2024-04-19T00:00:00"/>
    <d v="2024-05-03T00:00:00"/>
  </r>
  <r>
    <n v="1670"/>
    <n v="18611"/>
    <x v="3"/>
    <n v="73730.240000000005"/>
    <x v="0"/>
    <n v="30"/>
    <x v="1"/>
    <d v="2024-11-22T00:00:00"/>
    <d v="2024-12-22T00:00:00"/>
  </r>
  <r>
    <n v="1671"/>
    <n v="13689"/>
    <x v="3"/>
    <n v="155963.44"/>
    <x v="0"/>
    <n v="44"/>
    <x v="3"/>
    <d v="2024-02-02T00:00:00"/>
    <d v="2024-03-17T00:00:00"/>
  </r>
  <r>
    <n v="1672"/>
    <n v="14955"/>
    <x v="2"/>
    <n v="10932.35"/>
    <x v="1"/>
    <n v="25"/>
    <x v="2"/>
    <d v="2024-05-06T00:00:00"/>
    <d v="2024-05-31T00:00:00"/>
  </r>
  <r>
    <n v="1673"/>
    <n v="18398"/>
    <x v="3"/>
    <n v="136225.32999999999"/>
    <x v="0"/>
    <n v="14"/>
    <x v="1"/>
    <d v="2024-12-30T00:00:00"/>
    <d v="2025-01-13T00:00:00"/>
  </r>
  <r>
    <n v="1674"/>
    <n v="17372"/>
    <x v="1"/>
    <n v="164197.56"/>
    <x v="0"/>
    <n v="26"/>
    <x v="2"/>
    <d v="2024-12-21T00:00:00"/>
    <d v="2025-01-16T00:00:00"/>
  </r>
  <r>
    <n v="1675"/>
    <n v="13390"/>
    <x v="0"/>
    <n v="186792.23"/>
    <x v="0"/>
    <n v="42"/>
    <x v="2"/>
    <d v="2024-02-13T00:00:00"/>
    <d v="2024-03-26T00:00:00"/>
  </r>
  <r>
    <n v="1676"/>
    <n v="17250"/>
    <x v="2"/>
    <n v="175877.84"/>
    <x v="0"/>
    <n v="2"/>
    <x v="2"/>
    <d v="2024-01-07T00:00:00"/>
    <d v="2024-01-09T00:00:00"/>
  </r>
  <r>
    <n v="1677"/>
    <n v="17249"/>
    <x v="1"/>
    <n v="67279.899999999994"/>
    <x v="0"/>
    <n v="10"/>
    <x v="0"/>
    <d v="2024-05-07T00:00:00"/>
    <d v="2024-05-17T00:00:00"/>
  </r>
  <r>
    <n v="1678"/>
    <n v="13796"/>
    <x v="0"/>
    <n v="119341.01"/>
    <x v="1"/>
    <n v="5"/>
    <x v="0"/>
    <d v="2024-03-31T00:00:00"/>
    <d v="2024-04-05T00:00:00"/>
  </r>
  <r>
    <n v="1679"/>
    <n v="12534"/>
    <x v="3"/>
    <n v="20072.23"/>
    <x v="0"/>
    <n v="29"/>
    <x v="3"/>
    <d v="2024-05-09T00:00:00"/>
    <d v="2024-06-07T00:00:00"/>
  </r>
  <r>
    <n v="1680"/>
    <n v="12180"/>
    <x v="3"/>
    <n v="55284.65"/>
    <x v="0"/>
    <n v="13"/>
    <x v="3"/>
    <d v="2024-01-17T00:00:00"/>
    <d v="2024-01-30T00:00:00"/>
  </r>
  <r>
    <n v="1681"/>
    <n v="14306"/>
    <x v="3"/>
    <n v="23373.360000000001"/>
    <x v="0"/>
    <n v="25"/>
    <x v="1"/>
    <d v="2024-11-16T00:00:00"/>
    <d v="2024-12-11T00:00:00"/>
  </r>
  <r>
    <n v="1682"/>
    <n v="14227"/>
    <x v="1"/>
    <n v="66461.52"/>
    <x v="0"/>
    <n v="10"/>
    <x v="3"/>
    <d v="2024-07-04T00:00:00"/>
    <d v="2024-07-14T00:00:00"/>
  </r>
  <r>
    <n v="1683"/>
    <n v="19589"/>
    <x v="1"/>
    <n v="175661.51"/>
    <x v="0"/>
    <n v="36"/>
    <x v="2"/>
    <d v="2024-04-19T00:00:00"/>
    <d v="2024-05-25T00:00:00"/>
  </r>
  <r>
    <n v="1684"/>
    <n v="11446"/>
    <x v="3"/>
    <n v="72697.53"/>
    <x v="0"/>
    <n v="39"/>
    <x v="2"/>
    <d v="2024-10-12T00:00:00"/>
    <d v="2024-11-20T00:00:00"/>
  </r>
  <r>
    <n v="1685"/>
    <n v="10951"/>
    <x v="3"/>
    <n v="114570.13"/>
    <x v="1"/>
    <n v="36"/>
    <x v="0"/>
    <d v="2024-12-13T00:00:00"/>
    <d v="2025-01-18T00:00:00"/>
  </r>
  <r>
    <n v="1686"/>
    <n v="14021"/>
    <x v="1"/>
    <n v="89509.27"/>
    <x v="1"/>
    <n v="34"/>
    <x v="2"/>
    <d v="2024-06-11T00:00:00"/>
    <d v="2024-07-15T00:00:00"/>
  </r>
  <r>
    <n v="1687"/>
    <n v="15485"/>
    <x v="3"/>
    <n v="94488.72"/>
    <x v="1"/>
    <n v="36"/>
    <x v="1"/>
    <d v="2024-03-15T00:00:00"/>
    <d v="2024-04-20T00:00:00"/>
  </r>
  <r>
    <n v="1688"/>
    <n v="11717"/>
    <x v="1"/>
    <n v="194066.55"/>
    <x v="0"/>
    <n v="21"/>
    <x v="2"/>
    <d v="2024-07-17T00:00:00"/>
    <d v="2024-08-07T00:00:00"/>
  </r>
  <r>
    <n v="1689"/>
    <n v="14242"/>
    <x v="1"/>
    <n v="62750.12"/>
    <x v="2"/>
    <m/>
    <x v="2"/>
    <d v="2024-12-26T00:00:00"/>
    <m/>
  </r>
  <r>
    <n v="1690"/>
    <n v="13805"/>
    <x v="1"/>
    <n v="127328.27"/>
    <x v="1"/>
    <n v="27"/>
    <x v="1"/>
    <d v="2024-10-13T00:00:00"/>
    <d v="2024-11-09T00:00:00"/>
  </r>
  <r>
    <n v="1691"/>
    <n v="15913"/>
    <x v="1"/>
    <n v="86912.22"/>
    <x v="2"/>
    <m/>
    <x v="3"/>
    <d v="2024-06-30T00:00:00"/>
    <m/>
  </r>
  <r>
    <n v="1692"/>
    <n v="17475"/>
    <x v="0"/>
    <n v="16923.509999999998"/>
    <x v="0"/>
    <n v="14"/>
    <x v="3"/>
    <d v="2024-04-06T00:00:00"/>
    <d v="2024-04-20T00:00:00"/>
  </r>
  <r>
    <n v="1693"/>
    <n v="14810"/>
    <x v="3"/>
    <n v="100419.51"/>
    <x v="2"/>
    <m/>
    <x v="1"/>
    <d v="2024-02-20T00:00:00"/>
    <m/>
  </r>
  <r>
    <n v="1694"/>
    <n v="11596"/>
    <x v="1"/>
    <n v="163601.95000000001"/>
    <x v="1"/>
    <n v="33"/>
    <x v="0"/>
    <d v="2024-11-09T00:00:00"/>
    <d v="2024-12-12T00:00:00"/>
  </r>
  <r>
    <n v="1695"/>
    <n v="16594"/>
    <x v="1"/>
    <n v="24256.83"/>
    <x v="1"/>
    <n v="37"/>
    <x v="2"/>
    <d v="2024-02-03T00:00:00"/>
    <d v="2024-03-11T00:00:00"/>
  </r>
  <r>
    <n v="1696"/>
    <n v="13216"/>
    <x v="3"/>
    <n v="18570.41"/>
    <x v="0"/>
    <n v="20"/>
    <x v="1"/>
    <d v="2024-01-21T00:00:00"/>
    <d v="2024-02-10T00:00:00"/>
  </r>
  <r>
    <n v="1697"/>
    <n v="19098"/>
    <x v="3"/>
    <n v="34958.15"/>
    <x v="1"/>
    <n v="23"/>
    <x v="2"/>
    <d v="2024-07-02T00:00:00"/>
    <d v="2024-07-25T00:00:00"/>
  </r>
  <r>
    <n v="1698"/>
    <n v="15755"/>
    <x v="3"/>
    <n v="154058.01999999999"/>
    <x v="2"/>
    <m/>
    <x v="0"/>
    <d v="2024-10-19T00:00:00"/>
    <m/>
  </r>
  <r>
    <n v="1699"/>
    <n v="16283"/>
    <x v="3"/>
    <n v="146179.1"/>
    <x v="0"/>
    <n v="12"/>
    <x v="2"/>
    <d v="2024-03-04T00:00:00"/>
    <d v="2024-03-16T00:00:00"/>
  </r>
  <r>
    <n v="1700"/>
    <n v="11337"/>
    <x v="1"/>
    <n v="115178.46"/>
    <x v="0"/>
    <n v="27"/>
    <x v="1"/>
    <d v="2024-05-03T00:00:00"/>
    <d v="2024-05-30T00:00:00"/>
  </r>
  <r>
    <n v="1701"/>
    <n v="12974"/>
    <x v="0"/>
    <n v="96304.15"/>
    <x v="2"/>
    <m/>
    <x v="2"/>
    <d v="2024-04-10T00:00:00"/>
    <m/>
  </r>
  <r>
    <n v="1702"/>
    <n v="14473"/>
    <x v="3"/>
    <n v="178223.53"/>
    <x v="0"/>
    <n v="20"/>
    <x v="3"/>
    <d v="2024-04-28T00:00:00"/>
    <d v="2024-05-18T00:00:00"/>
  </r>
  <r>
    <n v="1703"/>
    <n v="18552"/>
    <x v="3"/>
    <n v="154506.07999999999"/>
    <x v="0"/>
    <n v="13"/>
    <x v="0"/>
    <d v="2024-12-06T00:00:00"/>
    <d v="2024-12-19T00:00:00"/>
  </r>
  <r>
    <n v="1704"/>
    <n v="16826"/>
    <x v="2"/>
    <n v="163328.74"/>
    <x v="0"/>
    <n v="4"/>
    <x v="0"/>
    <d v="2024-03-18T00:00:00"/>
    <d v="2024-03-22T00:00:00"/>
  </r>
  <r>
    <n v="1705"/>
    <n v="15667"/>
    <x v="3"/>
    <n v="163586.15"/>
    <x v="2"/>
    <m/>
    <x v="0"/>
    <d v="2024-06-29T00:00:00"/>
    <m/>
  </r>
  <r>
    <n v="1706"/>
    <n v="18764"/>
    <x v="3"/>
    <n v="130329.85"/>
    <x v="0"/>
    <n v="6"/>
    <x v="1"/>
    <d v="2024-07-17T00:00:00"/>
    <d v="2024-07-23T00:00:00"/>
  </r>
  <r>
    <n v="1707"/>
    <n v="18013"/>
    <x v="1"/>
    <n v="94312.85"/>
    <x v="0"/>
    <n v="25"/>
    <x v="0"/>
    <d v="2024-12-25T00:00:00"/>
    <d v="2025-01-19T00:00:00"/>
  </r>
  <r>
    <n v="1708"/>
    <n v="13044"/>
    <x v="1"/>
    <n v="173612.16"/>
    <x v="0"/>
    <n v="15"/>
    <x v="3"/>
    <d v="2024-07-08T00:00:00"/>
    <d v="2024-07-23T00:00:00"/>
  </r>
  <r>
    <n v="1709"/>
    <n v="19776"/>
    <x v="3"/>
    <n v="185571.45"/>
    <x v="1"/>
    <n v="39"/>
    <x v="1"/>
    <d v="2024-11-23T00:00:00"/>
    <d v="2025-01-01T00:00:00"/>
  </r>
  <r>
    <n v="1710"/>
    <n v="15018"/>
    <x v="3"/>
    <n v="9642.18"/>
    <x v="0"/>
    <n v="4"/>
    <x v="3"/>
    <d v="2024-04-12T00:00:00"/>
    <d v="2024-04-16T00:00:00"/>
  </r>
  <r>
    <n v="1711"/>
    <n v="12233"/>
    <x v="3"/>
    <n v="15053.2"/>
    <x v="2"/>
    <m/>
    <x v="2"/>
    <d v="2024-11-28T00:00:00"/>
    <m/>
  </r>
  <r>
    <n v="1712"/>
    <n v="15637"/>
    <x v="1"/>
    <n v="191954.94"/>
    <x v="2"/>
    <m/>
    <x v="2"/>
    <d v="2024-10-01T00:00:00"/>
    <m/>
  </r>
  <r>
    <n v="1713"/>
    <n v="17467"/>
    <x v="1"/>
    <n v="59046.32"/>
    <x v="0"/>
    <n v="12"/>
    <x v="2"/>
    <d v="2024-05-09T00:00:00"/>
    <d v="2024-05-21T00:00:00"/>
  </r>
  <r>
    <n v="1714"/>
    <n v="13246"/>
    <x v="3"/>
    <n v="175307.04"/>
    <x v="0"/>
    <n v="40"/>
    <x v="2"/>
    <d v="2024-08-28T00:00:00"/>
    <d v="2024-10-07T00:00:00"/>
  </r>
  <r>
    <n v="1715"/>
    <n v="14041"/>
    <x v="1"/>
    <n v="80815.05"/>
    <x v="0"/>
    <n v="27"/>
    <x v="3"/>
    <d v="2024-05-13T00:00:00"/>
    <d v="2024-06-09T00:00:00"/>
  </r>
  <r>
    <n v="1716"/>
    <n v="11889"/>
    <x v="0"/>
    <n v="28224.51"/>
    <x v="0"/>
    <n v="2"/>
    <x v="1"/>
    <d v="2024-06-05T00:00:00"/>
    <d v="2024-06-07T00:00:00"/>
  </r>
  <r>
    <n v="1717"/>
    <n v="17676"/>
    <x v="3"/>
    <n v="20686.419999999998"/>
    <x v="0"/>
    <n v="17"/>
    <x v="1"/>
    <d v="2024-11-13T00:00:00"/>
    <d v="2024-11-30T00:00:00"/>
  </r>
  <r>
    <n v="1718"/>
    <n v="12655"/>
    <x v="3"/>
    <n v="35519.040000000001"/>
    <x v="2"/>
    <m/>
    <x v="0"/>
    <d v="2024-06-06T00:00:00"/>
    <m/>
  </r>
  <r>
    <n v="1719"/>
    <n v="13718"/>
    <x v="1"/>
    <n v="53729.17"/>
    <x v="1"/>
    <n v="6"/>
    <x v="3"/>
    <d v="2024-12-24T00:00:00"/>
    <d v="2024-12-30T00:00:00"/>
  </r>
  <r>
    <n v="1720"/>
    <n v="15535"/>
    <x v="3"/>
    <n v="100261.08"/>
    <x v="0"/>
    <n v="9"/>
    <x v="2"/>
    <d v="2024-07-08T00:00:00"/>
    <d v="2024-07-17T00:00:00"/>
  </r>
  <r>
    <n v="1721"/>
    <n v="19248"/>
    <x v="3"/>
    <n v="141792.09"/>
    <x v="0"/>
    <n v="22"/>
    <x v="3"/>
    <d v="2024-04-09T00:00:00"/>
    <d v="2024-05-01T00:00:00"/>
  </r>
  <r>
    <n v="1722"/>
    <n v="12129"/>
    <x v="1"/>
    <n v="197347.72"/>
    <x v="0"/>
    <n v="34"/>
    <x v="0"/>
    <d v="2024-02-21T00:00:00"/>
    <d v="2024-03-26T00:00:00"/>
  </r>
  <r>
    <n v="1723"/>
    <n v="19698"/>
    <x v="0"/>
    <n v="91093.81"/>
    <x v="0"/>
    <n v="40"/>
    <x v="0"/>
    <d v="2024-02-18T00:00:00"/>
    <d v="2024-03-29T00:00:00"/>
  </r>
  <r>
    <n v="1724"/>
    <n v="11630"/>
    <x v="0"/>
    <n v="106046.06"/>
    <x v="0"/>
    <n v="44"/>
    <x v="3"/>
    <d v="2024-04-09T00:00:00"/>
    <d v="2024-05-23T00:00:00"/>
  </r>
  <r>
    <n v="1725"/>
    <n v="15060"/>
    <x v="1"/>
    <n v="106754.06"/>
    <x v="1"/>
    <n v="21"/>
    <x v="3"/>
    <d v="2024-09-07T00:00:00"/>
    <d v="2024-09-28T00:00:00"/>
  </r>
  <r>
    <n v="1726"/>
    <n v="10991"/>
    <x v="1"/>
    <n v="110189.7"/>
    <x v="2"/>
    <m/>
    <x v="3"/>
    <d v="2024-02-23T00:00:00"/>
    <m/>
  </r>
  <r>
    <n v="1727"/>
    <n v="14590"/>
    <x v="3"/>
    <n v="105959.43"/>
    <x v="0"/>
    <n v="14"/>
    <x v="1"/>
    <d v="2024-05-16T00:00:00"/>
    <d v="2024-05-30T00:00:00"/>
  </r>
  <r>
    <n v="1728"/>
    <n v="19385"/>
    <x v="1"/>
    <n v="6711.08"/>
    <x v="1"/>
    <n v="40"/>
    <x v="2"/>
    <d v="2024-06-10T00:00:00"/>
    <d v="2024-07-20T00:00:00"/>
  </r>
  <r>
    <n v="1729"/>
    <n v="16866"/>
    <x v="3"/>
    <n v="5336.34"/>
    <x v="0"/>
    <n v="12"/>
    <x v="3"/>
    <d v="2024-12-19T00:00:00"/>
    <d v="2024-12-31T00:00:00"/>
  </r>
  <r>
    <n v="1730"/>
    <n v="18894"/>
    <x v="3"/>
    <n v="24044.93"/>
    <x v="1"/>
    <n v="19"/>
    <x v="3"/>
    <d v="2024-10-18T00:00:00"/>
    <d v="2024-11-06T00:00:00"/>
  </r>
  <r>
    <n v="1731"/>
    <n v="19222"/>
    <x v="1"/>
    <n v="24803.54"/>
    <x v="0"/>
    <n v="31"/>
    <x v="3"/>
    <d v="2024-03-21T00:00:00"/>
    <d v="2024-04-21T00:00:00"/>
  </r>
  <r>
    <n v="1732"/>
    <n v="14921"/>
    <x v="1"/>
    <n v="142454.9"/>
    <x v="0"/>
    <n v="34"/>
    <x v="0"/>
    <d v="2024-08-07T00:00:00"/>
    <d v="2024-09-10T00:00:00"/>
  </r>
  <r>
    <n v="1733"/>
    <n v="18021"/>
    <x v="3"/>
    <n v="44958.63"/>
    <x v="2"/>
    <m/>
    <x v="0"/>
    <d v="2024-03-25T00:00:00"/>
    <m/>
  </r>
  <r>
    <n v="1734"/>
    <n v="12481"/>
    <x v="2"/>
    <n v="179469.25"/>
    <x v="0"/>
    <n v="2"/>
    <x v="1"/>
    <d v="2024-03-23T00:00:00"/>
    <d v="2024-03-25T00:00:00"/>
  </r>
  <r>
    <n v="1735"/>
    <n v="18754"/>
    <x v="3"/>
    <n v="186078.23"/>
    <x v="1"/>
    <n v="37"/>
    <x v="2"/>
    <d v="2024-11-14T00:00:00"/>
    <d v="2024-12-21T00:00:00"/>
  </r>
  <r>
    <n v="1736"/>
    <n v="16281"/>
    <x v="3"/>
    <n v="195299.20000000001"/>
    <x v="0"/>
    <n v="7"/>
    <x v="1"/>
    <d v="2024-03-07T00:00:00"/>
    <d v="2024-03-14T00:00:00"/>
  </r>
  <r>
    <n v="1737"/>
    <n v="18558"/>
    <x v="3"/>
    <n v="188120.85"/>
    <x v="0"/>
    <n v="38"/>
    <x v="2"/>
    <d v="2024-08-21T00:00:00"/>
    <d v="2024-09-28T00:00:00"/>
  </r>
  <r>
    <n v="1738"/>
    <n v="16249"/>
    <x v="1"/>
    <n v="58018.22"/>
    <x v="0"/>
    <n v="30"/>
    <x v="0"/>
    <d v="2024-07-16T00:00:00"/>
    <d v="2024-08-15T00:00:00"/>
  </r>
  <r>
    <n v="1739"/>
    <n v="10793"/>
    <x v="1"/>
    <n v="104406.48"/>
    <x v="0"/>
    <n v="12"/>
    <x v="0"/>
    <d v="2024-09-15T00:00:00"/>
    <d v="2024-09-27T00:00:00"/>
  </r>
  <r>
    <n v="1740"/>
    <n v="14731"/>
    <x v="3"/>
    <n v="39213.72"/>
    <x v="0"/>
    <n v="14"/>
    <x v="0"/>
    <d v="2024-06-25T00:00:00"/>
    <d v="2024-07-09T00:00:00"/>
  </r>
  <r>
    <n v="1741"/>
    <n v="10986"/>
    <x v="1"/>
    <n v="162210.88"/>
    <x v="0"/>
    <n v="12"/>
    <x v="1"/>
    <d v="2024-10-24T00:00:00"/>
    <d v="2024-11-05T00:00:00"/>
  </r>
  <r>
    <n v="1742"/>
    <n v="19149"/>
    <x v="3"/>
    <n v="178244.18"/>
    <x v="0"/>
    <n v="39"/>
    <x v="3"/>
    <d v="2024-10-06T00:00:00"/>
    <d v="2024-11-14T00:00:00"/>
  </r>
  <r>
    <n v="1743"/>
    <n v="13595"/>
    <x v="1"/>
    <n v="171001.32"/>
    <x v="0"/>
    <n v="26"/>
    <x v="3"/>
    <d v="2024-10-26T00:00:00"/>
    <d v="2024-11-21T00:00:00"/>
  </r>
  <r>
    <n v="1744"/>
    <n v="10854"/>
    <x v="3"/>
    <n v="89506.55"/>
    <x v="1"/>
    <n v="16"/>
    <x v="0"/>
    <d v="2024-05-08T00:00:00"/>
    <d v="2024-05-24T00:00:00"/>
  </r>
  <r>
    <n v="1745"/>
    <n v="11569"/>
    <x v="3"/>
    <n v="152941.41"/>
    <x v="0"/>
    <n v="14"/>
    <x v="3"/>
    <d v="2024-06-28T00:00:00"/>
    <d v="2024-07-12T00:00:00"/>
  </r>
  <r>
    <n v="1746"/>
    <n v="12256"/>
    <x v="2"/>
    <n v="24027.94"/>
    <x v="2"/>
    <m/>
    <x v="3"/>
    <d v="2024-10-18T00:00:00"/>
    <m/>
  </r>
  <r>
    <n v="1747"/>
    <n v="14103"/>
    <x v="3"/>
    <n v="12847.73"/>
    <x v="0"/>
    <n v="34"/>
    <x v="1"/>
    <d v="2024-07-25T00:00:00"/>
    <d v="2024-08-28T00:00:00"/>
  </r>
  <r>
    <n v="1748"/>
    <n v="14176"/>
    <x v="3"/>
    <n v="151881.1"/>
    <x v="0"/>
    <n v="14"/>
    <x v="2"/>
    <d v="2024-10-20T00:00:00"/>
    <d v="2024-11-03T00:00:00"/>
  </r>
  <r>
    <n v="1749"/>
    <n v="17961"/>
    <x v="1"/>
    <n v="87944.28"/>
    <x v="0"/>
    <n v="39"/>
    <x v="0"/>
    <d v="2024-12-03T00:00:00"/>
    <d v="2025-01-11T00:00:00"/>
  </r>
  <r>
    <n v="1750"/>
    <n v="15254"/>
    <x v="2"/>
    <n v="199132.11"/>
    <x v="0"/>
    <n v="25"/>
    <x v="0"/>
    <d v="2024-06-23T00:00:00"/>
    <d v="2024-07-18T00:00:00"/>
  </r>
  <r>
    <n v="1751"/>
    <n v="18429"/>
    <x v="3"/>
    <n v="23964.57"/>
    <x v="0"/>
    <n v="21"/>
    <x v="1"/>
    <d v="2024-01-29T00:00:00"/>
    <d v="2024-02-19T00:00:00"/>
  </r>
  <r>
    <n v="1752"/>
    <n v="17906"/>
    <x v="3"/>
    <n v="171847.4"/>
    <x v="0"/>
    <n v="18"/>
    <x v="1"/>
    <d v="2024-06-27T00:00:00"/>
    <d v="2024-07-15T00:00:00"/>
  </r>
  <r>
    <n v="1753"/>
    <n v="16001"/>
    <x v="3"/>
    <n v="98596.7"/>
    <x v="0"/>
    <n v="25"/>
    <x v="3"/>
    <d v="2024-02-10T00:00:00"/>
    <d v="2024-03-06T00:00:00"/>
  </r>
  <r>
    <n v="1754"/>
    <n v="11732"/>
    <x v="1"/>
    <n v="166294.29"/>
    <x v="0"/>
    <n v="27"/>
    <x v="0"/>
    <d v="2024-07-10T00:00:00"/>
    <d v="2024-08-06T00:00:00"/>
  </r>
  <r>
    <n v="1755"/>
    <n v="10814"/>
    <x v="3"/>
    <n v="164339.82"/>
    <x v="1"/>
    <n v="41"/>
    <x v="2"/>
    <d v="2024-12-09T00:00:00"/>
    <d v="2025-01-19T00:00:00"/>
  </r>
  <r>
    <n v="1756"/>
    <n v="17035"/>
    <x v="1"/>
    <n v="183618.44"/>
    <x v="0"/>
    <n v="33"/>
    <x v="1"/>
    <d v="2024-08-24T00:00:00"/>
    <d v="2024-09-26T00:00:00"/>
  </r>
  <r>
    <n v="1757"/>
    <n v="11186"/>
    <x v="2"/>
    <n v="63080.75"/>
    <x v="0"/>
    <n v="30"/>
    <x v="2"/>
    <d v="2024-10-30T00:00:00"/>
    <d v="2024-11-29T00:00:00"/>
  </r>
  <r>
    <n v="1758"/>
    <n v="17581"/>
    <x v="3"/>
    <n v="190210.87"/>
    <x v="0"/>
    <n v="15"/>
    <x v="2"/>
    <d v="2024-08-12T00:00:00"/>
    <d v="2024-08-27T00:00:00"/>
  </r>
  <r>
    <n v="1759"/>
    <n v="12225"/>
    <x v="3"/>
    <n v="34575.06"/>
    <x v="1"/>
    <n v="38"/>
    <x v="0"/>
    <d v="2024-04-23T00:00:00"/>
    <d v="2024-05-31T00:00:00"/>
  </r>
  <r>
    <n v="1760"/>
    <n v="19176"/>
    <x v="3"/>
    <n v="20983.91"/>
    <x v="0"/>
    <n v="23"/>
    <x v="0"/>
    <d v="2024-10-04T00:00:00"/>
    <d v="2024-10-27T00:00:00"/>
  </r>
  <r>
    <n v="1761"/>
    <n v="16423"/>
    <x v="3"/>
    <n v="89165.03"/>
    <x v="0"/>
    <n v="35"/>
    <x v="1"/>
    <d v="2024-12-20T00:00:00"/>
    <d v="2025-01-24T00:00:00"/>
  </r>
  <r>
    <n v="1762"/>
    <n v="18989"/>
    <x v="0"/>
    <n v="166522.98000000001"/>
    <x v="0"/>
    <n v="28"/>
    <x v="0"/>
    <d v="2024-01-17T00:00:00"/>
    <d v="2024-02-14T00:00:00"/>
  </r>
  <r>
    <n v="1763"/>
    <n v="15173"/>
    <x v="3"/>
    <n v="97317.119999999995"/>
    <x v="0"/>
    <n v="29"/>
    <x v="0"/>
    <d v="2024-03-26T00:00:00"/>
    <d v="2024-04-24T00:00:00"/>
  </r>
  <r>
    <n v="1764"/>
    <n v="18735"/>
    <x v="3"/>
    <n v="166710.9"/>
    <x v="0"/>
    <n v="23"/>
    <x v="0"/>
    <d v="2024-11-12T00:00:00"/>
    <d v="2024-12-05T00:00:00"/>
  </r>
  <r>
    <n v="1765"/>
    <n v="15882"/>
    <x v="1"/>
    <n v="147288.93"/>
    <x v="1"/>
    <n v="44"/>
    <x v="2"/>
    <d v="2024-12-10T00:00:00"/>
    <d v="2025-01-23T00:00:00"/>
  </r>
  <r>
    <n v="1766"/>
    <n v="10519"/>
    <x v="3"/>
    <n v="45838.54"/>
    <x v="0"/>
    <n v="4"/>
    <x v="1"/>
    <d v="2024-06-29T00:00:00"/>
    <d v="2024-07-03T00:00:00"/>
  </r>
  <r>
    <n v="1767"/>
    <n v="15041"/>
    <x v="1"/>
    <n v="190031.92"/>
    <x v="0"/>
    <n v="23"/>
    <x v="3"/>
    <d v="2024-12-02T00:00:00"/>
    <d v="2024-12-25T00:00:00"/>
  </r>
  <r>
    <n v="1768"/>
    <n v="11454"/>
    <x v="3"/>
    <n v="16852.330000000002"/>
    <x v="0"/>
    <n v="22"/>
    <x v="2"/>
    <d v="2024-12-16T00:00:00"/>
    <d v="2025-01-07T00:00:00"/>
  </r>
  <r>
    <n v="1769"/>
    <n v="16870"/>
    <x v="0"/>
    <n v="180164.54"/>
    <x v="0"/>
    <n v="17"/>
    <x v="0"/>
    <d v="2024-05-24T00:00:00"/>
    <d v="2024-06-10T00:00:00"/>
  </r>
  <r>
    <n v="1770"/>
    <n v="17213"/>
    <x v="2"/>
    <n v="64366.47"/>
    <x v="0"/>
    <n v="10"/>
    <x v="2"/>
    <d v="2024-11-10T00:00:00"/>
    <d v="2024-11-20T00:00:00"/>
  </r>
  <r>
    <n v="1771"/>
    <n v="17759"/>
    <x v="1"/>
    <n v="102528.88"/>
    <x v="0"/>
    <n v="14"/>
    <x v="0"/>
    <d v="2024-08-12T00:00:00"/>
    <d v="2024-08-26T00:00:00"/>
  </r>
  <r>
    <n v="1772"/>
    <n v="19250"/>
    <x v="2"/>
    <n v="87358.62"/>
    <x v="0"/>
    <n v="11"/>
    <x v="0"/>
    <d v="2024-02-23T00:00:00"/>
    <d v="2024-03-05T00:00:00"/>
  </r>
  <r>
    <n v="1773"/>
    <n v="19304"/>
    <x v="3"/>
    <n v="38507.74"/>
    <x v="0"/>
    <n v="22"/>
    <x v="2"/>
    <d v="2024-10-30T00:00:00"/>
    <d v="2024-11-21T00:00:00"/>
  </r>
  <r>
    <n v="1774"/>
    <n v="13406"/>
    <x v="3"/>
    <n v="74838.64"/>
    <x v="0"/>
    <n v="43"/>
    <x v="1"/>
    <d v="2024-03-08T00:00:00"/>
    <d v="2024-04-20T00:00:00"/>
  </r>
  <r>
    <n v="1775"/>
    <n v="10946"/>
    <x v="1"/>
    <n v="42622.22"/>
    <x v="1"/>
    <n v="41"/>
    <x v="0"/>
    <d v="2024-04-16T00:00:00"/>
    <d v="2024-05-27T00:00:00"/>
  </r>
  <r>
    <n v="1776"/>
    <n v="14030"/>
    <x v="1"/>
    <n v="44757.86"/>
    <x v="0"/>
    <n v="8"/>
    <x v="1"/>
    <d v="2024-11-29T00:00:00"/>
    <d v="2024-12-07T00:00:00"/>
  </r>
  <r>
    <n v="1777"/>
    <n v="18327"/>
    <x v="3"/>
    <n v="41476.080000000002"/>
    <x v="0"/>
    <n v="23"/>
    <x v="3"/>
    <d v="2024-03-17T00:00:00"/>
    <d v="2024-04-09T00:00:00"/>
  </r>
  <r>
    <n v="1778"/>
    <n v="10792"/>
    <x v="3"/>
    <n v="100358.39"/>
    <x v="0"/>
    <n v="19"/>
    <x v="0"/>
    <d v="2024-01-27T00:00:00"/>
    <d v="2024-02-15T00:00:00"/>
  </r>
  <r>
    <n v="1779"/>
    <n v="11136"/>
    <x v="3"/>
    <n v="160596.62"/>
    <x v="0"/>
    <n v="22"/>
    <x v="1"/>
    <d v="2024-12-09T00:00:00"/>
    <d v="2024-12-31T00:00:00"/>
  </r>
  <r>
    <n v="1780"/>
    <n v="19554"/>
    <x v="3"/>
    <n v="115949.16"/>
    <x v="0"/>
    <n v="15"/>
    <x v="1"/>
    <d v="2024-06-03T00:00:00"/>
    <d v="2024-06-18T00:00:00"/>
  </r>
  <r>
    <n v="1781"/>
    <n v="10554"/>
    <x v="3"/>
    <n v="179175.28"/>
    <x v="0"/>
    <n v="11"/>
    <x v="3"/>
    <d v="2024-03-12T00:00:00"/>
    <d v="2024-03-23T00:00:00"/>
  </r>
  <r>
    <n v="1782"/>
    <n v="17037"/>
    <x v="1"/>
    <n v="129126.18"/>
    <x v="2"/>
    <m/>
    <x v="1"/>
    <d v="2024-06-28T00:00:00"/>
    <m/>
  </r>
  <r>
    <n v="1783"/>
    <n v="13403"/>
    <x v="3"/>
    <n v="139421.32"/>
    <x v="1"/>
    <n v="10"/>
    <x v="1"/>
    <d v="2024-02-16T00:00:00"/>
    <d v="2024-02-26T00:00:00"/>
  </r>
  <r>
    <n v="1784"/>
    <n v="12254"/>
    <x v="3"/>
    <n v="135183.41"/>
    <x v="0"/>
    <n v="19"/>
    <x v="3"/>
    <d v="2024-08-29T00:00:00"/>
    <d v="2024-09-17T00:00:00"/>
  </r>
  <r>
    <n v="1785"/>
    <n v="11366"/>
    <x v="1"/>
    <n v="92644.54"/>
    <x v="1"/>
    <n v="14"/>
    <x v="0"/>
    <d v="2024-12-24T00:00:00"/>
    <d v="2025-01-07T00:00:00"/>
  </r>
  <r>
    <n v="1786"/>
    <n v="10948"/>
    <x v="1"/>
    <n v="139421.07"/>
    <x v="1"/>
    <n v="18"/>
    <x v="1"/>
    <d v="2024-10-03T00:00:00"/>
    <d v="2024-10-21T00:00:00"/>
  </r>
  <r>
    <n v="1787"/>
    <n v="18295"/>
    <x v="0"/>
    <n v="18593.009999999998"/>
    <x v="0"/>
    <n v="24"/>
    <x v="1"/>
    <d v="2024-11-08T00:00:00"/>
    <d v="2024-12-02T00:00:00"/>
  </r>
  <r>
    <n v="1788"/>
    <n v="17809"/>
    <x v="1"/>
    <n v="172671.04"/>
    <x v="1"/>
    <n v="26"/>
    <x v="1"/>
    <d v="2024-04-14T00:00:00"/>
    <d v="2024-05-10T00:00:00"/>
  </r>
  <r>
    <n v="1789"/>
    <n v="17207"/>
    <x v="3"/>
    <n v="156673.37"/>
    <x v="0"/>
    <n v="17"/>
    <x v="2"/>
    <d v="2024-04-04T00:00:00"/>
    <d v="2024-04-21T00:00:00"/>
  </r>
  <r>
    <n v="1790"/>
    <n v="19238"/>
    <x v="0"/>
    <n v="52819.839999999997"/>
    <x v="0"/>
    <n v="25"/>
    <x v="3"/>
    <d v="2024-08-06T00:00:00"/>
    <d v="2024-08-31T00:00:00"/>
  </r>
  <r>
    <n v="1791"/>
    <n v="17419"/>
    <x v="1"/>
    <n v="154766.32999999999"/>
    <x v="0"/>
    <n v="32"/>
    <x v="2"/>
    <d v="2024-06-18T00:00:00"/>
    <d v="2024-07-20T00:00:00"/>
  </r>
  <r>
    <n v="1792"/>
    <n v="14026"/>
    <x v="3"/>
    <n v="7465.31"/>
    <x v="0"/>
    <n v="12"/>
    <x v="3"/>
    <d v="2024-10-09T00:00:00"/>
    <d v="2024-10-21T00:00:00"/>
  </r>
  <r>
    <n v="1793"/>
    <n v="15956"/>
    <x v="1"/>
    <n v="47363.08"/>
    <x v="0"/>
    <n v="24"/>
    <x v="0"/>
    <d v="2024-05-07T00:00:00"/>
    <d v="2024-05-31T00:00:00"/>
  </r>
  <r>
    <n v="1794"/>
    <n v="17369"/>
    <x v="2"/>
    <n v="17701.759999999998"/>
    <x v="0"/>
    <n v="42"/>
    <x v="0"/>
    <d v="2024-07-18T00:00:00"/>
    <d v="2024-08-29T00:00:00"/>
  </r>
  <r>
    <n v="1795"/>
    <n v="17322"/>
    <x v="3"/>
    <n v="157144.25"/>
    <x v="2"/>
    <m/>
    <x v="1"/>
    <d v="2024-11-27T00:00:00"/>
    <m/>
  </r>
  <r>
    <n v="1796"/>
    <n v="12614"/>
    <x v="3"/>
    <n v="152395.46"/>
    <x v="2"/>
    <m/>
    <x v="3"/>
    <d v="2024-02-04T00:00:00"/>
    <m/>
  </r>
  <r>
    <n v="1797"/>
    <n v="19155"/>
    <x v="3"/>
    <n v="163659.01999999999"/>
    <x v="1"/>
    <n v="34"/>
    <x v="0"/>
    <d v="2024-12-19T00:00:00"/>
    <d v="2025-01-22T00:00:00"/>
  </r>
  <r>
    <n v="1798"/>
    <n v="13271"/>
    <x v="3"/>
    <n v="5873.93"/>
    <x v="1"/>
    <n v="42"/>
    <x v="3"/>
    <d v="2024-05-23T00:00:00"/>
    <d v="2024-07-04T00:00:00"/>
  </r>
  <r>
    <n v="1799"/>
    <n v="19029"/>
    <x v="3"/>
    <n v="102740.38"/>
    <x v="2"/>
    <m/>
    <x v="0"/>
    <d v="2024-10-18T00:00:00"/>
    <m/>
  </r>
  <r>
    <n v="1800"/>
    <n v="17384"/>
    <x v="1"/>
    <n v="142443.06"/>
    <x v="0"/>
    <n v="19"/>
    <x v="2"/>
    <d v="2024-03-06T00:00:00"/>
    <d v="2024-03-25T00:00:00"/>
  </r>
  <r>
    <n v="1801"/>
    <n v="15678"/>
    <x v="3"/>
    <n v="35303.22"/>
    <x v="0"/>
    <n v="15"/>
    <x v="0"/>
    <d v="2024-08-06T00:00:00"/>
    <d v="2024-08-21T00:00:00"/>
  </r>
  <r>
    <n v="1802"/>
    <n v="10881"/>
    <x v="2"/>
    <n v="131709.19"/>
    <x v="0"/>
    <n v="29"/>
    <x v="2"/>
    <d v="2024-02-25T00:00:00"/>
    <d v="2024-03-25T00:00:00"/>
  </r>
  <r>
    <n v="1803"/>
    <n v="13188"/>
    <x v="1"/>
    <n v="21401.47"/>
    <x v="1"/>
    <n v="12"/>
    <x v="0"/>
    <d v="2024-05-24T00:00:00"/>
    <d v="2024-06-05T00:00:00"/>
  </r>
  <r>
    <n v="1804"/>
    <n v="13334"/>
    <x v="1"/>
    <n v="40358.54"/>
    <x v="0"/>
    <n v="25"/>
    <x v="1"/>
    <d v="2024-07-31T00:00:00"/>
    <d v="2024-08-25T00:00:00"/>
  </r>
  <r>
    <n v="1805"/>
    <n v="12198"/>
    <x v="0"/>
    <n v="97780.38"/>
    <x v="1"/>
    <n v="37"/>
    <x v="2"/>
    <d v="2024-04-03T00:00:00"/>
    <d v="2024-05-10T00:00:00"/>
  </r>
  <r>
    <n v="1806"/>
    <n v="18403"/>
    <x v="3"/>
    <n v="132445.20000000001"/>
    <x v="0"/>
    <n v="20"/>
    <x v="0"/>
    <d v="2024-04-15T00:00:00"/>
    <d v="2024-05-05T00:00:00"/>
  </r>
  <r>
    <n v="1807"/>
    <n v="19407"/>
    <x v="3"/>
    <n v="33444.480000000003"/>
    <x v="0"/>
    <n v="14"/>
    <x v="1"/>
    <d v="2024-03-24T00:00:00"/>
    <d v="2024-04-07T00:00:00"/>
  </r>
  <r>
    <n v="1808"/>
    <n v="19072"/>
    <x v="1"/>
    <n v="41118.550000000003"/>
    <x v="1"/>
    <n v="34"/>
    <x v="2"/>
    <d v="2024-05-15T00:00:00"/>
    <d v="2024-06-18T00:00:00"/>
  </r>
  <r>
    <n v="1809"/>
    <n v="10754"/>
    <x v="0"/>
    <n v="44867.040000000001"/>
    <x v="0"/>
    <n v="20"/>
    <x v="1"/>
    <d v="2024-05-25T00:00:00"/>
    <d v="2024-06-14T00:00:00"/>
  </r>
  <r>
    <n v="1810"/>
    <n v="15217"/>
    <x v="1"/>
    <n v="51546.66"/>
    <x v="0"/>
    <n v="33"/>
    <x v="3"/>
    <d v="2024-09-05T00:00:00"/>
    <d v="2024-10-08T00:00:00"/>
  </r>
  <r>
    <n v="1811"/>
    <n v="18892"/>
    <x v="3"/>
    <n v="49178"/>
    <x v="0"/>
    <n v="16"/>
    <x v="3"/>
    <d v="2024-01-18T00:00:00"/>
    <d v="2024-02-03T00:00:00"/>
  </r>
  <r>
    <n v="1812"/>
    <n v="10370"/>
    <x v="2"/>
    <n v="82054.080000000002"/>
    <x v="0"/>
    <n v="12"/>
    <x v="2"/>
    <d v="2024-05-04T00:00:00"/>
    <d v="2024-05-16T00:00:00"/>
  </r>
  <r>
    <n v="1813"/>
    <n v="11732"/>
    <x v="3"/>
    <n v="132488.98000000001"/>
    <x v="1"/>
    <n v="24"/>
    <x v="0"/>
    <d v="2024-01-02T00:00:00"/>
    <d v="2024-01-26T00:00:00"/>
  </r>
  <r>
    <n v="1814"/>
    <n v="15259"/>
    <x v="0"/>
    <n v="90416.2"/>
    <x v="0"/>
    <n v="6"/>
    <x v="2"/>
    <d v="2024-11-27T00:00:00"/>
    <d v="2024-12-03T00:00:00"/>
  </r>
  <r>
    <n v="1815"/>
    <n v="10801"/>
    <x v="2"/>
    <n v="156314.91"/>
    <x v="0"/>
    <n v="23"/>
    <x v="1"/>
    <d v="2024-07-18T00:00:00"/>
    <d v="2024-08-10T00:00:00"/>
  </r>
  <r>
    <n v="1816"/>
    <n v="16399"/>
    <x v="3"/>
    <n v="145257.35999999999"/>
    <x v="0"/>
    <n v="43"/>
    <x v="0"/>
    <d v="2024-05-17T00:00:00"/>
    <d v="2024-06-29T00:00:00"/>
  </r>
  <r>
    <n v="1817"/>
    <n v="19181"/>
    <x v="1"/>
    <n v="29672.75"/>
    <x v="1"/>
    <n v="19"/>
    <x v="3"/>
    <d v="2024-07-21T00:00:00"/>
    <d v="2024-08-09T00:00:00"/>
  </r>
  <r>
    <n v="1818"/>
    <n v="14771"/>
    <x v="3"/>
    <n v="14524.12"/>
    <x v="0"/>
    <n v="8"/>
    <x v="0"/>
    <d v="2024-10-08T00:00:00"/>
    <d v="2024-10-16T00:00:00"/>
  </r>
  <r>
    <n v="1819"/>
    <n v="17007"/>
    <x v="3"/>
    <n v="176198.6"/>
    <x v="0"/>
    <n v="34"/>
    <x v="3"/>
    <d v="2024-10-29T00:00:00"/>
    <d v="2024-12-02T00:00:00"/>
  </r>
  <r>
    <n v="1820"/>
    <n v="10415"/>
    <x v="1"/>
    <n v="20567.060000000001"/>
    <x v="1"/>
    <n v="4"/>
    <x v="0"/>
    <d v="2024-01-30T00:00:00"/>
    <d v="2024-02-03T00:00:00"/>
  </r>
  <r>
    <n v="1821"/>
    <n v="13337"/>
    <x v="1"/>
    <n v="33926.14"/>
    <x v="0"/>
    <n v="29"/>
    <x v="0"/>
    <d v="2024-02-25T00:00:00"/>
    <d v="2024-03-25T00:00:00"/>
  </r>
  <r>
    <n v="1822"/>
    <n v="15258"/>
    <x v="2"/>
    <n v="9315.99"/>
    <x v="1"/>
    <n v="2"/>
    <x v="0"/>
    <d v="2024-04-28T00:00:00"/>
    <d v="2024-04-30T00:00:00"/>
  </r>
  <r>
    <n v="1823"/>
    <n v="18027"/>
    <x v="1"/>
    <n v="127525.59"/>
    <x v="0"/>
    <n v="38"/>
    <x v="1"/>
    <d v="2024-05-11T00:00:00"/>
    <d v="2024-06-18T00:00:00"/>
  </r>
  <r>
    <n v="1824"/>
    <n v="15057"/>
    <x v="3"/>
    <n v="118562.26"/>
    <x v="0"/>
    <n v="23"/>
    <x v="1"/>
    <d v="2024-08-18T00:00:00"/>
    <d v="2024-09-10T00:00:00"/>
  </r>
  <r>
    <n v="1825"/>
    <n v="16967"/>
    <x v="0"/>
    <n v="197446.21"/>
    <x v="0"/>
    <n v="20"/>
    <x v="2"/>
    <d v="2024-05-31T00:00:00"/>
    <d v="2024-06-20T00:00:00"/>
  </r>
  <r>
    <n v="1826"/>
    <n v="11620"/>
    <x v="2"/>
    <n v="177951.82"/>
    <x v="2"/>
    <m/>
    <x v="2"/>
    <d v="2024-01-21T00:00:00"/>
    <m/>
  </r>
  <r>
    <n v="1827"/>
    <n v="19727"/>
    <x v="3"/>
    <n v="85114.42"/>
    <x v="1"/>
    <n v="4"/>
    <x v="3"/>
    <d v="2024-03-08T00:00:00"/>
    <d v="2024-03-12T00:00:00"/>
  </r>
  <r>
    <n v="1828"/>
    <n v="15982"/>
    <x v="2"/>
    <n v="77459.240000000005"/>
    <x v="0"/>
    <n v="20"/>
    <x v="1"/>
    <d v="2024-05-05T00:00:00"/>
    <d v="2024-05-25T00:00:00"/>
  </r>
  <r>
    <n v="1829"/>
    <n v="17993"/>
    <x v="3"/>
    <n v="62886.15"/>
    <x v="0"/>
    <n v="34"/>
    <x v="3"/>
    <d v="2024-02-12T00:00:00"/>
    <d v="2024-03-17T00:00:00"/>
  </r>
  <r>
    <n v="1830"/>
    <n v="12792"/>
    <x v="0"/>
    <n v="34719.35"/>
    <x v="1"/>
    <n v="22"/>
    <x v="2"/>
    <d v="2024-06-30T00:00:00"/>
    <d v="2024-07-22T00:00:00"/>
  </r>
  <r>
    <n v="1831"/>
    <n v="18764"/>
    <x v="3"/>
    <n v="31926.31"/>
    <x v="0"/>
    <n v="2"/>
    <x v="3"/>
    <d v="2024-04-09T00:00:00"/>
    <d v="2024-04-11T00:00:00"/>
  </r>
  <r>
    <n v="1832"/>
    <n v="17386"/>
    <x v="3"/>
    <n v="30795.32"/>
    <x v="1"/>
    <n v="27"/>
    <x v="2"/>
    <d v="2024-12-14T00:00:00"/>
    <d v="2025-01-10T00:00:00"/>
  </r>
  <r>
    <n v="1833"/>
    <n v="14893"/>
    <x v="3"/>
    <n v="27252.38"/>
    <x v="0"/>
    <n v="11"/>
    <x v="1"/>
    <d v="2024-08-27T00:00:00"/>
    <d v="2024-09-07T00:00:00"/>
  </r>
  <r>
    <n v="1834"/>
    <n v="15096"/>
    <x v="1"/>
    <n v="51899.85"/>
    <x v="1"/>
    <n v="36"/>
    <x v="0"/>
    <d v="2024-07-18T00:00:00"/>
    <d v="2024-08-23T00:00:00"/>
  </r>
  <r>
    <n v="1835"/>
    <n v="14856"/>
    <x v="3"/>
    <n v="64800.38"/>
    <x v="0"/>
    <n v="14"/>
    <x v="1"/>
    <d v="2024-04-25T00:00:00"/>
    <d v="2024-05-09T00:00:00"/>
  </r>
  <r>
    <n v="1836"/>
    <n v="13655"/>
    <x v="3"/>
    <n v="192507.9"/>
    <x v="0"/>
    <n v="7"/>
    <x v="3"/>
    <d v="2024-04-24T00:00:00"/>
    <d v="2024-05-01T00:00:00"/>
  </r>
  <r>
    <n v="1837"/>
    <n v="18484"/>
    <x v="1"/>
    <n v="117802.28"/>
    <x v="0"/>
    <n v="44"/>
    <x v="3"/>
    <d v="2024-05-21T00:00:00"/>
    <d v="2024-07-04T00:00:00"/>
  </r>
  <r>
    <n v="1838"/>
    <n v="14293"/>
    <x v="2"/>
    <n v="197581.18"/>
    <x v="2"/>
    <m/>
    <x v="1"/>
    <d v="2024-04-28T00:00:00"/>
    <m/>
  </r>
  <r>
    <n v="1839"/>
    <n v="10079"/>
    <x v="3"/>
    <n v="77631.05"/>
    <x v="0"/>
    <n v="36"/>
    <x v="1"/>
    <d v="2024-04-02T00:00:00"/>
    <d v="2024-05-08T00:00:00"/>
  </r>
  <r>
    <n v="1840"/>
    <n v="14308"/>
    <x v="3"/>
    <n v="94237.19"/>
    <x v="0"/>
    <n v="17"/>
    <x v="2"/>
    <d v="2024-01-09T00:00:00"/>
    <d v="2024-01-26T00:00:00"/>
  </r>
  <r>
    <n v="1841"/>
    <n v="11862"/>
    <x v="3"/>
    <n v="68292.84"/>
    <x v="0"/>
    <n v="42"/>
    <x v="3"/>
    <d v="2024-03-13T00:00:00"/>
    <d v="2024-04-24T00:00:00"/>
  </r>
  <r>
    <n v="1842"/>
    <n v="10618"/>
    <x v="3"/>
    <n v="40663.089999999997"/>
    <x v="0"/>
    <n v="9"/>
    <x v="3"/>
    <d v="2024-01-26T00:00:00"/>
    <d v="2024-02-04T00:00:00"/>
  </r>
  <r>
    <n v="1843"/>
    <n v="10959"/>
    <x v="0"/>
    <n v="32917.120000000003"/>
    <x v="1"/>
    <n v="4"/>
    <x v="1"/>
    <d v="2024-08-26T00:00:00"/>
    <d v="2024-08-30T00:00:00"/>
  </r>
  <r>
    <n v="1844"/>
    <n v="13735"/>
    <x v="0"/>
    <n v="189290.44"/>
    <x v="1"/>
    <n v="6"/>
    <x v="0"/>
    <d v="2024-12-27T00:00:00"/>
    <d v="2025-01-02T00:00:00"/>
  </r>
  <r>
    <n v="1845"/>
    <n v="18114"/>
    <x v="1"/>
    <n v="197428.08"/>
    <x v="0"/>
    <n v="22"/>
    <x v="3"/>
    <d v="2024-05-24T00:00:00"/>
    <d v="2024-06-15T00:00:00"/>
  </r>
  <r>
    <n v="1846"/>
    <n v="12168"/>
    <x v="3"/>
    <n v="13757.35"/>
    <x v="2"/>
    <m/>
    <x v="0"/>
    <d v="2024-03-08T00:00:00"/>
    <m/>
  </r>
  <r>
    <n v="1847"/>
    <n v="13245"/>
    <x v="1"/>
    <n v="34317.449999999997"/>
    <x v="1"/>
    <n v="15"/>
    <x v="1"/>
    <d v="2024-07-06T00:00:00"/>
    <d v="2024-07-21T00:00:00"/>
  </r>
  <r>
    <n v="1848"/>
    <n v="17235"/>
    <x v="1"/>
    <n v="87587.199999999997"/>
    <x v="1"/>
    <n v="38"/>
    <x v="1"/>
    <d v="2024-05-10T00:00:00"/>
    <d v="2024-06-17T00:00:00"/>
  </r>
  <r>
    <n v="1849"/>
    <n v="19914"/>
    <x v="0"/>
    <n v="41335.03"/>
    <x v="0"/>
    <n v="20"/>
    <x v="2"/>
    <d v="2024-08-08T00:00:00"/>
    <d v="2024-08-28T00:00:00"/>
  </r>
  <r>
    <n v="1850"/>
    <n v="11161"/>
    <x v="1"/>
    <n v="75956.679999999993"/>
    <x v="1"/>
    <n v="38"/>
    <x v="3"/>
    <d v="2024-10-07T00:00:00"/>
    <d v="2024-11-14T00:00:00"/>
  </r>
  <r>
    <n v="1851"/>
    <n v="12040"/>
    <x v="1"/>
    <n v="30173.79"/>
    <x v="0"/>
    <n v="21"/>
    <x v="0"/>
    <d v="2024-10-03T00:00:00"/>
    <d v="2024-10-24T00:00:00"/>
  </r>
  <r>
    <n v="1852"/>
    <n v="18160"/>
    <x v="1"/>
    <n v="94019.79"/>
    <x v="0"/>
    <n v="3"/>
    <x v="2"/>
    <d v="2024-05-19T00:00:00"/>
    <d v="2024-05-22T00:00:00"/>
  </r>
  <r>
    <n v="1853"/>
    <n v="15649"/>
    <x v="3"/>
    <n v="57980.45"/>
    <x v="1"/>
    <n v="8"/>
    <x v="3"/>
    <d v="2024-02-23T00:00:00"/>
    <d v="2024-03-02T00:00:00"/>
  </r>
  <r>
    <n v="1854"/>
    <n v="19291"/>
    <x v="2"/>
    <n v="73621.490000000005"/>
    <x v="0"/>
    <n v="34"/>
    <x v="2"/>
    <d v="2024-01-01T00:00:00"/>
    <d v="2024-02-04T00:00:00"/>
  </r>
  <r>
    <n v="1855"/>
    <n v="17318"/>
    <x v="1"/>
    <n v="23390.97"/>
    <x v="0"/>
    <n v="43"/>
    <x v="1"/>
    <d v="2024-05-07T00:00:00"/>
    <d v="2024-06-19T00:00:00"/>
  </r>
  <r>
    <n v="1856"/>
    <n v="19880"/>
    <x v="1"/>
    <n v="88484.97"/>
    <x v="1"/>
    <n v="7"/>
    <x v="3"/>
    <d v="2024-01-01T00:00:00"/>
    <d v="2024-01-08T00:00:00"/>
  </r>
  <r>
    <n v="1857"/>
    <n v="17483"/>
    <x v="3"/>
    <n v="196735.23"/>
    <x v="1"/>
    <n v="8"/>
    <x v="2"/>
    <d v="2024-06-21T00:00:00"/>
    <d v="2024-06-29T00:00:00"/>
  </r>
  <r>
    <n v="1858"/>
    <n v="14132"/>
    <x v="1"/>
    <n v="69122.44"/>
    <x v="0"/>
    <n v="19"/>
    <x v="2"/>
    <d v="2024-09-22T00:00:00"/>
    <d v="2024-10-11T00:00:00"/>
  </r>
  <r>
    <n v="1859"/>
    <n v="10844"/>
    <x v="1"/>
    <n v="175903.71"/>
    <x v="1"/>
    <n v="44"/>
    <x v="0"/>
    <d v="2024-10-22T00:00:00"/>
    <d v="2024-12-05T00:00:00"/>
  </r>
  <r>
    <n v="1860"/>
    <n v="15777"/>
    <x v="3"/>
    <n v="169423.83"/>
    <x v="0"/>
    <n v="30"/>
    <x v="2"/>
    <d v="2024-09-12T00:00:00"/>
    <d v="2024-10-12T00:00:00"/>
  </r>
  <r>
    <n v="1861"/>
    <n v="11643"/>
    <x v="3"/>
    <n v="190651.39"/>
    <x v="0"/>
    <n v="20"/>
    <x v="3"/>
    <d v="2024-06-22T00:00:00"/>
    <d v="2024-07-12T00:00:00"/>
  </r>
  <r>
    <n v="1862"/>
    <n v="11263"/>
    <x v="1"/>
    <n v="159071.35"/>
    <x v="1"/>
    <n v="26"/>
    <x v="3"/>
    <d v="2024-02-14T00:00:00"/>
    <d v="2024-03-11T00:00:00"/>
  </r>
  <r>
    <n v="1863"/>
    <n v="12934"/>
    <x v="1"/>
    <n v="133621.38"/>
    <x v="0"/>
    <n v="5"/>
    <x v="0"/>
    <d v="2024-12-08T00:00:00"/>
    <d v="2024-12-13T00:00:00"/>
  </r>
  <r>
    <n v="1864"/>
    <n v="16139"/>
    <x v="1"/>
    <n v="172033.97"/>
    <x v="0"/>
    <n v="14"/>
    <x v="3"/>
    <d v="2024-05-20T00:00:00"/>
    <d v="2024-06-03T00:00:00"/>
  </r>
  <r>
    <n v="1865"/>
    <n v="17174"/>
    <x v="3"/>
    <n v="19750.71"/>
    <x v="0"/>
    <n v="33"/>
    <x v="1"/>
    <d v="2024-01-27T00:00:00"/>
    <d v="2024-02-29T00:00:00"/>
  </r>
  <r>
    <n v="1866"/>
    <n v="10215"/>
    <x v="1"/>
    <n v="95251.98"/>
    <x v="0"/>
    <n v="28"/>
    <x v="3"/>
    <d v="2024-08-20T00:00:00"/>
    <d v="2024-09-17T00:00:00"/>
  </r>
  <r>
    <n v="1867"/>
    <n v="14776"/>
    <x v="3"/>
    <n v="197904.97"/>
    <x v="0"/>
    <n v="35"/>
    <x v="3"/>
    <d v="2024-07-27T00:00:00"/>
    <d v="2024-08-31T00:00:00"/>
  </r>
  <r>
    <n v="1868"/>
    <n v="12340"/>
    <x v="3"/>
    <n v="155072.03"/>
    <x v="1"/>
    <n v="29"/>
    <x v="2"/>
    <d v="2024-02-19T00:00:00"/>
    <d v="2024-03-19T00:00:00"/>
  </r>
  <r>
    <n v="1869"/>
    <n v="17706"/>
    <x v="3"/>
    <n v="192604.7"/>
    <x v="1"/>
    <n v="10"/>
    <x v="2"/>
    <d v="2024-03-01T00:00:00"/>
    <d v="2024-03-11T00:00:00"/>
  </r>
  <r>
    <n v="1870"/>
    <n v="19699"/>
    <x v="3"/>
    <n v="157028.70000000001"/>
    <x v="0"/>
    <n v="9"/>
    <x v="3"/>
    <d v="2024-08-30T00:00:00"/>
    <d v="2024-09-08T00:00:00"/>
  </r>
  <r>
    <n v="1871"/>
    <n v="12090"/>
    <x v="3"/>
    <n v="175601.98"/>
    <x v="1"/>
    <n v="22"/>
    <x v="0"/>
    <d v="2024-09-25T00:00:00"/>
    <d v="2024-10-17T00:00:00"/>
  </r>
  <r>
    <n v="1872"/>
    <n v="11116"/>
    <x v="3"/>
    <n v="142773.28"/>
    <x v="0"/>
    <n v="31"/>
    <x v="2"/>
    <d v="2024-05-19T00:00:00"/>
    <d v="2024-06-19T00:00:00"/>
  </r>
  <r>
    <n v="1873"/>
    <n v="17750"/>
    <x v="3"/>
    <n v="153297.89000000001"/>
    <x v="0"/>
    <n v="30"/>
    <x v="0"/>
    <d v="2024-06-05T00:00:00"/>
    <d v="2024-07-05T00:00:00"/>
  </r>
  <r>
    <n v="1874"/>
    <n v="15334"/>
    <x v="3"/>
    <n v="107019.71"/>
    <x v="1"/>
    <n v="10"/>
    <x v="3"/>
    <d v="2024-03-25T00:00:00"/>
    <d v="2024-04-04T00:00:00"/>
  </r>
  <r>
    <n v="1875"/>
    <n v="12161"/>
    <x v="1"/>
    <n v="185226.35"/>
    <x v="0"/>
    <n v="14"/>
    <x v="3"/>
    <d v="2024-03-24T00:00:00"/>
    <d v="2024-04-07T00:00:00"/>
  </r>
  <r>
    <n v="1876"/>
    <n v="13256"/>
    <x v="3"/>
    <n v="165882.59"/>
    <x v="0"/>
    <n v="19"/>
    <x v="1"/>
    <d v="2024-10-02T00:00:00"/>
    <d v="2024-10-21T00:00:00"/>
  </r>
  <r>
    <n v="1877"/>
    <n v="19340"/>
    <x v="3"/>
    <n v="169557.57"/>
    <x v="0"/>
    <n v="39"/>
    <x v="2"/>
    <d v="2024-01-31T00:00:00"/>
    <d v="2024-03-10T00:00:00"/>
  </r>
  <r>
    <n v="1878"/>
    <n v="13176"/>
    <x v="0"/>
    <n v="136236.76999999999"/>
    <x v="0"/>
    <n v="23"/>
    <x v="3"/>
    <d v="2024-01-08T00:00:00"/>
    <d v="2024-01-31T00:00:00"/>
  </r>
  <r>
    <n v="1879"/>
    <n v="16380"/>
    <x v="3"/>
    <n v="64393.09"/>
    <x v="1"/>
    <n v="32"/>
    <x v="1"/>
    <d v="2024-10-06T00:00:00"/>
    <d v="2024-11-07T00:00:00"/>
  </r>
  <r>
    <n v="1880"/>
    <n v="13345"/>
    <x v="1"/>
    <n v="11947.81"/>
    <x v="0"/>
    <n v="36"/>
    <x v="2"/>
    <d v="2024-07-21T00:00:00"/>
    <d v="2024-08-26T00:00:00"/>
  </r>
  <r>
    <n v="1881"/>
    <n v="16996"/>
    <x v="3"/>
    <n v="187452.75"/>
    <x v="0"/>
    <n v="43"/>
    <x v="3"/>
    <d v="2024-02-02T00:00:00"/>
    <d v="2024-03-16T00:00:00"/>
  </r>
  <r>
    <n v="1882"/>
    <n v="19332"/>
    <x v="3"/>
    <n v="119293.47"/>
    <x v="0"/>
    <n v="43"/>
    <x v="3"/>
    <d v="2024-10-24T00:00:00"/>
    <d v="2024-12-06T00:00:00"/>
  </r>
  <r>
    <n v="1883"/>
    <n v="12933"/>
    <x v="1"/>
    <n v="63137.88"/>
    <x v="0"/>
    <n v="11"/>
    <x v="2"/>
    <d v="2024-05-22T00:00:00"/>
    <d v="2024-06-02T00:00:00"/>
  </r>
  <r>
    <n v="1884"/>
    <n v="17741"/>
    <x v="1"/>
    <n v="34081.35"/>
    <x v="0"/>
    <n v="10"/>
    <x v="2"/>
    <d v="2024-12-15T00:00:00"/>
    <d v="2024-12-25T00:00:00"/>
  </r>
  <r>
    <n v="1885"/>
    <n v="15655"/>
    <x v="0"/>
    <n v="166757.01999999999"/>
    <x v="0"/>
    <n v="32"/>
    <x v="2"/>
    <d v="2024-02-06T00:00:00"/>
    <d v="2024-03-09T00:00:00"/>
  </r>
  <r>
    <n v="1886"/>
    <n v="12448"/>
    <x v="1"/>
    <n v="168121.44"/>
    <x v="1"/>
    <n v="41"/>
    <x v="3"/>
    <d v="2024-05-26T00:00:00"/>
    <d v="2024-07-06T00:00:00"/>
  </r>
  <r>
    <n v="1887"/>
    <n v="10827"/>
    <x v="2"/>
    <n v="163829.04999999999"/>
    <x v="2"/>
    <m/>
    <x v="3"/>
    <d v="2024-08-15T00:00:00"/>
    <m/>
  </r>
  <r>
    <n v="1888"/>
    <n v="15896"/>
    <x v="3"/>
    <n v="130791.12"/>
    <x v="0"/>
    <n v="42"/>
    <x v="1"/>
    <d v="2024-02-03T00:00:00"/>
    <d v="2024-03-16T00:00:00"/>
  </r>
  <r>
    <n v="1889"/>
    <n v="11203"/>
    <x v="3"/>
    <n v="76373"/>
    <x v="0"/>
    <n v="9"/>
    <x v="0"/>
    <d v="2024-08-24T00:00:00"/>
    <d v="2024-09-02T00:00:00"/>
  </r>
  <r>
    <n v="1890"/>
    <n v="16619"/>
    <x v="3"/>
    <n v="64293.71"/>
    <x v="0"/>
    <n v="21"/>
    <x v="2"/>
    <d v="2024-07-30T00:00:00"/>
    <d v="2024-08-20T00:00:00"/>
  </r>
  <r>
    <n v="1891"/>
    <n v="16798"/>
    <x v="3"/>
    <n v="6668.18"/>
    <x v="2"/>
    <m/>
    <x v="3"/>
    <d v="2024-11-04T00:00:00"/>
    <m/>
  </r>
  <r>
    <n v="1892"/>
    <n v="10844"/>
    <x v="1"/>
    <n v="167553.47"/>
    <x v="2"/>
    <m/>
    <x v="3"/>
    <d v="2024-05-19T00:00:00"/>
    <m/>
  </r>
  <r>
    <n v="1893"/>
    <n v="12971"/>
    <x v="1"/>
    <n v="22049.38"/>
    <x v="0"/>
    <n v="7"/>
    <x v="2"/>
    <d v="2024-07-08T00:00:00"/>
    <d v="2024-07-15T00:00:00"/>
  </r>
  <r>
    <n v="1894"/>
    <n v="11268"/>
    <x v="3"/>
    <n v="127997.22"/>
    <x v="1"/>
    <n v="43"/>
    <x v="0"/>
    <d v="2024-04-05T00:00:00"/>
    <d v="2024-05-18T00:00:00"/>
  </r>
  <r>
    <n v="1895"/>
    <n v="14744"/>
    <x v="2"/>
    <n v="103294.61"/>
    <x v="0"/>
    <n v="34"/>
    <x v="2"/>
    <d v="2024-07-12T00:00:00"/>
    <d v="2024-08-15T00:00:00"/>
  </r>
  <r>
    <n v="1896"/>
    <n v="17735"/>
    <x v="0"/>
    <n v="107704.42"/>
    <x v="0"/>
    <n v="29"/>
    <x v="0"/>
    <d v="2024-12-26T00:00:00"/>
    <d v="2025-01-24T00:00:00"/>
  </r>
  <r>
    <n v="1897"/>
    <n v="19821"/>
    <x v="3"/>
    <n v="185709"/>
    <x v="0"/>
    <n v="2"/>
    <x v="3"/>
    <d v="2024-10-30T00:00:00"/>
    <d v="2024-11-01T00:00:00"/>
  </r>
  <r>
    <n v="1898"/>
    <n v="13530"/>
    <x v="3"/>
    <n v="11164.93"/>
    <x v="0"/>
    <n v="42"/>
    <x v="0"/>
    <d v="2024-10-22T00:00:00"/>
    <d v="2024-12-03T00:00:00"/>
  </r>
  <r>
    <n v="1899"/>
    <n v="15085"/>
    <x v="3"/>
    <n v="155811.48000000001"/>
    <x v="0"/>
    <n v="36"/>
    <x v="1"/>
    <d v="2024-05-31T00:00:00"/>
    <d v="2024-07-06T00:00:00"/>
  </r>
  <r>
    <n v="1900"/>
    <n v="18995"/>
    <x v="3"/>
    <n v="15150.22"/>
    <x v="0"/>
    <n v="25"/>
    <x v="3"/>
    <d v="2024-08-10T00:00:00"/>
    <d v="2024-09-04T00:00:00"/>
  </r>
  <r>
    <n v="1901"/>
    <n v="18319"/>
    <x v="3"/>
    <n v="12439.95"/>
    <x v="0"/>
    <n v="7"/>
    <x v="1"/>
    <d v="2024-07-14T00:00:00"/>
    <d v="2024-07-21T00:00:00"/>
  </r>
  <r>
    <n v="1902"/>
    <n v="19143"/>
    <x v="1"/>
    <n v="88814.45"/>
    <x v="0"/>
    <n v="8"/>
    <x v="2"/>
    <d v="2024-03-28T00:00:00"/>
    <d v="2024-04-05T00:00:00"/>
  </r>
  <r>
    <n v="1903"/>
    <n v="12264"/>
    <x v="3"/>
    <n v="17299.66"/>
    <x v="0"/>
    <n v="10"/>
    <x v="2"/>
    <d v="2024-10-25T00:00:00"/>
    <d v="2024-11-04T00:00:00"/>
  </r>
  <r>
    <n v="1904"/>
    <n v="10019"/>
    <x v="3"/>
    <n v="158883.07"/>
    <x v="0"/>
    <n v="38"/>
    <x v="2"/>
    <d v="2024-01-17T00:00:00"/>
    <d v="2024-02-24T00:00:00"/>
  </r>
  <r>
    <n v="1905"/>
    <n v="11781"/>
    <x v="2"/>
    <n v="108264.8"/>
    <x v="0"/>
    <n v="17"/>
    <x v="0"/>
    <d v="2024-07-29T00:00:00"/>
    <d v="2024-08-15T00:00:00"/>
  </r>
  <r>
    <n v="1906"/>
    <n v="16857"/>
    <x v="1"/>
    <n v="10662.56"/>
    <x v="0"/>
    <n v="35"/>
    <x v="3"/>
    <d v="2024-08-19T00:00:00"/>
    <d v="2024-09-23T00:00:00"/>
  </r>
  <r>
    <n v="1907"/>
    <n v="14834"/>
    <x v="2"/>
    <n v="12897.63"/>
    <x v="0"/>
    <n v="36"/>
    <x v="2"/>
    <d v="2024-12-23T00:00:00"/>
    <d v="2025-01-28T00:00:00"/>
  </r>
  <r>
    <n v="1908"/>
    <n v="17296"/>
    <x v="3"/>
    <n v="124470.36"/>
    <x v="0"/>
    <n v="36"/>
    <x v="2"/>
    <d v="2024-07-01T00:00:00"/>
    <d v="2024-08-06T00:00:00"/>
  </r>
  <r>
    <n v="1909"/>
    <n v="18748"/>
    <x v="3"/>
    <n v="162191.79999999999"/>
    <x v="0"/>
    <n v="21"/>
    <x v="3"/>
    <d v="2024-06-10T00:00:00"/>
    <d v="2024-07-01T00:00:00"/>
  </r>
  <r>
    <n v="1910"/>
    <n v="12244"/>
    <x v="1"/>
    <n v="90370.91"/>
    <x v="0"/>
    <n v="24"/>
    <x v="2"/>
    <d v="2024-03-10T00:00:00"/>
    <d v="2024-04-03T00:00:00"/>
  </r>
  <r>
    <n v="1911"/>
    <n v="12983"/>
    <x v="3"/>
    <n v="113143.23"/>
    <x v="0"/>
    <n v="43"/>
    <x v="1"/>
    <d v="2024-02-29T00:00:00"/>
    <d v="2024-04-12T00:00:00"/>
  </r>
  <r>
    <n v="1912"/>
    <n v="12725"/>
    <x v="3"/>
    <n v="160966.74"/>
    <x v="0"/>
    <n v="36"/>
    <x v="3"/>
    <d v="2024-06-27T00:00:00"/>
    <d v="2024-08-02T00:00:00"/>
  </r>
  <r>
    <n v="1913"/>
    <n v="14599"/>
    <x v="1"/>
    <n v="124048.7"/>
    <x v="1"/>
    <n v="24"/>
    <x v="3"/>
    <d v="2024-03-17T00:00:00"/>
    <d v="2024-04-10T00:00:00"/>
  </r>
  <r>
    <n v="1914"/>
    <n v="15366"/>
    <x v="1"/>
    <n v="48828.25"/>
    <x v="0"/>
    <n v="5"/>
    <x v="3"/>
    <d v="2024-02-04T00:00:00"/>
    <d v="2024-02-09T00:00:00"/>
  </r>
  <r>
    <n v="1915"/>
    <n v="14887"/>
    <x v="3"/>
    <n v="124545.15"/>
    <x v="0"/>
    <n v="11"/>
    <x v="1"/>
    <d v="2024-01-16T00:00:00"/>
    <d v="2024-01-27T00:00:00"/>
  </r>
  <r>
    <n v="1916"/>
    <n v="10196"/>
    <x v="3"/>
    <n v="127514.49"/>
    <x v="0"/>
    <n v="44"/>
    <x v="3"/>
    <d v="2024-10-20T00:00:00"/>
    <d v="2024-12-03T00:00:00"/>
  </r>
  <r>
    <n v="1917"/>
    <n v="15226"/>
    <x v="3"/>
    <n v="148150.85999999999"/>
    <x v="0"/>
    <n v="12"/>
    <x v="1"/>
    <d v="2024-06-19T00:00:00"/>
    <d v="2024-07-01T00:00:00"/>
  </r>
  <r>
    <n v="1918"/>
    <n v="12828"/>
    <x v="3"/>
    <n v="126070.47"/>
    <x v="0"/>
    <n v="41"/>
    <x v="3"/>
    <d v="2024-02-01T00:00:00"/>
    <d v="2024-03-13T00:00:00"/>
  </r>
  <r>
    <n v="1919"/>
    <n v="13988"/>
    <x v="3"/>
    <n v="194002.22"/>
    <x v="0"/>
    <n v="10"/>
    <x v="0"/>
    <d v="2024-09-19T00:00:00"/>
    <d v="2024-09-29T00:00:00"/>
  </r>
  <r>
    <n v="1920"/>
    <n v="15732"/>
    <x v="3"/>
    <n v="43471.22"/>
    <x v="0"/>
    <n v="41"/>
    <x v="2"/>
    <d v="2024-08-02T00:00:00"/>
    <d v="2024-09-12T00:00:00"/>
  </r>
  <r>
    <n v="1921"/>
    <n v="15279"/>
    <x v="3"/>
    <n v="190462.68"/>
    <x v="2"/>
    <m/>
    <x v="0"/>
    <d v="2024-02-15T00:00:00"/>
    <m/>
  </r>
  <r>
    <n v="1922"/>
    <n v="12469"/>
    <x v="2"/>
    <n v="109976.2"/>
    <x v="0"/>
    <n v="18"/>
    <x v="2"/>
    <d v="2024-07-07T00:00:00"/>
    <d v="2024-07-25T00:00:00"/>
  </r>
  <r>
    <n v="1923"/>
    <n v="11630"/>
    <x v="1"/>
    <n v="136031.45000000001"/>
    <x v="0"/>
    <n v="33"/>
    <x v="1"/>
    <d v="2024-09-30T00:00:00"/>
    <d v="2024-11-02T00:00:00"/>
  </r>
  <r>
    <n v="1924"/>
    <n v="13278"/>
    <x v="1"/>
    <n v="24395.01"/>
    <x v="0"/>
    <n v="24"/>
    <x v="0"/>
    <d v="2024-03-11T00:00:00"/>
    <d v="2024-04-04T00:00:00"/>
  </r>
  <r>
    <n v="1925"/>
    <n v="12038"/>
    <x v="3"/>
    <n v="79212.31"/>
    <x v="2"/>
    <m/>
    <x v="3"/>
    <d v="2024-10-22T00:00:00"/>
    <m/>
  </r>
  <r>
    <n v="1926"/>
    <n v="15432"/>
    <x v="3"/>
    <n v="155028.93"/>
    <x v="1"/>
    <n v="29"/>
    <x v="2"/>
    <d v="2024-03-28T00:00:00"/>
    <d v="2024-04-26T00:00:00"/>
  </r>
  <r>
    <n v="1927"/>
    <n v="15021"/>
    <x v="3"/>
    <n v="142847.65"/>
    <x v="0"/>
    <n v="39"/>
    <x v="2"/>
    <d v="2024-11-29T00:00:00"/>
    <d v="2025-01-07T00:00:00"/>
  </r>
  <r>
    <n v="1928"/>
    <n v="14330"/>
    <x v="3"/>
    <n v="12827.18"/>
    <x v="1"/>
    <n v="6"/>
    <x v="0"/>
    <d v="2024-09-17T00:00:00"/>
    <d v="2024-09-23T00:00:00"/>
  </r>
  <r>
    <n v="1929"/>
    <n v="16470"/>
    <x v="3"/>
    <n v="111585.88"/>
    <x v="0"/>
    <n v="41"/>
    <x v="1"/>
    <d v="2024-06-30T00:00:00"/>
    <d v="2024-08-10T00:00:00"/>
  </r>
  <r>
    <n v="1930"/>
    <n v="17077"/>
    <x v="1"/>
    <n v="22214.25"/>
    <x v="1"/>
    <n v="19"/>
    <x v="0"/>
    <d v="2024-12-07T00:00:00"/>
    <d v="2024-12-26T00:00:00"/>
  </r>
  <r>
    <n v="1931"/>
    <n v="14761"/>
    <x v="1"/>
    <n v="199192"/>
    <x v="1"/>
    <n v="22"/>
    <x v="1"/>
    <d v="2024-01-22T00:00:00"/>
    <d v="2024-02-13T00:00:00"/>
  </r>
  <r>
    <n v="1932"/>
    <n v="15219"/>
    <x v="1"/>
    <n v="179972.83"/>
    <x v="0"/>
    <n v="16"/>
    <x v="1"/>
    <d v="2024-03-14T00:00:00"/>
    <d v="2024-03-30T00:00:00"/>
  </r>
  <r>
    <n v="1933"/>
    <n v="17001"/>
    <x v="3"/>
    <n v="9110.73"/>
    <x v="1"/>
    <n v="4"/>
    <x v="2"/>
    <d v="2024-03-30T00:00:00"/>
    <d v="2024-04-03T00:00:00"/>
  </r>
  <r>
    <n v="1934"/>
    <n v="11387"/>
    <x v="2"/>
    <n v="172436.67"/>
    <x v="0"/>
    <n v="27"/>
    <x v="0"/>
    <d v="2024-11-30T00:00:00"/>
    <d v="2024-12-27T00:00:00"/>
  </r>
  <r>
    <n v="1935"/>
    <n v="10641"/>
    <x v="3"/>
    <n v="184288.77"/>
    <x v="0"/>
    <n v="16"/>
    <x v="0"/>
    <d v="2024-06-14T00:00:00"/>
    <d v="2024-06-30T00:00:00"/>
  </r>
  <r>
    <n v="1936"/>
    <n v="15612"/>
    <x v="3"/>
    <n v="73941.899999999994"/>
    <x v="0"/>
    <n v="21"/>
    <x v="1"/>
    <d v="2024-08-21T00:00:00"/>
    <d v="2024-09-11T00:00:00"/>
  </r>
  <r>
    <n v="1937"/>
    <n v="17210"/>
    <x v="3"/>
    <n v="145302.82"/>
    <x v="1"/>
    <n v="22"/>
    <x v="0"/>
    <d v="2024-05-08T00:00:00"/>
    <d v="2024-05-30T00:00:00"/>
  </r>
  <r>
    <n v="1938"/>
    <n v="10574"/>
    <x v="1"/>
    <n v="91210.23"/>
    <x v="0"/>
    <n v="27"/>
    <x v="3"/>
    <d v="2024-11-29T00:00:00"/>
    <d v="2024-12-26T00:00:00"/>
  </r>
  <r>
    <n v="1939"/>
    <n v="19913"/>
    <x v="2"/>
    <n v="132770.32999999999"/>
    <x v="0"/>
    <n v="42"/>
    <x v="3"/>
    <d v="2024-10-18T00:00:00"/>
    <d v="2024-11-29T00:00:00"/>
  </r>
  <r>
    <n v="1940"/>
    <n v="19210"/>
    <x v="3"/>
    <n v="71361.89"/>
    <x v="1"/>
    <n v="24"/>
    <x v="0"/>
    <d v="2024-04-04T00:00:00"/>
    <d v="2024-04-28T00:00:00"/>
  </r>
  <r>
    <n v="1941"/>
    <n v="17796"/>
    <x v="0"/>
    <n v="67899.05"/>
    <x v="0"/>
    <n v="26"/>
    <x v="0"/>
    <d v="2024-01-28T00:00:00"/>
    <d v="2024-02-23T00:00:00"/>
  </r>
  <r>
    <n v="1942"/>
    <n v="18591"/>
    <x v="0"/>
    <n v="87764.61"/>
    <x v="0"/>
    <n v="5"/>
    <x v="1"/>
    <d v="2024-12-19T00:00:00"/>
    <d v="2024-12-24T00:00:00"/>
  </r>
  <r>
    <n v="1943"/>
    <n v="14690"/>
    <x v="3"/>
    <n v="33385.71"/>
    <x v="0"/>
    <n v="11"/>
    <x v="3"/>
    <d v="2024-02-04T00:00:00"/>
    <d v="2024-02-15T00:00:00"/>
  </r>
  <r>
    <n v="1944"/>
    <n v="11456"/>
    <x v="3"/>
    <n v="167072.1"/>
    <x v="0"/>
    <n v="23"/>
    <x v="3"/>
    <d v="2024-08-18T00:00:00"/>
    <d v="2024-09-10T00:00:00"/>
  </r>
  <r>
    <n v="1945"/>
    <n v="11595"/>
    <x v="3"/>
    <n v="72996.09"/>
    <x v="0"/>
    <n v="4"/>
    <x v="2"/>
    <d v="2024-11-13T00:00:00"/>
    <d v="2024-11-17T00:00:00"/>
  </r>
  <r>
    <n v="1946"/>
    <n v="18308"/>
    <x v="2"/>
    <n v="83029.16"/>
    <x v="0"/>
    <n v="20"/>
    <x v="1"/>
    <d v="2024-12-08T00:00:00"/>
    <d v="2024-12-28T00:00:00"/>
  </r>
  <r>
    <n v="1947"/>
    <n v="17986"/>
    <x v="3"/>
    <n v="179340.65"/>
    <x v="2"/>
    <m/>
    <x v="2"/>
    <d v="2024-12-29T00:00:00"/>
    <m/>
  </r>
  <r>
    <n v="1948"/>
    <n v="18574"/>
    <x v="1"/>
    <n v="101841.64"/>
    <x v="1"/>
    <n v="10"/>
    <x v="3"/>
    <d v="2024-05-04T00:00:00"/>
    <d v="2024-05-14T00:00:00"/>
  </r>
  <r>
    <n v="1949"/>
    <n v="12129"/>
    <x v="3"/>
    <n v="111129.51"/>
    <x v="0"/>
    <n v="30"/>
    <x v="1"/>
    <d v="2024-03-19T00:00:00"/>
    <d v="2024-04-18T00:00:00"/>
  </r>
  <r>
    <n v="1950"/>
    <n v="10831"/>
    <x v="1"/>
    <n v="191517.13"/>
    <x v="0"/>
    <n v="38"/>
    <x v="0"/>
    <d v="2024-03-01T00:00:00"/>
    <d v="2024-04-08T00:00:00"/>
  </r>
  <r>
    <n v="1951"/>
    <n v="14968"/>
    <x v="3"/>
    <n v="177911.64"/>
    <x v="0"/>
    <n v="8"/>
    <x v="1"/>
    <d v="2024-08-04T00:00:00"/>
    <d v="2024-08-12T00:00:00"/>
  </r>
  <r>
    <n v="1952"/>
    <n v="13481"/>
    <x v="1"/>
    <n v="38046.01"/>
    <x v="0"/>
    <n v="39"/>
    <x v="0"/>
    <d v="2024-10-08T00:00:00"/>
    <d v="2024-11-16T00:00:00"/>
  </r>
  <r>
    <n v="1953"/>
    <n v="12117"/>
    <x v="0"/>
    <n v="97276.93"/>
    <x v="0"/>
    <n v="25"/>
    <x v="0"/>
    <d v="2024-06-11T00:00:00"/>
    <d v="2024-07-06T00:00:00"/>
  </r>
  <r>
    <n v="1954"/>
    <n v="14482"/>
    <x v="0"/>
    <n v="194402.76"/>
    <x v="0"/>
    <n v="9"/>
    <x v="1"/>
    <d v="2024-02-26T00:00:00"/>
    <d v="2024-03-06T00:00:00"/>
  </r>
  <r>
    <n v="1955"/>
    <n v="12006"/>
    <x v="0"/>
    <n v="77611.429999999993"/>
    <x v="1"/>
    <n v="35"/>
    <x v="0"/>
    <d v="2024-07-09T00:00:00"/>
    <d v="2024-08-13T00:00:00"/>
  </r>
  <r>
    <n v="1956"/>
    <n v="18488"/>
    <x v="3"/>
    <n v="77456.759999999995"/>
    <x v="0"/>
    <n v="27"/>
    <x v="2"/>
    <d v="2024-05-11T00:00:00"/>
    <d v="2024-06-07T00:00:00"/>
  </r>
  <r>
    <n v="1957"/>
    <n v="16760"/>
    <x v="1"/>
    <n v="43030.9"/>
    <x v="0"/>
    <n v="29"/>
    <x v="3"/>
    <d v="2024-02-11T00:00:00"/>
    <d v="2024-03-11T00:00:00"/>
  </r>
  <r>
    <n v="1958"/>
    <n v="18910"/>
    <x v="3"/>
    <n v="27293.01"/>
    <x v="1"/>
    <n v="29"/>
    <x v="0"/>
    <d v="2024-06-21T00:00:00"/>
    <d v="2024-07-20T00:00:00"/>
  </r>
  <r>
    <n v="1959"/>
    <n v="15694"/>
    <x v="3"/>
    <n v="149359.43"/>
    <x v="0"/>
    <n v="8"/>
    <x v="2"/>
    <d v="2024-06-15T00:00:00"/>
    <d v="2024-06-23T00:00:00"/>
  </r>
  <r>
    <n v="1960"/>
    <n v="16062"/>
    <x v="1"/>
    <n v="155155.94"/>
    <x v="0"/>
    <n v="4"/>
    <x v="0"/>
    <d v="2024-09-06T00:00:00"/>
    <d v="2024-09-10T00:00:00"/>
  </r>
  <r>
    <n v="1961"/>
    <n v="13079"/>
    <x v="3"/>
    <n v="193957.53"/>
    <x v="0"/>
    <n v="23"/>
    <x v="3"/>
    <d v="2024-07-11T00:00:00"/>
    <d v="2024-08-03T00:00:00"/>
  </r>
  <r>
    <n v="1962"/>
    <n v="15278"/>
    <x v="1"/>
    <n v="155816.54999999999"/>
    <x v="0"/>
    <n v="39"/>
    <x v="2"/>
    <d v="2024-10-04T00:00:00"/>
    <d v="2024-11-12T00:00:00"/>
  </r>
  <r>
    <n v="1963"/>
    <n v="10010"/>
    <x v="2"/>
    <n v="52453.74"/>
    <x v="1"/>
    <n v="19"/>
    <x v="3"/>
    <d v="2024-08-25T00:00:00"/>
    <d v="2024-09-13T00:00:00"/>
  </r>
  <r>
    <n v="1964"/>
    <n v="14880"/>
    <x v="3"/>
    <n v="12822.73"/>
    <x v="0"/>
    <n v="13"/>
    <x v="3"/>
    <d v="2024-08-17T00:00:00"/>
    <d v="2024-08-30T00:00:00"/>
  </r>
  <r>
    <n v="1965"/>
    <n v="10410"/>
    <x v="1"/>
    <n v="197160.29"/>
    <x v="1"/>
    <n v="32"/>
    <x v="2"/>
    <d v="2024-06-13T00:00:00"/>
    <d v="2024-07-15T00:00:00"/>
  </r>
  <r>
    <n v="1966"/>
    <n v="10598"/>
    <x v="3"/>
    <n v="71387.89"/>
    <x v="2"/>
    <m/>
    <x v="2"/>
    <d v="2024-08-30T00:00:00"/>
    <m/>
  </r>
  <r>
    <n v="1967"/>
    <n v="10823"/>
    <x v="3"/>
    <n v="65834.45"/>
    <x v="2"/>
    <m/>
    <x v="2"/>
    <d v="2024-03-30T00:00:00"/>
    <m/>
  </r>
  <r>
    <n v="1968"/>
    <n v="17876"/>
    <x v="3"/>
    <n v="181661.27"/>
    <x v="2"/>
    <m/>
    <x v="1"/>
    <d v="2024-06-27T00:00:00"/>
    <m/>
  </r>
  <r>
    <n v="1969"/>
    <n v="15217"/>
    <x v="2"/>
    <n v="119094.48"/>
    <x v="0"/>
    <n v="30"/>
    <x v="2"/>
    <d v="2024-02-27T00:00:00"/>
    <d v="2024-03-28T00:00:00"/>
  </r>
  <r>
    <n v="1970"/>
    <n v="17086"/>
    <x v="0"/>
    <n v="46899.88"/>
    <x v="0"/>
    <n v="44"/>
    <x v="2"/>
    <d v="2024-09-19T00:00:00"/>
    <d v="2024-11-02T00:00:00"/>
  </r>
  <r>
    <n v="1971"/>
    <n v="10312"/>
    <x v="2"/>
    <n v="178373.77"/>
    <x v="0"/>
    <n v="37"/>
    <x v="2"/>
    <d v="2024-05-15T00:00:00"/>
    <d v="2024-06-21T00:00:00"/>
  </r>
  <r>
    <n v="1972"/>
    <n v="16671"/>
    <x v="2"/>
    <n v="198705.37"/>
    <x v="0"/>
    <n v="15"/>
    <x v="2"/>
    <d v="2024-08-25T00:00:00"/>
    <d v="2024-09-09T00:00:00"/>
  </r>
  <r>
    <n v="1973"/>
    <n v="16700"/>
    <x v="3"/>
    <n v="21902.32"/>
    <x v="1"/>
    <n v="19"/>
    <x v="0"/>
    <d v="2024-11-02T00:00:00"/>
    <d v="2024-11-21T00:00:00"/>
  </r>
  <r>
    <n v="1974"/>
    <n v="12492"/>
    <x v="3"/>
    <n v="173139.07"/>
    <x v="0"/>
    <n v="8"/>
    <x v="1"/>
    <d v="2024-08-30T00:00:00"/>
    <d v="2024-09-07T00:00:00"/>
  </r>
  <r>
    <n v="1975"/>
    <n v="10230"/>
    <x v="1"/>
    <n v="81150.559999999998"/>
    <x v="2"/>
    <m/>
    <x v="3"/>
    <d v="2024-05-30T00:00:00"/>
    <m/>
  </r>
  <r>
    <n v="1976"/>
    <n v="13740"/>
    <x v="3"/>
    <n v="107194.13"/>
    <x v="1"/>
    <n v="34"/>
    <x v="2"/>
    <d v="2024-12-11T00:00:00"/>
    <d v="2025-01-14T00:00:00"/>
  </r>
  <r>
    <n v="1977"/>
    <n v="10043"/>
    <x v="3"/>
    <n v="183389.12"/>
    <x v="2"/>
    <m/>
    <x v="0"/>
    <d v="2024-12-29T00:00:00"/>
    <m/>
  </r>
  <r>
    <n v="1978"/>
    <n v="17532"/>
    <x v="3"/>
    <n v="194808.94"/>
    <x v="1"/>
    <n v="38"/>
    <x v="0"/>
    <d v="2024-09-03T00:00:00"/>
    <d v="2024-10-11T00:00:00"/>
  </r>
  <r>
    <n v="1979"/>
    <n v="18092"/>
    <x v="1"/>
    <n v="56121.96"/>
    <x v="0"/>
    <n v="26"/>
    <x v="0"/>
    <d v="2024-08-06T00:00:00"/>
    <d v="2024-09-01T00:00:00"/>
  </r>
  <r>
    <n v="1980"/>
    <n v="17278"/>
    <x v="1"/>
    <n v="46505.9"/>
    <x v="0"/>
    <n v="10"/>
    <x v="3"/>
    <d v="2024-01-09T00:00:00"/>
    <d v="2024-01-19T00:00:00"/>
  </r>
  <r>
    <n v="1981"/>
    <n v="13457"/>
    <x v="3"/>
    <n v="20700.73"/>
    <x v="0"/>
    <n v="29"/>
    <x v="2"/>
    <d v="2024-10-20T00:00:00"/>
    <d v="2024-11-18T00:00:00"/>
  </r>
  <r>
    <n v="1982"/>
    <n v="15384"/>
    <x v="3"/>
    <n v="114550.58"/>
    <x v="0"/>
    <n v="10"/>
    <x v="1"/>
    <d v="2024-01-13T00:00:00"/>
    <d v="2024-01-23T00:00:00"/>
  </r>
  <r>
    <n v="1983"/>
    <n v="15615"/>
    <x v="1"/>
    <n v="7652.86"/>
    <x v="0"/>
    <n v="13"/>
    <x v="1"/>
    <d v="2024-09-19T00:00:00"/>
    <d v="2024-10-02T00:00:00"/>
  </r>
  <r>
    <n v="1984"/>
    <n v="15506"/>
    <x v="1"/>
    <n v="85320.17"/>
    <x v="1"/>
    <n v="19"/>
    <x v="0"/>
    <d v="2024-08-12T00:00:00"/>
    <d v="2024-08-31T00:00:00"/>
  </r>
  <r>
    <n v="1985"/>
    <n v="12995"/>
    <x v="3"/>
    <n v="19309.88"/>
    <x v="1"/>
    <n v="28"/>
    <x v="3"/>
    <d v="2024-08-18T00:00:00"/>
    <d v="2024-09-15T00:00:00"/>
  </r>
  <r>
    <n v="1986"/>
    <n v="13638"/>
    <x v="1"/>
    <n v="84019.03"/>
    <x v="0"/>
    <n v="27"/>
    <x v="3"/>
    <d v="2024-06-26T00:00:00"/>
    <d v="2024-07-23T00:00:00"/>
  </r>
  <r>
    <n v="1987"/>
    <n v="17517"/>
    <x v="3"/>
    <n v="12786.78"/>
    <x v="0"/>
    <n v="27"/>
    <x v="3"/>
    <d v="2024-09-03T00:00:00"/>
    <d v="2024-09-30T00:00:00"/>
  </r>
  <r>
    <n v="1988"/>
    <n v="13284"/>
    <x v="3"/>
    <n v="167867.37"/>
    <x v="0"/>
    <n v="11"/>
    <x v="1"/>
    <d v="2024-03-07T00:00:00"/>
    <d v="2024-03-18T00:00:00"/>
  </r>
  <r>
    <n v="1989"/>
    <n v="18362"/>
    <x v="1"/>
    <n v="45899.1"/>
    <x v="0"/>
    <n v="18"/>
    <x v="0"/>
    <d v="2024-10-23T00:00:00"/>
    <d v="2024-11-10T00:00:00"/>
  </r>
  <r>
    <n v="1990"/>
    <n v="14341"/>
    <x v="1"/>
    <n v="69020.2"/>
    <x v="0"/>
    <n v="33"/>
    <x v="2"/>
    <d v="2024-06-05T00:00:00"/>
    <d v="2024-07-08T00:00:00"/>
  </r>
  <r>
    <n v="1991"/>
    <n v="19831"/>
    <x v="3"/>
    <n v="174659.36"/>
    <x v="0"/>
    <n v="25"/>
    <x v="1"/>
    <d v="2024-06-13T00:00:00"/>
    <d v="2024-07-08T00:00:00"/>
  </r>
  <r>
    <n v="1992"/>
    <n v="10616"/>
    <x v="1"/>
    <n v="150521.88"/>
    <x v="0"/>
    <n v="44"/>
    <x v="0"/>
    <d v="2024-07-02T00:00:00"/>
    <d v="2024-08-15T00:00:00"/>
  </r>
  <r>
    <n v="1993"/>
    <n v="10239"/>
    <x v="1"/>
    <n v="47712.480000000003"/>
    <x v="0"/>
    <n v="9"/>
    <x v="0"/>
    <d v="2024-07-26T00:00:00"/>
    <d v="2024-08-04T00:00:00"/>
  </r>
  <r>
    <n v="1994"/>
    <n v="16052"/>
    <x v="1"/>
    <n v="19020.39"/>
    <x v="0"/>
    <n v="31"/>
    <x v="2"/>
    <d v="2024-01-16T00:00:00"/>
    <d v="2024-02-16T00:00:00"/>
  </r>
  <r>
    <n v="1995"/>
    <n v="16454"/>
    <x v="1"/>
    <n v="144556.39000000001"/>
    <x v="0"/>
    <n v="27"/>
    <x v="2"/>
    <d v="2024-10-26T00:00:00"/>
    <d v="2024-11-22T00:00:00"/>
  </r>
  <r>
    <n v="1996"/>
    <n v="19114"/>
    <x v="1"/>
    <n v="81187"/>
    <x v="0"/>
    <n v="25"/>
    <x v="2"/>
    <d v="2024-11-01T00:00:00"/>
    <d v="2024-11-26T00:00:00"/>
  </r>
  <r>
    <n v="1997"/>
    <n v="14887"/>
    <x v="3"/>
    <n v="154385.60000000001"/>
    <x v="0"/>
    <n v="28"/>
    <x v="3"/>
    <d v="2024-08-28T00:00:00"/>
    <d v="2024-09-25T00:00:00"/>
  </r>
  <r>
    <n v="1998"/>
    <n v="11904"/>
    <x v="3"/>
    <n v="91832.48"/>
    <x v="0"/>
    <n v="16"/>
    <x v="2"/>
    <d v="2024-08-17T00:00:00"/>
    <d v="2024-09-02T00:00:00"/>
  </r>
  <r>
    <n v="1999"/>
    <n v="16165"/>
    <x v="3"/>
    <n v="72470.47"/>
    <x v="2"/>
    <m/>
    <x v="0"/>
    <d v="2024-01-18T00:00:00"/>
    <m/>
  </r>
  <r>
    <n v="2000"/>
    <n v="10812"/>
    <x v="3"/>
    <n v="92985.05"/>
    <x v="0"/>
    <n v="12"/>
    <x v="2"/>
    <d v="2024-05-26T00:00:00"/>
    <d v="2024-06-07T00:00:00"/>
  </r>
  <r>
    <n v="2001"/>
    <n v="14999"/>
    <x v="1"/>
    <n v="150969"/>
    <x v="0"/>
    <n v="40"/>
    <x v="0"/>
    <d v="2024-08-31T00:00:00"/>
    <d v="2024-10-10T00:00:00"/>
  </r>
  <r>
    <n v="2002"/>
    <n v="17642"/>
    <x v="1"/>
    <n v="180932.96"/>
    <x v="1"/>
    <n v="3"/>
    <x v="1"/>
    <d v="2024-02-20T00:00:00"/>
    <d v="2024-02-23T00:00:00"/>
  </r>
  <r>
    <n v="2003"/>
    <n v="11730"/>
    <x v="3"/>
    <n v="14704.6"/>
    <x v="0"/>
    <n v="10"/>
    <x v="3"/>
    <d v="2024-09-15T00:00:00"/>
    <d v="2024-09-25T00:00:00"/>
  </r>
  <r>
    <n v="2004"/>
    <n v="19023"/>
    <x v="3"/>
    <n v="107201.75"/>
    <x v="2"/>
    <m/>
    <x v="1"/>
    <d v="2024-08-25T00:00:00"/>
    <m/>
  </r>
  <r>
    <n v="2005"/>
    <n v="13424"/>
    <x v="3"/>
    <n v="11402.91"/>
    <x v="0"/>
    <n v="34"/>
    <x v="1"/>
    <d v="2024-09-02T00:00:00"/>
    <d v="2024-10-06T00:00:00"/>
  </r>
  <r>
    <n v="2006"/>
    <n v="16062"/>
    <x v="3"/>
    <n v="96339.86"/>
    <x v="0"/>
    <n v="20"/>
    <x v="0"/>
    <d v="2024-12-10T00:00:00"/>
    <d v="2024-12-30T00:00:00"/>
  </r>
  <r>
    <n v="2007"/>
    <n v="12207"/>
    <x v="1"/>
    <n v="177630.15"/>
    <x v="0"/>
    <n v="14"/>
    <x v="1"/>
    <d v="2024-11-05T00:00:00"/>
    <d v="2024-11-19T00:00:00"/>
  </r>
  <r>
    <n v="2008"/>
    <n v="13368"/>
    <x v="3"/>
    <n v="75510.100000000006"/>
    <x v="0"/>
    <n v="15"/>
    <x v="0"/>
    <d v="2024-02-18T00:00:00"/>
    <d v="2024-03-04T00:00:00"/>
  </r>
  <r>
    <n v="2009"/>
    <n v="15471"/>
    <x v="1"/>
    <n v="186827.83"/>
    <x v="0"/>
    <n v="33"/>
    <x v="2"/>
    <d v="2024-10-10T00:00:00"/>
    <d v="2024-11-12T00:00:00"/>
  </r>
  <r>
    <n v="2010"/>
    <n v="12227"/>
    <x v="2"/>
    <n v="127968.65"/>
    <x v="0"/>
    <n v="23"/>
    <x v="2"/>
    <d v="2024-02-07T00:00:00"/>
    <d v="2024-03-01T00:00:00"/>
  </r>
  <r>
    <n v="2011"/>
    <n v="17639"/>
    <x v="3"/>
    <n v="187160.29"/>
    <x v="0"/>
    <n v="21"/>
    <x v="0"/>
    <d v="2024-10-10T00:00:00"/>
    <d v="2024-10-31T00:00:00"/>
  </r>
  <r>
    <n v="2012"/>
    <n v="14380"/>
    <x v="3"/>
    <n v="152647.49"/>
    <x v="0"/>
    <n v="34"/>
    <x v="2"/>
    <d v="2024-02-01T00:00:00"/>
    <d v="2024-03-06T00:00:00"/>
  </r>
  <r>
    <n v="2013"/>
    <n v="11820"/>
    <x v="3"/>
    <n v="25169.86"/>
    <x v="0"/>
    <n v="6"/>
    <x v="3"/>
    <d v="2024-08-30T00:00:00"/>
    <d v="2024-09-05T00:00:00"/>
  </r>
  <r>
    <n v="2014"/>
    <n v="18840"/>
    <x v="1"/>
    <n v="50074.52"/>
    <x v="0"/>
    <n v="21"/>
    <x v="1"/>
    <d v="2024-02-10T00:00:00"/>
    <d v="2024-03-02T00:00:00"/>
  </r>
  <r>
    <n v="2015"/>
    <n v="10188"/>
    <x v="1"/>
    <n v="81863.240000000005"/>
    <x v="0"/>
    <n v="15"/>
    <x v="3"/>
    <d v="2024-10-18T00:00:00"/>
    <d v="2024-11-02T00:00:00"/>
  </r>
  <r>
    <n v="2016"/>
    <n v="19414"/>
    <x v="3"/>
    <n v="38170.839999999997"/>
    <x v="0"/>
    <n v="28"/>
    <x v="1"/>
    <d v="2024-04-12T00:00:00"/>
    <d v="2024-05-10T00:00:00"/>
  </r>
  <r>
    <n v="2017"/>
    <n v="15221"/>
    <x v="1"/>
    <n v="101507.76"/>
    <x v="0"/>
    <n v="27"/>
    <x v="2"/>
    <d v="2024-10-18T00:00:00"/>
    <d v="2024-11-14T00:00:00"/>
  </r>
  <r>
    <n v="2018"/>
    <n v="18670"/>
    <x v="0"/>
    <n v="96916.79"/>
    <x v="1"/>
    <n v="33"/>
    <x v="3"/>
    <d v="2024-04-16T00:00:00"/>
    <d v="2024-05-19T00:00:00"/>
  </r>
  <r>
    <n v="2019"/>
    <n v="16746"/>
    <x v="3"/>
    <n v="191470.54"/>
    <x v="0"/>
    <n v="31"/>
    <x v="2"/>
    <d v="2024-09-02T00:00:00"/>
    <d v="2024-10-03T00:00:00"/>
  </r>
  <r>
    <n v="2020"/>
    <n v="14612"/>
    <x v="3"/>
    <n v="89576.94"/>
    <x v="0"/>
    <n v="28"/>
    <x v="1"/>
    <d v="2024-03-27T00:00:00"/>
    <d v="2024-04-24T00:00:00"/>
  </r>
  <r>
    <n v="2021"/>
    <n v="11888"/>
    <x v="0"/>
    <n v="158197.23000000001"/>
    <x v="0"/>
    <n v="27"/>
    <x v="0"/>
    <d v="2024-03-06T00:00:00"/>
    <d v="2024-04-02T00:00:00"/>
  </r>
  <r>
    <n v="2022"/>
    <n v="11550"/>
    <x v="1"/>
    <n v="188672.56"/>
    <x v="0"/>
    <n v="19"/>
    <x v="0"/>
    <d v="2024-05-17T00:00:00"/>
    <d v="2024-06-05T00:00:00"/>
  </r>
  <r>
    <n v="2023"/>
    <n v="17059"/>
    <x v="0"/>
    <n v="176012.82"/>
    <x v="2"/>
    <m/>
    <x v="3"/>
    <d v="2024-11-21T00:00:00"/>
    <m/>
  </r>
  <r>
    <n v="2024"/>
    <n v="15233"/>
    <x v="1"/>
    <n v="45690.19"/>
    <x v="0"/>
    <n v="25"/>
    <x v="2"/>
    <d v="2024-07-18T00:00:00"/>
    <d v="2024-08-12T00:00:00"/>
  </r>
  <r>
    <n v="2025"/>
    <n v="15635"/>
    <x v="0"/>
    <n v="101725.83"/>
    <x v="0"/>
    <n v="5"/>
    <x v="2"/>
    <d v="2024-11-30T00:00:00"/>
    <d v="2024-12-05T00:00:00"/>
  </r>
  <r>
    <n v="2026"/>
    <n v="10033"/>
    <x v="3"/>
    <n v="72809.259999999995"/>
    <x v="0"/>
    <n v="42"/>
    <x v="3"/>
    <d v="2024-04-02T00:00:00"/>
    <d v="2024-05-14T00:00:00"/>
  </r>
  <r>
    <n v="2027"/>
    <n v="18487"/>
    <x v="1"/>
    <n v="82972.45"/>
    <x v="1"/>
    <n v="4"/>
    <x v="0"/>
    <d v="2024-12-13T00:00:00"/>
    <d v="2024-12-17T00:00:00"/>
  </r>
  <r>
    <n v="2028"/>
    <n v="11429"/>
    <x v="2"/>
    <n v="75357.33"/>
    <x v="0"/>
    <n v="44"/>
    <x v="1"/>
    <d v="2024-10-04T00:00:00"/>
    <d v="2024-11-17T00:00:00"/>
  </r>
  <r>
    <n v="2029"/>
    <n v="15246"/>
    <x v="1"/>
    <n v="166140.04999999999"/>
    <x v="2"/>
    <m/>
    <x v="3"/>
    <d v="2024-01-20T00:00:00"/>
    <m/>
  </r>
  <r>
    <n v="2030"/>
    <n v="11987"/>
    <x v="3"/>
    <n v="93167.12"/>
    <x v="2"/>
    <m/>
    <x v="1"/>
    <d v="2024-10-15T00:00:00"/>
    <m/>
  </r>
  <r>
    <n v="2031"/>
    <n v="16271"/>
    <x v="3"/>
    <n v="107120.39"/>
    <x v="0"/>
    <n v="8"/>
    <x v="0"/>
    <d v="2024-03-30T00:00:00"/>
    <d v="2024-04-07T00:00:00"/>
  </r>
  <r>
    <n v="2032"/>
    <n v="12882"/>
    <x v="3"/>
    <n v="196577.23"/>
    <x v="2"/>
    <m/>
    <x v="2"/>
    <d v="2024-02-19T00:00:00"/>
    <m/>
  </r>
  <r>
    <n v="2033"/>
    <n v="19901"/>
    <x v="3"/>
    <n v="16695.96"/>
    <x v="0"/>
    <n v="23"/>
    <x v="0"/>
    <d v="2024-01-10T00:00:00"/>
    <d v="2024-02-02T00:00:00"/>
  </r>
  <r>
    <n v="2034"/>
    <n v="11547"/>
    <x v="3"/>
    <n v="100151.74"/>
    <x v="1"/>
    <n v="42"/>
    <x v="3"/>
    <d v="2024-03-19T00:00:00"/>
    <d v="2024-04-30T00:00:00"/>
  </r>
  <r>
    <n v="2035"/>
    <n v="10462"/>
    <x v="1"/>
    <n v="155942.03"/>
    <x v="0"/>
    <n v="32"/>
    <x v="2"/>
    <d v="2024-02-06T00:00:00"/>
    <d v="2024-03-09T00:00:00"/>
  </r>
  <r>
    <n v="2036"/>
    <n v="16707"/>
    <x v="1"/>
    <n v="34476.58"/>
    <x v="0"/>
    <n v="14"/>
    <x v="3"/>
    <d v="2024-02-28T00:00:00"/>
    <d v="2024-03-13T00:00:00"/>
  </r>
  <r>
    <n v="2037"/>
    <n v="15305"/>
    <x v="3"/>
    <n v="124248.66"/>
    <x v="0"/>
    <n v="42"/>
    <x v="3"/>
    <d v="2024-03-28T00:00:00"/>
    <d v="2024-05-09T00:00:00"/>
  </r>
  <r>
    <n v="2038"/>
    <n v="10513"/>
    <x v="1"/>
    <n v="51695.63"/>
    <x v="1"/>
    <n v="42"/>
    <x v="0"/>
    <d v="2024-04-13T00:00:00"/>
    <d v="2024-05-25T00:00:00"/>
  </r>
  <r>
    <n v="2039"/>
    <n v="15174"/>
    <x v="3"/>
    <n v="174143.8"/>
    <x v="0"/>
    <n v="30"/>
    <x v="3"/>
    <d v="2024-11-14T00:00:00"/>
    <d v="2024-12-14T00:00:00"/>
  </r>
  <r>
    <n v="2040"/>
    <n v="13566"/>
    <x v="3"/>
    <n v="68784.429999999993"/>
    <x v="0"/>
    <n v="29"/>
    <x v="0"/>
    <d v="2024-10-03T00:00:00"/>
    <d v="2024-11-01T00:00:00"/>
  </r>
  <r>
    <n v="2041"/>
    <n v="13803"/>
    <x v="3"/>
    <n v="69167.25"/>
    <x v="0"/>
    <n v="20"/>
    <x v="2"/>
    <d v="2024-04-13T00:00:00"/>
    <d v="2024-05-03T00:00:00"/>
  </r>
  <r>
    <n v="2042"/>
    <n v="13938"/>
    <x v="1"/>
    <n v="121647.81"/>
    <x v="0"/>
    <n v="24"/>
    <x v="0"/>
    <d v="2024-09-10T00:00:00"/>
    <d v="2024-10-04T00:00:00"/>
  </r>
  <r>
    <n v="2043"/>
    <n v="11471"/>
    <x v="3"/>
    <n v="40794.769999999997"/>
    <x v="0"/>
    <n v="9"/>
    <x v="2"/>
    <d v="2024-08-17T00:00:00"/>
    <d v="2024-08-26T00:00:00"/>
  </r>
  <r>
    <n v="2044"/>
    <n v="18003"/>
    <x v="3"/>
    <n v="60553.279999999999"/>
    <x v="0"/>
    <n v="26"/>
    <x v="0"/>
    <d v="2024-11-30T00:00:00"/>
    <d v="2024-12-26T00:00:00"/>
  </r>
  <r>
    <n v="2045"/>
    <n v="10337"/>
    <x v="3"/>
    <n v="86243.21"/>
    <x v="0"/>
    <n v="39"/>
    <x v="1"/>
    <d v="2024-02-06T00:00:00"/>
    <d v="2024-03-16T00:00:00"/>
  </r>
  <r>
    <n v="2046"/>
    <n v="17051"/>
    <x v="0"/>
    <n v="73959.38"/>
    <x v="0"/>
    <n v="39"/>
    <x v="1"/>
    <d v="2024-10-27T00:00:00"/>
    <d v="2024-12-05T00:00:00"/>
  </r>
  <r>
    <n v="2047"/>
    <n v="17444"/>
    <x v="3"/>
    <n v="107351.06"/>
    <x v="0"/>
    <n v="36"/>
    <x v="3"/>
    <d v="2024-05-21T00:00:00"/>
    <d v="2024-06-26T00:00:00"/>
  </r>
  <r>
    <n v="2048"/>
    <n v="13412"/>
    <x v="1"/>
    <n v="121929.83"/>
    <x v="0"/>
    <n v="27"/>
    <x v="0"/>
    <d v="2024-02-12T00:00:00"/>
    <d v="2024-03-10T00:00:00"/>
  </r>
  <r>
    <n v="2049"/>
    <n v="12392"/>
    <x v="1"/>
    <n v="115500.15"/>
    <x v="0"/>
    <n v="4"/>
    <x v="0"/>
    <d v="2024-04-25T00:00:00"/>
    <d v="2024-04-29T00:00:00"/>
  </r>
  <r>
    <n v="2050"/>
    <n v="10976"/>
    <x v="1"/>
    <n v="132562.82"/>
    <x v="2"/>
    <m/>
    <x v="2"/>
    <d v="2024-12-06T00:00:00"/>
    <m/>
  </r>
  <r>
    <n v="2051"/>
    <n v="14978"/>
    <x v="2"/>
    <n v="65011.16"/>
    <x v="0"/>
    <n v="6"/>
    <x v="3"/>
    <d v="2024-03-24T00:00:00"/>
    <d v="2024-03-30T00:00:00"/>
  </r>
  <r>
    <n v="2052"/>
    <n v="14068"/>
    <x v="3"/>
    <n v="29653.11"/>
    <x v="2"/>
    <m/>
    <x v="0"/>
    <d v="2024-09-15T00:00:00"/>
    <m/>
  </r>
  <r>
    <n v="2053"/>
    <n v="19895"/>
    <x v="3"/>
    <n v="153357.47"/>
    <x v="1"/>
    <n v="13"/>
    <x v="3"/>
    <d v="2024-12-25T00:00:00"/>
    <d v="2025-01-07T00:00:00"/>
  </r>
  <r>
    <n v="2054"/>
    <n v="10871"/>
    <x v="0"/>
    <n v="170902.17"/>
    <x v="0"/>
    <n v="39"/>
    <x v="1"/>
    <d v="2024-03-27T00:00:00"/>
    <d v="2024-05-05T00:00:00"/>
  </r>
  <r>
    <n v="2055"/>
    <n v="13409"/>
    <x v="3"/>
    <n v="55116.22"/>
    <x v="0"/>
    <n v="17"/>
    <x v="0"/>
    <d v="2024-12-08T00:00:00"/>
    <d v="2024-12-25T00:00:00"/>
  </r>
  <r>
    <n v="2056"/>
    <n v="12589"/>
    <x v="1"/>
    <n v="84382.93"/>
    <x v="1"/>
    <n v="38"/>
    <x v="0"/>
    <d v="2024-12-12T00:00:00"/>
    <d v="2025-01-19T00:00:00"/>
  </r>
  <r>
    <n v="2057"/>
    <n v="11549"/>
    <x v="1"/>
    <n v="102221"/>
    <x v="0"/>
    <n v="39"/>
    <x v="3"/>
    <d v="2024-10-17T00:00:00"/>
    <d v="2024-11-25T00:00:00"/>
  </r>
  <r>
    <n v="2058"/>
    <n v="14461"/>
    <x v="1"/>
    <n v="108998.73"/>
    <x v="0"/>
    <n v="37"/>
    <x v="0"/>
    <d v="2024-04-05T00:00:00"/>
    <d v="2024-05-12T00:00:00"/>
  </r>
  <r>
    <n v="2059"/>
    <n v="12621"/>
    <x v="2"/>
    <n v="133600.57999999999"/>
    <x v="0"/>
    <n v="30"/>
    <x v="3"/>
    <d v="2024-09-11T00:00:00"/>
    <d v="2024-10-11T00:00:00"/>
  </r>
  <r>
    <n v="2060"/>
    <n v="12529"/>
    <x v="2"/>
    <n v="13112.63"/>
    <x v="0"/>
    <n v="36"/>
    <x v="0"/>
    <d v="2024-12-07T00:00:00"/>
    <d v="2025-01-12T00:00:00"/>
  </r>
  <r>
    <n v="2061"/>
    <n v="17162"/>
    <x v="1"/>
    <n v="145688.03"/>
    <x v="1"/>
    <n v="38"/>
    <x v="2"/>
    <d v="2024-05-15T00:00:00"/>
    <d v="2024-06-22T00:00:00"/>
  </r>
  <r>
    <n v="2062"/>
    <n v="18351"/>
    <x v="3"/>
    <n v="17084.349999999999"/>
    <x v="0"/>
    <n v="22"/>
    <x v="3"/>
    <d v="2024-09-04T00:00:00"/>
    <d v="2024-09-26T00:00:00"/>
  </r>
  <r>
    <n v="2063"/>
    <n v="16399"/>
    <x v="0"/>
    <n v="96316.27"/>
    <x v="0"/>
    <n v="22"/>
    <x v="0"/>
    <d v="2024-04-01T00:00:00"/>
    <d v="2024-04-23T00:00:00"/>
  </r>
  <r>
    <n v="2064"/>
    <n v="12581"/>
    <x v="3"/>
    <n v="166395.87"/>
    <x v="0"/>
    <n v="29"/>
    <x v="1"/>
    <d v="2024-09-03T00:00:00"/>
    <d v="2024-10-02T00:00:00"/>
  </r>
  <r>
    <n v="2065"/>
    <n v="16565"/>
    <x v="3"/>
    <n v="92986.99"/>
    <x v="0"/>
    <n v="7"/>
    <x v="0"/>
    <d v="2024-09-14T00:00:00"/>
    <d v="2024-09-21T00:00:00"/>
  </r>
  <r>
    <n v="2066"/>
    <n v="17105"/>
    <x v="0"/>
    <n v="34072.5"/>
    <x v="0"/>
    <n v="21"/>
    <x v="1"/>
    <d v="2024-07-05T00:00:00"/>
    <d v="2024-07-26T00:00:00"/>
  </r>
  <r>
    <n v="2067"/>
    <n v="16956"/>
    <x v="3"/>
    <n v="197081.60000000001"/>
    <x v="0"/>
    <n v="37"/>
    <x v="1"/>
    <d v="2024-05-03T00:00:00"/>
    <d v="2024-06-09T00:00:00"/>
  </r>
  <r>
    <n v="2068"/>
    <n v="12934"/>
    <x v="3"/>
    <n v="178410.67"/>
    <x v="1"/>
    <n v="14"/>
    <x v="2"/>
    <d v="2024-09-16T00:00:00"/>
    <d v="2024-09-30T00:00:00"/>
  </r>
  <r>
    <n v="2069"/>
    <n v="12311"/>
    <x v="3"/>
    <n v="155406.16"/>
    <x v="0"/>
    <n v="41"/>
    <x v="3"/>
    <d v="2024-06-17T00:00:00"/>
    <d v="2024-07-28T00:00:00"/>
  </r>
  <r>
    <n v="2070"/>
    <n v="12795"/>
    <x v="0"/>
    <n v="85244.76"/>
    <x v="1"/>
    <n v="12"/>
    <x v="0"/>
    <d v="2024-12-30T00:00:00"/>
    <d v="2025-01-11T00:00:00"/>
  </r>
  <r>
    <n v="2071"/>
    <n v="14328"/>
    <x v="1"/>
    <n v="40849.919999999998"/>
    <x v="0"/>
    <n v="25"/>
    <x v="2"/>
    <d v="2024-04-20T00:00:00"/>
    <d v="2024-05-15T00:00:00"/>
  </r>
  <r>
    <n v="2072"/>
    <n v="16823"/>
    <x v="1"/>
    <n v="188575.18"/>
    <x v="0"/>
    <n v="20"/>
    <x v="0"/>
    <d v="2024-10-16T00:00:00"/>
    <d v="2024-11-05T00:00:00"/>
  </r>
  <r>
    <n v="2073"/>
    <n v="14328"/>
    <x v="3"/>
    <n v="108808.47"/>
    <x v="0"/>
    <n v="24"/>
    <x v="1"/>
    <d v="2024-03-27T00:00:00"/>
    <d v="2024-04-20T00:00:00"/>
  </r>
  <r>
    <n v="2074"/>
    <n v="13588"/>
    <x v="1"/>
    <n v="171209.31"/>
    <x v="0"/>
    <n v="32"/>
    <x v="3"/>
    <d v="2024-01-13T00:00:00"/>
    <d v="2024-02-14T00:00:00"/>
  </r>
  <r>
    <n v="2075"/>
    <n v="13116"/>
    <x v="1"/>
    <n v="71708.53"/>
    <x v="0"/>
    <n v="38"/>
    <x v="0"/>
    <d v="2024-09-19T00:00:00"/>
    <d v="2024-10-27T00:00:00"/>
  </r>
  <r>
    <n v="2076"/>
    <n v="14653"/>
    <x v="3"/>
    <n v="70381.22"/>
    <x v="0"/>
    <n v="38"/>
    <x v="0"/>
    <d v="2024-10-14T00:00:00"/>
    <d v="2024-11-21T00:00:00"/>
  </r>
  <r>
    <n v="2077"/>
    <n v="13747"/>
    <x v="3"/>
    <n v="197180.39"/>
    <x v="1"/>
    <n v="4"/>
    <x v="1"/>
    <d v="2024-01-23T00:00:00"/>
    <d v="2024-01-27T00:00:00"/>
  </r>
  <r>
    <n v="2078"/>
    <n v="16824"/>
    <x v="3"/>
    <n v="106757.44"/>
    <x v="1"/>
    <n v="35"/>
    <x v="0"/>
    <d v="2024-07-18T00:00:00"/>
    <d v="2024-08-22T00:00:00"/>
  </r>
  <r>
    <n v="2079"/>
    <n v="11459"/>
    <x v="2"/>
    <n v="32435.61"/>
    <x v="0"/>
    <n v="30"/>
    <x v="0"/>
    <d v="2024-08-29T00:00:00"/>
    <d v="2024-09-28T00:00:00"/>
  </r>
  <r>
    <n v="2080"/>
    <n v="14430"/>
    <x v="1"/>
    <n v="47836.56"/>
    <x v="0"/>
    <n v="4"/>
    <x v="1"/>
    <d v="2024-08-26T00:00:00"/>
    <d v="2024-08-30T00:00:00"/>
  </r>
  <r>
    <n v="2081"/>
    <n v="12451"/>
    <x v="2"/>
    <n v="98979.13"/>
    <x v="0"/>
    <n v="16"/>
    <x v="2"/>
    <d v="2024-10-29T00:00:00"/>
    <d v="2024-11-14T00:00:00"/>
  </r>
  <r>
    <n v="2082"/>
    <n v="17331"/>
    <x v="3"/>
    <n v="13281.83"/>
    <x v="0"/>
    <n v="8"/>
    <x v="1"/>
    <d v="2024-06-13T00:00:00"/>
    <d v="2024-06-21T00:00:00"/>
  </r>
  <r>
    <n v="2083"/>
    <n v="14090"/>
    <x v="1"/>
    <n v="95194.13"/>
    <x v="0"/>
    <n v="4"/>
    <x v="2"/>
    <d v="2024-08-13T00:00:00"/>
    <d v="2024-08-17T00:00:00"/>
  </r>
  <r>
    <n v="2084"/>
    <n v="18963"/>
    <x v="1"/>
    <n v="86693.46"/>
    <x v="0"/>
    <n v="44"/>
    <x v="3"/>
    <d v="2024-06-24T00:00:00"/>
    <d v="2024-08-07T00:00:00"/>
  </r>
  <r>
    <n v="2085"/>
    <n v="15041"/>
    <x v="1"/>
    <n v="156970.57"/>
    <x v="2"/>
    <m/>
    <x v="2"/>
    <d v="2024-01-29T00:00:00"/>
    <m/>
  </r>
  <r>
    <n v="2086"/>
    <n v="11111"/>
    <x v="2"/>
    <n v="74213.679999999993"/>
    <x v="1"/>
    <n v="35"/>
    <x v="2"/>
    <d v="2024-06-13T00:00:00"/>
    <d v="2024-07-18T00:00:00"/>
  </r>
  <r>
    <n v="2087"/>
    <n v="19786"/>
    <x v="3"/>
    <n v="196597.01"/>
    <x v="0"/>
    <n v="21"/>
    <x v="3"/>
    <d v="2024-01-23T00:00:00"/>
    <d v="2024-02-13T00:00:00"/>
  </r>
  <r>
    <n v="2088"/>
    <n v="19473"/>
    <x v="3"/>
    <n v="40250.129999999997"/>
    <x v="0"/>
    <n v="40"/>
    <x v="2"/>
    <d v="2024-10-20T00:00:00"/>
    <d v="2024-11-29T00:00:00"/>
  </r>
  <r>
    <n v="2089"/>
    <n v="13585"/>
    <x v="1"/>
    <n v="120242.4"/>
    <x v="0"/>
    <n v="34"/>
    <x v="1"/>
    <d v="2024-02-13T00:00:00"/>
    <d v="2024-03-18T00:00:00"/>
  </r>
  <r>
    <n v="2090"/>
    <n v="17601"/>
    <x v="1"/>
    <n v="22491.360000000001"/>
    <x v="1"/>
    <n v="15"/>
    <x v="2"/>
    <d v="2024-09-17T00:00:00"/>
    <d v="2024-10-02T00:00:00"/>
  </r>
  <r>
    <n v="2091"/>
    <n v="12373"/>
    <x v="1"/>
    <n v="148103.48000000001"/>
    <x v="0"/>
    <n v="43"/>
    <x v="3"/>
    <d v="2024-06-28T00:00:00"/>
    <d v="2024-08-10T00:00:00"/>
  </r>
  <r>
    <n v="2092"/>
    <n v="16842"/>
    <x v="3"/>
    <n v="198976.97"/>
    <x v="0"/>
    <n v="36"/>
    <x v="1"/>
    <d v="2024-10-22T00:00:00"/>
    <d v="2024-11-27T00:00:00"/>
  </r>
  <r>
    <n v="2093"/>
    <n v="18533"/>
    <x v="1"/>
    <n v="164732.03"/>
    <x v="1"/>
    <n v="12"/>
    <x v="3"/>
    <d v="2024-05-18T00:00:00"/>
    <d v="2024-05-30T00:00:00"/>
  </r>
  <r>
    <n v="2094"/>
    <n v="15098"/>
    <x v="3"/>
    <n v="113362.19"/>
    <x v="0"/>
    <n v="21"/>
    <x v="3"/>
    <d v="2024-11-29T00:00:00"/>
    <d v="2024-12-20T00:00:00"/>
  </r>
  <r>
    <n v="2095"/>
    <n v="14723"/>
    <x v="3"/>
    <n v="99524.56"/>
    <x v="0"/>
    <n v="31"/>
    <x v="0"/>
    <d v="2024-09-04T00:00:00"/>
    <d v="2024-10-05T00:00:00"/>
  </r>
  <r>
    <n v="2096"/>
    <n v="12818"/>
    <x v="1"/>
    <n v="167830.84"/>
    <x v="0"/>
    <n v="29"/>
    <x v="0"/>
    <d v="2024-08-28T00:00:00"/>
    <d v="2024-09-26T00:00:00"/>
  </r>
  <r>
    <n v="2097"/>
    <n v="12925"/>
    <x v="1"/>
    <n v="187514.95"/>
    <x v="0"/>
    <n v="16"/>
    <x v="3"/>
    <d v="2024-04-15T00:00:00"/>
    <d v="2024-05-01T00:00:00"/>
  </r>
  <r>
    <n v="2098"/>
    <n v="19464"/>
    <x v="3"/>
    <n v="197895.27"/>
    <x v="0"/>
    <n v="39"/>
    <x v="3"/>
    <d v="2024-06-21T00:00:00"/>
    <d v="2024-07-30T00:00:00"/>
  </r>
  <r>
    <n v="2099"/>
    <n v="10709"/>
    <x v="3"/>
    <n v="82325.149999999994"/>
    <x v="0"/>
    <n v="14"/>
    <x v="3"/>
    <d v="2024-02-18T00:00:00"/>
    <d v="2024-03-03T00:00:00"/>
  </r>
  <r>
    <n v="2100"/>
    <n v="16992"/>
    <x v="3"/>
    <n v="198228.91"/>
    <x v="0"/>
    <n v="36"/>
    <x v="0"/>
    <d v="2024-05-02T00:00:00"/>
    <d v="2024-06-07T00:00:00"/>
  </r>
  <r>
    <n v="2101"/>
    <n v="10738"/>
    <x v="3"/>
    <n v="35405.620000000003"/>
    <x v="0"/>
    <n v="25"/>
    <x v="0"/>
    <d v="2024-02-04T00:00:00"/>
    <d v="2024-02-29T00:00:00"/>
  </r>
  <r>
    <n v="2102"/>
    <n v="19970"/>
    <x v="1"/>
    <n v="54442.21"/>
    <x v="1"/>
    <n v="2"/>
    <x v="2"/>
    <d v="2024-04-15T00:00:00"/>
    <d v="2024-04-17T00:00:00"/>
  </r>
  <r>
    <n v="2103"/>
    <n v="14590"/>
    <x v="2"/>
    <n v="22358.14"/>
    <x v="0"/>
    <n v="43"/>
    <x v="2"/>
    <d v="2024-11-23T00:00:00"/>
    <d v="2025-01-05T00:00:00"/>
  </r>
  <r>
    <n v="2104"/>
    <n v="16087"/>
    <x v="3"/>
    <n v="57989.01"/>
    <x v="0"/>
    <n v="25"/>
    <x v="3"/>
    <d v="2024-07-14T00:00:00"/>
    <d v="2024-08-08T00:00:00"/>
  </r>
  <r>
    <n v="2105"/>
    <n v="13718"/>
    <x v="1"/>
    <n v="154747.82"/>
    <x v="0"/>
    <n v="28"/>
    <x v="1"/>
    <d v="2024-04-18T00:00:00"/>
    <d v="2024-05-16T00:00:00"/>
  </r>
  <r>
    <n v="2106"/>
    <n v="18201"/>
    <x v="0"/>
    <n v="171320.25"/>
    <x v="1"/>
    <n v="19"/>
    <x v="1"/>
    <d v="2024-05-04T00:00:00"/>
    <d v="2024-05-23T00:00:00"/>
  </r>
  <r>
    <n v="2107"/>
    <n v="15081"/>
    <x v="0"/>
    <n v="156884.07"/>
    <x v="1"/>
    <n v="27"/>
    <x v="0"/>
    <d v="2024-11-22T00:00:00"/>
    <d v="2024-12-19T00:00:00"/>
  </r>
  <r>
    <n v="2108"/>
    <n v="19929"/>
    <x v="3"/>
    <n v="128057.83"/>
    <x v="0"/>
    <n v="30"/>
    <x v="0"/>
    <d v="2024-10-21T00:00:00"/>
    <d v="2024-11-20T00:00:00"/>
  </r>
  <r>
    <n v="2109"/>
    <n v="12578"/>
    <x v="2"/>
    <n v="105223.47"/>
    <x v="0"/>
    <n v="9"/>
    <x v="0"/>
    <d v="2024-12-12T00:00:00"/>
    <d v="2024-12-21T00:00:00"/>
  </r>
  <r>
    <n v="2110"/>
    <n v="11558"/>
    <x v="3"/>
    <n v="143197.34"/>
    <x v="1"/>
    <n v="27"/>
    <x v="3"/>
    <d v="2024-02-06T00:00:00"/>
    <d v="2024-03-04T00:00:00"/>
  </r>
  <r>
    <n v="2111"/>
    <n v="14000"/>
    <x v="3"/>
    <n v="81212.539999999994"/>
    <x v="0"/>
    <n v="6"/>
    <x v="1"/>
    <d v="2024-07-06T00:00:00"/>
    <d v="2024-07-12T00:00:00"/>
  </r>
  <r>
    <n v="2112"/>
    <n v="14545"/>
    <x v="3"/>
    <n v="169055.13"/>
    <x v="0"/>
    <n v="34"/>
    <x v="2"/>
    <d v="2024-12-02T00:00:00"/>
    <d v="2025-01-05T00:00:00"/>
  </r>
  <r>
    <n v="2113"/>
    <n v="15339"/>
    <x v="3"/>
    <n v="137052.07"/>
    <x v="2"/>
    <m/>
    <x v="3"/>
    <d v="2024-01-23T00:00:00"/>
    <m/>
  </r>
  <r>
    <n v="2114"/>
    <n v="19056"/>
    <x v="3"/>
    <n v="141071.92000000001"/>
    <x v="0"/>
    <n v="6"/>
    <x v="2"/>
    <d v="2024-09-17T00:00:00"/>
    <d v="2024-09-23T00:00:00"/>
  </r>
  <r>
    <n v="2115"/>
    <n v="19992"/>
    <x v="3"/>
    <n v="109507.52"/>
    <x v="2"/>
    <m/>
    <x v="2"/>
    <d v="2024-07-12T00:00:00"/>
    <m/>
  </r>
  <r>
    <n v="2116"/>
    <n v="12716"/>
    <x v="3"/>
    <n v="177619.65"/>
    <x v="1"/>
    <n v="14"/>
    <x v="3"/>
    <d v="2024-05-31T00:00:00"/>
    <d v="2024-06-14T00:00:00"/>
  </r>
  <r>
    <n v="2117"/>
    <n v="14302"/>
    <x v="0"/>
    <n v="54142.87"/>
    <x v="0"/>
    <n v="18"/>
    <x v="2"/>
    <d v="2024-01-18T00:00:00"/>
    <d v="2024-02-05T00:00:00"/>
  </r>
  <r>
    <n v="2118"/>
    <n v="11809"/>
    <x v="0"/>
    <n v="79323.789999999994"/>
    <x v="2"/>
    <m/>
    <x v="1"/>
    <d v="2024-01-27T00:00:00"/>
    <m/>
  </r>
  <r>
    <n v="2119"/>
    <n v="15830"/>
    <x v="3"/>
    <n v="156640.29999999999"/>
    <x v="1"/>
    <n v="26"/>
    <x v="2"/>
    <d v="2024-01-24T00:00:00"/>
    <d v="2024-02-19T00:00:00"/>
  </r>
  <r>
    <n v="2120"/>
    <n v="11997"/>
    <x v="0"/>
    <n v="101086.03"/>
    <x v="0"/>
    <n v="3"/>
    <x v="1"/>
    <d v="2024-01-29T00:00:00"/>
    <d v="2024-02-01T00:00:00"/>
  </r>
  <r>
    <n v="2121"/>
    <n v="12931"/>
    <x v="0"/>
    <n v="178396.73"/>
    <x v="0"/>
    <n v="25"/>
    <x v="1"/>
    <d v="2024-05-18T00:00:00"/>
    <d v="2024-06-12T00:00:00"/>
  </r>
  <r>
    <n v="2122"/>
    <n v="12130"/>
    <x v="1"/>
    <n v="72547.87"/>
    <x v="0"/>
    <n v="37"/>
    <x v="1"/>
    <d v="2024-05-25T00:00:00"/>
    <d v="2024-07-01T00:00:00"/>
  </r>
  <r>
    <n v="2123"/>
    <n v="14412"/>
    <x v="3"/>
    <n v="77019.38"/>
    <x v="0"/>
    <n v="26"/>
    <x v="0"/>
    <d v="2024-05-02T00:00:00"/>
    <d v="2024-05-28T00:00:00"/>
  </r>
  <r>
    <n v="2124"/>
    <n v="16513"/>
    <x v="1"/>
    <n v="178303.48"/>
    <x v="1"/>
    <n v="35"/>
    <x v="2"/>
    <d v="2024-05-07T00:00:00"/>
    <d v="2024-06-11T00:00:00"/>
  </r>
  <r>
    <n v="2125"/>
    <n v="12796"/>
    <x v="2"/>
    <n v="95552.21"/>
    <x v="0"/>
    <n v="13"/>
    <x v="3"/>
    <d v="2024-04-26T00:00:00"/>
    <d v="2024-05-09T00:00:00"/>
  </r>
  <r>
    <n v="2126"/>
    <n v="17748"/>
    <x v="1"/>
    <n v="105644.29"/>
    <x v="0"/>
    <n v="20"/>
    <x v="3"/>
    <d v="2024-05-11T00:00:00"/>
    <d v="2024-05-31T00:00:00"/>
  </r>
  <r>
    <n v="2127"/>
    <n v="16323"/>
    <x v="3"/>
    <n v="69888.92"/>
    <x v="0"/>
    <n v="43"/>
    <x v="2"/>
    <d v="2024-10-15T00:00:00"/>
    <d v="2024-11-27T00:00:00"/>
  </r>
  <r>
    <n v="2128"/>
    <n v="16745"/>
    <x v="1"/>
    <n v="58950.64"/>
    <x v="1"/>
    <n v="31"/>
    <x v="0"/>
    <d v="2024-07-24T00:00:00"/>
    <d v="2024-08-24T00:00:00"/>
  </r>
  <r>
    <n v="2129"/>
    <n v="15202"/>
    <x v="1"/>
    <n v="132910"/>
    <x v="0"/>
    <n v="38"/>
    <x v="0"/>
    <d v="2024-08-23T00:00:00"/>
    <d v="2024-09-30T00:00:00"/>
  </r>
  <r>
    <n v="2130"/>
    <n v="11555"/>
    <x v="1"/>
    <n v="28368.93"/>
    <x v="0"/>
    <n v="44"/>
    <x v="1"/>
    <d v="2024-02-11T00:00:00"/>
    <d v="2024-03-26T00:00:00"/>
  </r>
  <r>
    <n v="2131"/>
    <n v="18181"/>
    <x v="3"/>
    <n v="176458.17"/>
    <x v="0"/>
    <n v="2"/>
    <x v="2"/>
    <d v="2024-06-08T00:00:00"/>
    <d v="2024-06-10T00:00:00"/>
  </r>
  <r>
    <n v="2132"/>
    <n v="14443"/>
    <x v="3"/>
    <n v="156944.60999999999"/>
    <x v="0"/>
    <n v="4"/>
    <x v="2"/>
    <d v="2024-09-08T00:00:00"/>
    <d v="2024-09-12T00:00:00"/>
  </r>
  <r>
    <n v="2133"/>
    <n v="18522"/>
    <x v="0"/>
    <n v="42195.91"/>
    <x v="0"/>
    <n v="27"/>
    <x v="3"/>
    <d v="2024-06-27T00:00:00"/>
    <d v="2024-07-24T00:00:00"/>
  </r>
  <r>
    <n v="2134"/>
    <n v="14705"/>
    <x v="0"/>
    <n v="140333.89000000001"/>
    <x v="0"/>
    <n v="16"/>
    <x v="2"/>
    <d v="2024-05-04T00:00:00"/>
    <d v="2024-05-20T00:00:00"/>
  </r>
  <r>
    <n v="2135"/>
    <n v="14839"/>
    <x v="3"/>
    <n v="122513.42"/>
    <x v="0"/>
    <n v="29"/>
    <x v="0"/>
    <d v="2024-09-16T00:00:00"/>
    <d v="2024-10-15T00:00:00"/>
  </r>
  <r>
    <n v="2136"/>
    <n v="13958"/>
    <x v="2"/>
    <n v="40984.33"/>
    <x v="0"/>
    <n v="5"/>
    <x v="2"/>
    <d v="2024-10-02T00:00:00"/>
    <d v="2024-10-07T00:00:00"/>
  </r>
  <r>
    <n v="2137"/>
    <n v="14664"/>
    <x v="3"/>
    <n v="58274.68"/>
    <x v="2"/>
    <m/>
    <x v="3"/>
    <d v="2024-07-31T00:00:00"/>
    <m/>
  </r>
  <r>
    <n v="2138"/>
    <n v="19876"/>
    <x v="1"/>
    <n v="84752.37"/>
    <x v="0"/>
    <n v="25"/>
    <x v="1"/>
    <d v="2024-11-19T00:00:00"/>
    <d v="2024-12-14T00:00:00"/>
  </r>
  <r>
    <n v="2139"/>
    <n v="19162"/>
    <x v="1"/>
    <n v="141352.32999999999"/>
    <x v="0"/>
    <n v="41"/>
    <x v="3"/>
    <d v="2024-07-08T00:00:00"/>
    <d v="2024-08-18T00:00:00"/>
  </r>
  <r>
    <n v="2140"/>
    <n v="10746"/>
    <x v="0"/>
    <n v="129551.06"/>
    <x v="0"/>
    <n v="7"/>
    <x v="3"/>
    <d v="2024-02-27T00:00:00"/>
    <d v="2024-03-05T00:00:00"/>
  </r>
  <r>
    <n v="2141"/>
    <n v="12184"/>
    <x v="2"/>
    <n v="108785.8"/>
    <x v="0"/>
    <n v="17"/>
    <x v="1"/>
    <d v="2024-07-21T00:00:00"/>
    <d v="2024-08-07T00:00:00"/>
  </r>
  <r>
    <n v="2142"/>
    <n v="17946"/>
    <x v="3"/>
    <n v="154840.06"/>
    <x v="0"/>
    <n v="33"/>
    <x v="3"/>
    <d v="2024-03-20T00:00:00"/>
    <d v="2024-04-22T00:00:00"/>
  </r>
  <r>
    <n v="2143"/>
    <n v="19576"/>
    <x v="0"/>
    <n v="152797.85999999999"/>
    <x v="0"/>
    <n v="31"/>
    <x v="3"/>
    <d v="2024-08-15T00:00:00"/>
    <d v="2024-09-15T00:00:00"/>
  </r>
  <r>
    <n v="2144"/>
    <n v="15321"/>
    <x v="3"/>
    <n v="125482.54"/>
    <x v="0"/>
    <n v="36"/>
    <x v="2"/>
    <d v="2024-04-04T00:00:00"/>
    <d v="2024-05-10T00:00:00"/>
  </r>
  <r>
    <n v="2145"/>
    <n v="19210"/>
    <x v="1"/>
    <n v="158463.07"/>
    <x v="0"/>
    <n v="9"/>
    <x v="2"/>
    <d v="2024-01-04T00:00:00"/>
    <d v="2024-01-13T00:00:00"/>
  </r>
  <r>
    <n v="2146"/>
    <n v="17148"/>
    <x v="1"/>
    <n v="70181.36"/>
    <x v="0"/>
    <n v="6"/>
    <x v="1"/>
    <d v="2024-06-13T00:00:00"/>
    <d v="2024-06-19T00:00:00"/>
  </r>
  <r>
    <n v="2147"/>
    <n v="12024"/>
    <x v="1"/>
    <n v="176843.66"/>
    <x v="1"/>
    <n v="38"/>
    <x v="2"/>
    <d v="2024-10-26T00:00:00"/>
    <d v="2024-12-03T00:00:00"/>
  </r>
  <r>
    <n v="2148"/>
    <n v="16173"/>
    <x v="3"/>
    <n v="124907.47"/>
    <x v="0"/>
    <n v="13"/>
    <x v="2"/>
    <d v="2024-02-11T00:00:00"/>
    <d v="2024-02-24T00:00:00"/>
  </r>
  <r>
    <n v="2149"/>
    <n v="19734"/>
    <x v="0"/>
    <n v="165360.89000000001"/>
    <x v="0"/>
    <n v="26"/>
    <x v="3"/>
    <d v="2024-10-11T00:00:00"/>
    <d v="2024-11-06T00:00:00"/>
  </r>
  <r>
    <n v="2150"/>
    <n v="12711"/>
    <x v="3"/>
    <n v="111524.43"/>
    <x v="0"/>
    <n v="34"/>
    <x v="0"/>
    <d v="2024-08-16T00:00:00"/>
    <d v="2024-09-19T00:00:00"/>
  </r>
  <r>
    <n v="2151"/>
    <n v="17018"/>
    <x v="3"/>
    <n v="47595.46"/>
    <x v="0"/>
    <n v="40"/>
    <x v="2"/>
    <d v="2024-08-30T00:00:00"/>
    <d v="2024-10-09T00:00:00"/>
  </r>
  <r>
    <n v="2152"/>
    <n v="19646"/>
    <x v="1"/>
    <n v="110769.98"/>
    <x v="0"/>
    <n v="25"/>
    <x v="0"/>
    <d v="2024-07-30T00:00:00"/>
    <d v="2024-08-24T00:00:00"/>
  </r>
  <r>
    <n v="2153"/>
    <n v="17197"/>
    <x v="3"/>
    <n v="77366.77"/>
    <x v="0"/>
    <n v="12"/>
    <x v="2"/>
    <d v="2024-10-26T00:00:00"/>
    <d v="2024-11-07T00:00:00"/>
  </r>
  <r>
    <n v="2154"/>
    <n v="11702"/>
    <x v="0"/>
    <n v="141012.31"/>
    <x v="0"/>
    <n v="43"/>
    <x v="2"/>
    <d v="2024-02-24T00:00:00"/>
    <d v="2024-04-07T00:00:00"/>
  </r>
  <r>
    <n v="2155"/>
    <n v="15529"/>
    <x v="3"/>
    <n v="97779.79"/>
    <x v="0"/>
    <n v="36"/>
    <x v="1"/>
    <d v="2024-12-01T00:00:00"/>
    <d v="2025-01-06T00:00:00"/>
  </r>
  <r>
    <n v="2156"/>
    <n v="17216"/>
    <x v="3"/>
    <n v="168042"/>
    <x v="0"/>
    <n v="41"/>
    <x v="1"/>
    <d v="2024-06-21T00:00:00"/>
    <d v="2024-08-01T00:00:00"/>
  </r>
  <r>
    <n v="2157"/>
    <n v="17655"/>
    <x v="0"/>
    <n v="137224.14000000001"/>
    <x v="2"/>
    <m/>
    <x v="1"/>
    <d v="2024-10-03T00:00:00"/>
    <m/>
  </r>
  <r>
    <n v="2158"/>
    <n v="15417"/>
    <x v="1"/>
    <n v="138486.16"/>
    <x v="0"/>
    <n v="9"/>
    <x v="0"/>
    <d v="2024-11-29T00:00:00"/>
    <d v="2024-12-08T00:00:00"/>
  </r>
  <r>
    <n v="2159"/>
    <n v="16324"/>
    <x v="3"/>
    <n v="47345.29"/>
    <x v="0"/>
    <n v="24"/>
    <x v="3"/>
    <d v="2024-08-16T00:00:00"/>
    <d v="2024-09-09T00:00:00"/>
  </r>
  <r>
    <n v="2160"/>
    <n v="13873"/>
    <x v="1"/>
    <n v="196928.7"/>
    <x v="1"/>
    <n v="21"/>
    <x v="2"/>
    <d v="2024-01-30T00:00:00"/>
    <d v="2024-02-20T00:00:00"/>
  </r>
  <r>
    <n v="2161"/>
    <n v="18313"/>
    <x v="1"/>
    <n v="169126.67"/>
    <x v="0"/>
    <n v="33"/>
    <x v="2"/>
    <d v="2024-01-23T00:00:00"/>
    <d v="2024-02-25T00:00:00"/>
  </r>
  <r>
    <n v="2162"/>
    <n v="19668"/>
    <x v="1"/>
    <n v="158855.95000000001"/>
    <x v="0"/>
    <n v="12"/>
    <x v="2"/>
    <d v="2024-01-05T00:00:00"/>
    <d v="2024-01-17T00:00:00"/>
  </r>
  <r>
    <n v="2163"/>
    <n v="10265"/>
    <x v="3"/>
    <n v="69391.97"/>
    <x v="0"/>
    <n v="8"/>
    <x v="0"/>
    <d v="2024-03-03T00:00:00"/>
    <d v="2024-03-11T00:00:00"/>
  </r>
  <r>
    <n v="2164"/>
    <n v="18219"/>
    <x v="0"/>
    <n v="109448.17"/>
    <x v="0"/>
    <n v="31"/>
    <x v="1"/>
    <d v="2024-08-08T00:00:00"/>
    <d v="2024-09-08T00:00:00"/>
  </r>
  <r>
    <n v="2165"/>
    <n v="15378"/>
    <x v="0"/>
    <n v="31735.119999999999"/>
    <x v="0"/>
    <n v="40"/>
    <x v="3"/>
    <d v="2024-11-10T00:00:00"/>
    <d v="2024-12-20T00:00:00"/>
  </r>
  <r>
    <n v="2166"/>
    <n v="12124"/>
    <x v="1"/>
    <n v="110002.82"/>
    <x v="1"/>
    <n v="14"/>
    <x v="0"/>
    <d v="2024-03-22T00:00:00"/>
    <d v="2024-04-05T00:00:00"/>
  </r>
  <r>
    <n v="2167"/>
    <n v="10431"/>
    <x v="3"/>
    <n v="33448.400000000001"/>
    <x v="0"/>
    <n v="43"/>
    <x v="1"/>
    <d v="2024-08-29T00:00:00"/>
    <d v="2024-10-11T00:00:00"/>
  </r>
  <r>
    <n v="2168"/>
    <n v="14974"/>
    <x v="0"/>
    <n v="112842.38"/>
    <x v="0"/>
    <n v="4"/>
    <x v="0"/>
    <d v="2024-09-09T00:00:00"/>
    <d v="2024-09-13T00:00:00"/>
  </r>
  <r>
    <n v="2169"/>
    <n v="13777"/>
    <x v="1"/>
    <n v="131500.76999999999"/>
    <x v="1"/>
    <n v="8"/>
    <x v="3"/>
    <d v="2024-02-21T00:00:00"/>
    <d v="2024-02-29T00:00:00"/>
  </r>
  <r>
    <n v="2170"/>
    <n v="17037"/>
    <x v="1"/>
    <n v="81088.210000000006"/>
    <x v="1"/>
    <n v="44"/>
    <x v="1"/>
    <d v="2024-11-16T00:00:00"/>
    <d v="2024-12-30T00:00:00"/>
  </r>
  <r>
    <n v="2171"/>
    <n v="11085"/>
    <x v="3"/>
    <n v="102216.25"/>
    <x v="0"/>
    <n v="14"/>
    <x v="0"/>
    <d v="2024-02-08T00:00:00"/>
    <d v="2024-02-22T00:00:00"/>
  </r>
  <r>
    <n v="2172"/>
    <n v="16195"/>
    <x v="0"/>
    <n v="175752.41"/>
    <x v="0"/>
    <n v="38"/>
    <x v="3"/>
    <d v="2024-09-15T00:00:00"/>
    <d v="2024-10-23T00:00:00"/>
  </r>
  <r>
    <n v="2173"/>
    <n v="16259"/>
    <x v="1"/>
    <n v="26169.81"/>
    <x v="0"/>
    <n v="26"/>
    <x v="2"/>
    <d v="2024-11-22T00:00:00"/>
    <d v="2024-12-18T00:00:00"/>
  </r>
  <r>
    <n v="2174"/>
    <n v="12485"/>
    <x v="3"/>
    <n v="159387.91"/>
    <x v="0"/>
    <n v="24"/>
    <x v="3"/>
    <d v="2024-09-27T00:00:00"/>
    <d v="2024-10-21T00:00:00"/>
  </r>
  <r>
    <n v="2175"/>
    <n v="18292"/>
    <x v="3"/>
    <n v="38297.14"/>
    <x v="0"/>
    <n v="34"/>
    <x v="2"/>
    <d v="2024-03-12T00:00:00"/>
    <d v="2024-04-15T00:00:00"/>
  </r>
  <r>
    <n v="2176"/>
    <n v="15398"/>
    <x v="0"/>
    <n v="12158.06"/>
    <x v="0"/>
    <n v="6"/>
    <x v="0"/>
    <d v="2024-03-10T00:00:00"/>
    <d v="2024-03-16T00:00:00"/>
  </r>
  <r>
    <n v="2177"/>
    <n v="15078"/>
    <x v="3"/>
    <n v="41187.050000000003"/>
    <x v="2"/>
    <m/>
    <x v="1"/>
    <d v="2024-08-07T00:00:00"/>
    <m/>
  </r>
  <r>
    <n v="2178"/>
    <n v="17202"/>
    <x v="2"/>
    <n v="154183.42000000001"/>
    <x v="0"/>
    <n v="31"/>
    <x v="1"/>
    <d v="2024-01-04T00:00:00"/>
    <d v="2024-02-04T00:00:00"/>
  </r>
  <r>
    <n v="2179"/>
    <n v="13048"/>
    <x v="1"/>
    <n v="83999.58"/>
    <x v="0"/>
    <n v="32"/>
    <x v="0"/>
    <d v="2024-12-15T00:00:00"/>
    <d v="2025-01-16T00:00:00"/>
  </r>
  <r>
    <n v="2180"/>
    <n v="16502"/>
    <x v="1"/>
    <n v="175141.5"/>
    <x v="0"/>
    <n v="14"/>
    <x v="1"/>
    <d v="2024-10-16T00:00:00"/>
    <d v="2024-10-30T00:00:00"/>
  </r>
  <r>
    <n v="2181"/>
    <n v="10799"/>
    <x v="3"/>
    <n v="107317.97"/>
    <x v="0"/>
    <n v="43"/>
    <x v="1"/>
    <d v="2024-10-18T00:00:00"/>
    <d v="2024-11-30T00:00:00"/>
  </r>
  <r>
    <n v="2182"/>
    <n v="13822"/>
    <x v="3"/>
    <n v="9338.82"/>
    <x v="0"/>
    <n v="6"/>
    <x v="2"/>
    <d v="2024-12-20T00:00:00"/>
    <d v="2024-12-26T00:00:00"/>
  </r>
  <r>
    <n v="2183"/>
    <n v="15611"/>
    <x v="2"/>
    <n v="144759.15"/>
    <x v="0"/>
    <n v="24"/>
    <x v="0"/>
    <d v="2024-08-18T00:00:00"/>
    <d v="2024-09-11T00:00:00"/>
  </r>
  <r>
    <n v="2184"/>
    <n v="16009"/>
    <x v="3"/>
    <n v="26495.42"/>
    <x v="1"/>
    <n v="2"/>
    <x v="3"/>
    <d v="2024-03-20T00:00:00"/>
    <d v="2024-03-22T00:00:00"/>
  </r>
  <r>
    <n v="2185"/>
    <n v="19487"/>
    <x v="1"/>
    <n v="158929.03"/>
    <x v="0"/>
    <n v="11"/>
    <x v="2"/>
    <d v="2024-03-06T00:00:00"/>
    <d v="2024-03-17T00:00:00"/>
  </r>
  <r>
    <n v="2186"/>
    <n v="15263"/>
    <x v="3"/>
    <n v="37780"/>
    <x v="0"/>
    <n v="28"/>
    <x v="0"/>
    <d v="2024-05-15T00:00:00"/>
    <d v="2024-06-12T00:00:00"/>
  </r>
  <r>
    <n v="2187"/>
    <n v="18626"/>
    <x v="3"/>
    <n v="72362.05"/>
    <x v="0"/>
    <n v="9"/>
    <x v="2"/>
    <d v="2024-07-09T00:00:00"/>
    <d v="2024-07-18T00:00:00"/>
  </r>
  <r>
    <n v="2188"/>
    <n v="15570"/>
    <x v="3"/>
    <n v="153447.93"/>
    <x v="0"/>
    <n v="4"/>
    <x v="3"/>
    <d v="2024-12-12T00:00:00"/>
    <d v="2024-12-16T00:00:00"/>
  </r>
  <r>
    <n v="2189"/>
    <n v="19107"/>
    <x v="1"/>
    <n v="191075.11"/>
    <x v="0"/>
    <n v="20"/>
    <x v="3"/>
    <d v="2024-12-01T00:00:00"/>
    <d v="2024-12-21T00:00:00"/>
  </r>
  <r>
    <n v="2190"/>
    <n v="14640"/>
    <x v="2"/>
    <n v="77429.62"/>
    <x v="1"/>
    <n v="3"/>
    <x v="0"/>
    <d v="2024-02-28T00:00:00"/>
    <d v="2024-03-02T00:00:00"/>
  </r>
  <r>
    <n v="2191"/>
    <n v="15333"/>
    <x v="3"/>
    <n v="166733.04"/>
    <x v="2"/>
    <m/>
    <x v="3"/>
    <d v="2024-09-22T00:00:00"/>
    <m/>
  </r>
  <r>
    <n v="2192"/>
    <n v="18839"/>
    <x v="3"/>
    <n v="42204.49"/>
    <x v="0"/>
    <n v="11"/>
    <x v="2"/>
    <d v="2024-01-07T00:00:00"/>
    <d v="2024-01-18T00:00:00"/>
  </r>
  <r>
    <n v="2193"/>
    <n v="12295"/>
    <x v="3"/>
    <n v="162400.06"/>
    <x v="0"/>
    <n v="17"/>
    <x v="3"/>
    <d v="2024-07-20T00:00:00"/>
    <d v="2024-08-06T00:00:00"/>
  </r>
  <r>
    <n v="2194"/>
    <n v="11431"/>
    <x v="1"/>
    <n v="133211.34"/>
    <x v="1"/>
    <n v="38"/>
    <x v="2"/>
    <d v="2024-11-27T00:00:00"/>
    <d v="2025-01-04T00:00:00"/>
  </r>
  <r>
    <n v="2195"/>
    <n v="15172"/>
    <x v="3"/>
    <n v="42584.98"/>
    <x v="0"/>
    <n v="21"/>
    <x v="2"/>
    <d v="2024-08-24T00:00:00"/>
    <d v="2024-09-14T00:00:00"/>
  </r>
  <r>
    <n v="2196"/>
    <n v="12361"/>
    <x v="0"/>
    <n v="63988.27"/>
    <x v="0"/>
    <n v="4"/>
    <x v="3"/>
    <d v="2024-09-24T00:00:00"/>
    <d v="2024-09-28T00:00:00"/>
  </r>
  <r>
    <n v="2197"/>
    <n v="17541"/>
    <x v="1"/>
    <n v="30695.32"/>
    <x v="0"/>
    <n v="36"/>
    <x v="0"/>
    <d v="2024-03-19T00:00:00"/>
    <d v="2024-04-24T00:00:00"/>
  </r>
  <r>
    <n v="2198"/>
    <n v="10723"/>
    <x v="1"/>
    <n v="79678.570000000007"/>
    <x v="1"/>
    <n v="35"/>
    <x v="1"/>
    <d v="2024-02-15T00:00:00"/>
    <d v="2024-03-21T00:00:00"/>
  </r>
  <r>
    <n v="2199"/>
    <n v="11547"/>
    <x v="3"/>
    <n v="44711.49"/>
    <x v="0"/>
    <n v="22"/>
    <x v="3"/>
    <d v="2024-08-30T00:00:00"/>
    <d v="2024-09-21T00:00:00"/>
  </r>
  <r>
    <n v="2200"/>
    <n v="19171"/>
    <x v="2"/>
    <n v="130579.6"/>
    <x v="1"/>
    <n v="37"/>
    <x v="2"/>
    <d v="2024-10-14T00:00:00"/>
    <d v="2024-11-20T00:00:00"/>
  </r>
  <r>
    <n v="2201"/>
    <n v="18275"/>
    <x v="3"/>
    <n v="198928.5"/>
    <x v="1"/>
    <n v="33"/>
    <x v="2"/>
    <d v="2024-06-08T00:00:00"/>
    <d v="2024-07-11T00:00:00"/>
  </r>
  <r>
    <n v="2202"/>
    <n v="11365"/>
    <x v="3"/>
    <n v="7341.79"/>
    <x v="0"/>
    <n v="19"/>
    <x v="3"/>
    <d v="2024-04-24T00:00:00"/>
    <d v="2024-05-13T00:00:00"/>
  </r>
  <r>
    <n v="2203"/>
    <n v="18741"/>
    <x v="1"/>
    <n v="110479.36"/>
    <x v="1"/>
    <n v="35"/>
    <x v="0"/>
    <d v="2024-04-23T00:00:00"/>
    <d v="2024-05-28T00:00:00"/>
  </r>
  <r>
    <n v="2204"/>
    <n v="13853"/>
    <x v="1"/>
    <n v="116864.99"/>
    <x v="1"/>
    <n v="39"/>
    <x v="0"/>
    <d v="2024-05-05T00:00:00"/>
    <d v="2024-06-13T00:00:00"/>
  </r>
  <r>
    <n v="2205"/>
    <n v="14682"/>
    <x v="3"/>
    <n v="183270.71"/>
    <x v="0"/>
    <n v="4"/>
    <x v="2"/>
    <d v="2024-03-30T00:00:00"/>
    <d v="2024-04-03T00:00:00"/>
  </r>
  <r>
    <n v="2206"/>
    <n v="15960"/>
    <x v="3"/>
    <n v="103671.03999999999"/>
    <x v="0"/>
    <n v="4"/>
    <x v="2"/>
    <d v="2024-03-01T00:00:00"/>
    <d v="2024-03-05T00:00:00"/>
  </r>
  <r>
    <n v="2207"/>
    <n v="18343"/>
    <x v="1"/>
    <n v="111021.78"/>
    <x v="0"/>
    <n v="28"/>
    <x v="0"/>
    <d v="2024-11-12T00:00:00"/>
    <d v="2024-12-10T00:00:00"/>
  </r>
  <r>
    <n v="2208"/>
    <n v="17689"/>
    <x v="3"/>
    <n v="96972.3"/>
    <x v="0"/>
    <n v="3"/>
    <x v="1"/>
    <d v="2024-04-11T00:00:00"/>
    <d v="2024-04-14T00:00:00"/>
  </r>
  <r>
    <n v="2209"/>
    <n v="15157"/>
    <x v="0"/>
    <n v="57436.34"/>
    <x v="0"/>
    <n v="4"/>
    <x v="3"/>
    <d v="2024-04-23T00:00:00"/>
    <d v="2024-04-27T00:00:00"/>
  </r>
  <r>
    <n v="2210"/>
    <n v="13498"/>
    <x v="1"/>
    <n v="15925.68"/>
    <x v="0"/>
    <n v="18"/>
    <x v="2"/>
    <d v="2024-06-22T00:00:00"/>
    <d v="2024-07-10T00:00:00"/>
  </r>
  <r>
    <n v="2211"/>
    <n v="12985"/>
    <x v="3"/>
    <n v="84688.25"/>
    <x v="0"/>
    <n v="40"/>
    <x v="2"/>
    <d v="2024-04-01T00:00:00"/>
    <d v="2024-05-11T00:00:00"/>
  </r>
  <r>
    <n v="2212"/>
    <n v="11567"/>
    <x v="3"/>
    <n v="15255.34"/>
    <x v="1"/>
    <n v="39"/>
    <x v="0"/>
    <d v="2024-07-01T00:00:00"/>
    <d v="2024-08-09T00:00:00"/>
  </r>
  <r>
    <n v="2213"/>
    <n v="18403"/>
    <x v="3"/>
    <n v="112346.03"/>
    <x v="0"/>
    <n v="41"/>
    <x v="3"/>
    <d v="2024-07-23T00:00:00"/>
    <d v="2024-09-02T00:00:00"/>
  </r>
  <r>
    <n v="2214"/>
    <n v="16669"/>
    <x v="1"/>
    <n v="64922.26"/>
    <x v="0"/>
    <n v="20"/>
    <x v="0"/>
    <d v="2024-12-28T00:00:00"/>
    <d v="2025-01-17T00:00:00"/>
  </r>
  <r>
    <n v="2215"/>
    <n v="14191"/>
    <x v="1"/>
    <n v="109052.47"/>
    <x v="0"/>
    <n v="20"/>
    <x v="3"/>
    <d v="2024-07-13T00:00:00"/>
    <d v="2024-08-02T00:00:00"/>
  </r>
  <r>
    <n v="2216"/>
    <n v="19718"/>
    <x v="3"/>
    <n v="31187.91"/>
    <x v="0"/>
    <n v="6"/>
    <x v="3"/>
    <d v="2024-10-31T00:00:00"/>
    <d v="2024-11-06T00:00:00"/>
  </r>
  <r>
    <n v="2217"/>
    <n v="17156"/>
    <x v="1"/>
    <n v="186862.84"/>
    <x v="0"/>
    <n v="6"/>
    <x v="3"/>
    <d v="2024-01-25T00:00:00"/>
    <d v="2024-01-31T00:00:00"/>
  </r>
  <r>
    <n v="2218"/>
    <n v="18713"/>
    <x v="2"/>
    <n v="179431.64"/>
    <x v="0"/>
    <n v="15"/>
    <x v="2"/>
    <d v="2024-08-21T00:00:00"/>
    <d v="2024-09-05T00:00:00"/>
  </r>
  <r>
    <n v="2219"/>
    <n v="16517"/>
    <x v="3"/>
    <n v="42049.32"/>
    <x v="0"/>
    <n v="28"/>
    <x v="1"/>
    <d v="2024-01-16T00:00:00"/>
    <d v="2024-02-13T00:00:00"/>
  </r>
  <r>
    <n v="2220"/>
    <n v="15135"/>
    <x v="2"/>
    <n v="71971.64"/>
    <x v="1"/>
    <n v="37"/>
    <x v="0"/>
    <d v="2024-05-20T00:00:00"/>
    <d v="2024-06-26T00:00:00"/>
  </r>
  <r>
    <n v="2221"/>
    <n v="19894"/>
    <x v="3"/>
    <n v="124631.09"/>
    <x v="1"/>
    <n v="41"/>
    <x v="1"/>
    <d v="2024-04-17T00:00:00"/>
    <d v="2024-05-28T00:00:00"/>
  </r>
  <r>
    <n v="2222"/>
    <n v="16751"/>
    <x v="3"/>
    <n v="23658.81"/>
    <x v="0"/>
    <n v="36"/>
    <x v="0"/>
    <d v="2024-10-26T00:00:00"/>
    <d v="2024-12-01T00:00:00"/>
  </r>
  <r>
    <n v="2223"/>
    <n v="18209"/>
    <x v="3"/>
    <n v="74140.73"/>
    <x v="1"/>
    <n v="22"/>
    <x v="3"/>
    <d v="2024-12-04T00:00:00"/>
    <d v="2024-12-26T00:00:00"/>
  </r>
  <r>
    <n v="2224"/>
    <n v="17174"/>
    <x v="3"/>
    <n v="53966.9"/>
    <x v="1"/>
    <n v="6"/>
    <x v="2"/>
    <d v="2024-10-29T00:00:00"/>
    <d v="2024-11-04T00:00:00"/>
  </r>
  <r>
    <n v="2225"/>
    <n v="11719"/>
    <x v="3"/>
    <n v="183525.76000000001"/>
    <x v="0"/>
    <n v="25"/>
    <x v="1"/>
    <d v="2024-03-20T00:00:00"/>
    <d v="2024-04-14T00:00:00"/>
  </r>
  <r>
    <n v="2226"/>
    <n v="18061"/>
    <x v="3"/>
    <n v="171239.57"/>
    <x v="2"/>
    <m/>
    <x v="2"/>
    <d v="2024-03-16T00:00:00"/>
    <m/>
  </r>
  <r>
    <n v="2227"/>
    <n v="14014"/>
    <x v="2"/>
    <n v="118067.38"/>
    <x v="1"/>
    <n v="25"/>
    <x v="0"/>
    <d v="2024-10-02T00:00:00"/>
    <d v="2024-10-27T00:00:00"/>
  </r>
  <r>
    <n v="2228"/>
    <n v="10878"/>
    <x v="0"/>
    <n v="106467.54"/>
    <x v="0"/>
    <n v="41"/>
    <x v="2"/>
    <d v="2024-09-24T00:00:00"/>
    <d v="2024-11-04T00:00:00"/>
  </r>
  <r>
    <n v="2229"/>
    <n v="18785"/>
    <x v="1"/>
    <n v="186491.53"/>
    <x v="0"/>
    <n v="44"/>
    <x v="2"/>
    <d v="2024-04-21T00:00:00"/>
    <d v="2024-06-04T00:00:00"/>
  </r>
  <r>
    <n v="2230"/>
    <n v="16272"/>
    <x v="3"/>
    <n v="186823.42"/>
    <x v="0"/>
    <n v="14"/>
    <x v="1"/>
    <d v="2024-11-11T00:00:00"/>
    <d v="2024-11-25T00:00:00"/>
  </r>
  <r>
    <n v="2231"/>
    <n v="11609"/>
    <x v="3"/>
    <n v="194019.37"/>
    <x v="0"/>
    <n v="39"/>
    <x v="3"/>
    <d v="2024-03-15T00:00:00"/>
    <d v="2024-04-23T00:00:00"/>
  </r>
  <r>
    <n v="2232"/>
    <n v="19067"/>
    <x v="3"/>
    <n v="29448.880000000001"/>
    <x v="1"/>
    <n v="2"/>
    <x v="2"/>
    <d v="2024-08-01T00:00:00"/>
    <d v="2024-08-03T00:00:00"/>
  </r>
  <r>
    <n v="2233"/>
    <n v="16714"/>
    <x v="1"/>
    <n v="36308.769999999997"/>
    <x v="0"/>
    <n v="44"/>
    <x v="3"/>
    <d v="2024-02-03T00:00:00"/>
    <d v="2024-03-18T00:00:00"/>
  </r>
  <r>
    <n v="2234"/>
    <n v="15109"/>
    <x v="2"/>
    <n v="136963.66"/>
    <x v="1"/>
    <n v="40"/>
    <x v="0"/>
    <d v="2024-05-20T00:00:00"/>
    <d v="2024-06-29T00:00:00"/>
  </r>
  <r>
    <n v="2235"/>
    <n v="12448"/>
    <x v="3"/>
    <n v="110579.72"/>
    <x v="1"/>
    <n v="11"/>
    <x v="2"/>
    <d v="2024-06-14T00:00:00"/>
    <d v="2024-06-25T00:00:00"/>
  </r>
  <r>
    <n v="2236"/>
    <n v="12136"/>
    <x v="3"/>
    <n v="8600.85"/>
    <x v="0"/>
    <n v="3"/>
    <x v="1"/>
    <d v="2024-08-18T00:00:00"/>
    <d v="2024-08-21T00:00:00"/>
  </r>
  <r>
    <n v="2237"/>
    <n v="16966"/>
    <x v="1"/>
    <n v="17085.13"/>
    <x v="0"/>
    <n v="17"/>
    <x v="0"/>
    <d v="2024-10-18T00:00:00"/>
    <d v="2024-11-04T00:00:00"/>
  </r>
  <r>
    <n v="2238"/>
    <n v="12053"/>
    <x v="3"/>
    <n v="178175.67"/>
    <x v="0"/>
    <n v="38"/>
    <x v="0"/>
    <d v="2024-01-28T00:00:00"/>
    <d v="2024-03-06T00:00:00"/>
  </r>
  <r>
    <n v="2239"/>
    <n v="17763"/>
    <x v="3"/>
    <n v="174429.81"/>
    <x v="0"/>
    <n v="17"/>
    <x v="1"/>
    <d v="2024-10-21T00:00:00"/>
    <d v="2024-11-07T00:00:00"/>
  </r>
  <r>
    <n v="2240"/>
    <n v="10083"/>
    <x v="1"/>
    <n v="74667.83"/>
    <x v="0"/>
    <n v="24"/>
    <x v="2"/>
    <d v="2024-11-28T00:00:00"/>
    <d v="2024-12-22T00:00:00"/>
  </r>
  <r>
    <n v="2241"/>
    <n v="19631"/>
    <x v="1"/>
    <n v="178754.87"/>
    <x v="0"/>
    <n v="27"/>
    <x v="2"/>
    <d v="2024-12-25T00:00:00"/>
    <d v="2025-01-21T00:00:00"/>
  </r>
  <r>
    <n v="2242"/>
    <n v="12668"/>
    <x v="3"/>
    <n v="120766.64"/>
    <x v="0"/>
    <n v="17"/>
    <x v="0"/>
    <d v="2024-03-31T00:00:00"/>
    <d v="2024-04-17T00:00:00"/>
  </r>
  <r>
    <n v="2243"/>
    <n v="15231"/>
    <x v="3"/>
    <n v="162151.6"/>
    <x v="1"/>
    <n v="28"/>
    <x v="2"/>
    <d v="2024-04-24T00:00:00"/>
    <d v="2024-05-22T00:00:00"/>
  </r>
  <r>
    <n v="2244"/>
    <n v="18890"/>
    <x v="2"/>
    <n v="88349.06"/>
    <x v="0"/>
    <n v="42"/>
    <x v="3"/>
    <d v="2024-06-07T00:00:00"/>
    <d v="2024-07-19T00:00:00"/>
  </r>
  <r>
    <n v="2245"/>
    <n v="11820"/>
    <x v="3"/>
    <n v="27112.67"/>
    <x v="0"/>
    <n v="31"/>
    <x v="1"/>
    <d v="2024-09-14T00:00:00"/>
    <d v="2024-10-15T00:00:00"/>
  </r>
  <r>
    <n v="2246"/>
    <n v="14414"/>
    <x v="3"/>
    <n v="89576.78"/>
    <x v="0"/>
    <n v="34"/>
    <x v="3"/>
    <d v="2024-12-03T00:00:00"/>
    <d v="2025-01-06T00:00:00"/>
  </r>
  <r>
    <n v="2247"/>
    <n v="17249"/>
    <x v="3"/>
    <n v="94173.46"/>
    <x v="1"/>
    <n v="33"/>
    <x v="2"/>
    <d v="2024-03-30T00:00:00"/>
    <d v="2024-05-02T00:00:00"/>
  </r>
  <r>
    <n v="2248"/>
    <n v="19290"/>
    <x v="3"/>
    <n v="112434.12"/>
    <x v="0"/>
    <n v="10"/>
    <x v="0"/>
    <d v="2024-09-01T00:00:00"/>
    <d v="2024-09-11T00:00:00"/>
  </r>
  <r>
    <n v="2249"/>
    <n v="16572"/>
    <x v="3"/>
    <n v="25588.63"/>
    <x v="0"/>
    <n v="12"/>
    <x v="1"/>
    <d v="2024-10-24T00:00:00"/>
    <d v="2024-11-05T00:00:00"/>
  </r>
  <r>
    <n v="2250"/>
    <n v="17627"/>
    <x v="0"/>
    <n v="198323.36"/>
    <x v="2"/>
    <m/>
    <x v="2"/>
    <d v="2024-01-31T00:00:00"/>
    <m/>
  </r>
  <r>
    <n v="2251"/>
    <n v="12894"/>
    <x v="3"/>
    <n v="52606.68"/>
    <x v="0"/>
    <n v="7"/>
    <x v="2"/>
    <d v="2024-11-12T00:00:00"/>
    <d v="2024-11-19T00:00:00"/>
  </r>
  <r>
    <n v="2252"/>
    <n v="13417"/>
    <x v="3"/>
    <n v="43717.72"/>
    <x v="0"/>
    <n v="31"/>
    <x v="0"/>
    <d v="2024-12-23T00:00:00"/>
    <d v="2025-01-23T00:00:00"/>
  </r>
  <r>
    <n v="2253"/>
    <n v="10248"/>
    <x v="1"/>
    <n v="107726.57"/>
    <x v="0"/>
    <n v="41"/>
    <x v="0"/>
    <d v="2024-11-07T00:00:00"/>
    <d v="2024-12-18T00:00:00"/>
  </r>
  <r>
    <n v="2254"/>
    <n v="17810"/>
    <x v="1"/>
    <n v="109755.59"/>
    <x v="1"/>
    <n v="16"/>
    <x v="3"/>
    <d v="2024-08-15T00:00:00"/>
    <d v="2024-08-31T00:00:00"/>
  </r>
  <r>
    <n v="2255"/>
    <n v="11890"/>
    <x v="0"/>
    <n v="90765.04"/>
    <x v="0"/>
    <n v="31"/>
    <x v="1"/>
    <d v="2024-12-04T00:00:00"/>
    <d v="2025-01-04T00:00:00"/>
  </r>
  <r>
    <n v="2256"/>
    <n v="17880"/>
    <x v="0"/>
    <n v="155518.97"/>
    <x v="0"/>
    <n v="19"/>
    <x v="1"/>
    <d v="2024-05-07T00:00:00"/>
    <d v="2024-05-26T00:00:00"/>
  </r>
  <r>
    <n v="2257"/>
    <n v="12115"/>
    <x v="3"/>
    <n v="105747.61"/>
    <x v="0"/>
    <n v="13"/>
    <x v="0"/>
    <d v="2024-09-26T00:00:00"/>
    <d v="2024-10-09T00:00:00"/>
  </r>
  <r>
    <n v="2258"/>
    <n v="16581"/>
    <x v="1"/>
    <n v="123890.61"/>
    <x v="2"/>
    <m/>
    <x v="3"/>
    <d v="2024-09-26T00:00:00"/>
    <m/>
  </r>
  <r>
    <n v="2259"/>
    <n v="13063"/>
    <x v="3"/>
    <n v="146130.54999999999"/>
    <x v="0"/>
    <n v="17"/>
    <x v="1"/>
    <d v="2024-07-27T00:00:00"/>
    <d v="2024-08-13T00:00:00"/>
  </r>
  <r>
    <n v="2260"/>
    <n v="15651"/>
    <x v="2"/>
    <n v="9879.89"/>
    <x v="0"/>
    <n v="24"/>
    <x v="0"/>
    <d v="2024-06-26T00:00:00"/>
    <d v="2024-07-20T00:00:00"/>
  </r>
  <r>
    <n v="2261"/>
    <n v="11806"/>
    <x v="3"/>
    <n v="116275.62"/>
    <x v="2"/>
    <m/>
    <x v="2"/>
    <d v="2024-11-01T00:00:00"/>
    <m/>
  </r>
  <r>
    <n v="2262"/>
    <n v="17300"/>
    <x v="2"/>
    <n v="177417.92"/>
    <x v="0"/>
    <n v="25"/>
    <x v="1"/>
    <d v="2024-07-09T00:00:00"/>
    <d v="2024-08-03T00:00:00"/>
  </r>
  <r>
    <n v="2263"/>
    <n v="18487"/>
    <x v="1"/>
    <n v="8390.7999999999993"/>
    <x v="2"/>
    <m/>
    <x v="3"/>
    <d v="2024-12-22T00:00:00"/>
    <m/>
  </r>
  <r>
    <n v="2264"/>
    <n v="12694"/>
    <x v="3"/>
    <n v="84010.51"/>
    <x v="2"/>
    <m/>
    <x v="3"/>
    <d v="2024-03-08T00:00:00"/>
    <m/>
  </r>
  <r>
    <n v="2265"/>
    <n v="15493"/>
    <x v="1"/>
    <n v="185614.35"/>
    <x v="1"/>
    <n v="16"/>
    <x v="3"/>
    <d v="2024-11-22T00:00:00"/>
    <d v="2024-12-08T00:00:00"/>
  </r>
  <r>
    <n v="2266"/>
    <n v="18223"/>
    <x v="2"/>
    <n v="73865.11"/>
    <x v="0"/>
    <n v="16"/>
    <x v="2"/>
    <d v="2024-09-23T00:00:00"/>
    <d v="2024-10-09T00:00:00"/>
  </r>
  <r>
    <n v="2267"/>
    <n v="14650"/>
    <x v="0"/>
    <n v="94452.12"/>
    <x v="0"/>
    <n v="11"/>
    <x v="1"/>
    <d v="2024-09-26T00:00:00"/>
    <d v="2024-10-07T00:00:00"/>
  </r>
  <r>
    <n v="2268"/>
    <n v="18126"/>
    <x v="3"/>
    <n v="196400.57"/>
    <x v="1"/>
    <n v="29"/>
    <x v="1"/>
    <d v="2024-12-27T00:00:00"/>
    <d v="2025-01-25T00:00:00"/>
  </r>
  <r>
    <n v="2269"/>
    <n v="10792"/>
    <x v="1"/>
    <n v="43868.15"/>
    <x v="2"/>
    <m/>
    <x v="2"/>
    <d v="2024-12-25T00:00:00"/>
    <m/>
  </r>
  <r>
    <n v="2270"/>
    <n v="14191"/>
    <x v="3"/>
    <n v="17724.759999999998"/>
    <x v="0"/>
    <n v="18"/>
    <x v="1"/>
    <d v="2024-05-07T00:00:00"/>
    <d v="2024-05-25T00:00:00"/>
  </r>
  <r>
    <n v="2271"/>
    <n v="11089"/>
    <x v="3"/>
    <n v="172587.41"/>
    <x v="1"/>
    <n v="37"/>
    <x v="2"/>
    <d v="2024-09-20T00:00:00"/>
    <d v="2024-10-27T00:00:00"/>
  </r>
  <r>
    <n v="2272"/>
    <n v="18421"/>
    <x v="3"/>
    <n v="174350.74"/>
    <x v="0"/>
    <n v="23"/>
    <x v="2"/>
    <d v="2024-08-08T00:00:00"/>
    <d v="2024-08-31T00:00:00"/>
  </r>
  <r>
    <n v="2273"/>
    <n v="12780"/>
    <x v="3"/>
    <n v="97055.18"/>
    <x v="0"/>
    <n v="24"/>
    <x v="2"/>
    <d v="2024-08-29T00:00:00"/>
    <d v="2024-09-22T00:00:00"/>
  </r>
  <r>
    <n v="2274"/>
    <n v="14497"/>
    <x v="0"/>
    <n v="105270.39999999999"/>
    <x v="0"/>
    <n v="30"/>
    <x v="3"/>
    <d v="2024-08-31T00:00:00"/>
    <d v="2024-09-30T00:00:00"/>
  </r>
  <r>
    <n v="2275"/>
    <n v="10789"/>
    <x v="3"/>
    <n v="167982.24"/>
    <x v="1"/>
    <n v="23"/>
    <x v="1"/>
    <d v="2024-01-19T00:00:00"/>
    <d v="2024-02-11T00:00:00"/>
  </r>
  <r>
    <n v="2276"/>
    <n v="14194"/>
    <x v="0"/>
    <n v="149019.1"/>
    <x v="0"/>
    <n v="12"/>
    <x v="2"/>
    <d v="2024-06-03T00:00:00"/>
    <d v="2024-06-15T00:00:00"/>
  </r>
  <r>
    <n v="2277"/>
    <n v="19990"/>
    <x v="3"/>
    <n v="56704.06"/>
    <x v="0"/>
    <n v="37"/>
    <x v="1"/>
    <d v="2024-08-16T00:00:00"/>
    <d v="2024-09-22T00:00:00"/>
  </r>
  <r>
    <n v="2278"/>
    <n v="14457"/>
    <x v="3"/>
    <n v="8294.2000000000007"/>
    <x v="2"/>
    <m/>
    <x v="3"/>
    <d v="2024-02-27T00:00:00"/>
    <m/>
  </r>
  <r>
    <n v="2279"/>
    <n v="16671"/>
    <x v="3"/>
    <n v="98541.53"/>
    <x v="0"/>
    <n v="43"/>
    <x v="2"/>
    <d v="2024-10-07T00:00:00"/>
    <d v="2024-11-19T00:00:00"/>
  </r>
  <r>
    <n v="2280"/>
    <n v="14635"/>
    <x v="3"/>
    <n v="172487.9"/>
    <x v="0"/>
    <n v="33"/>
    <x v="0"/>
    <d v="2024-02-14T00:00:00"/>
    <d v="2024-03-18T00:00:00"/>
  </r>
  <r>
    <n v="2281"/>
    <n v="15961"/>
    <x v="3"/>
    <n v="179687.76"/>
    <x v="0"/>
    <n v="15"/>
    <x v="3"/>
    <d v="2024-04-11T00:00:00"/>
    <d v="2024-04-26T00:00:00"/>
  </r>
  <r>
    <n v="2282"/>
    <n v="16738"/>
    <x v="3"/>
    <n v="191464.11"/>
    <x v="0"/>
    <n v="19"/>
    <x v="0"/>
    <d v="2024-02-17T00:00:00"/>
    <d v="2024-03-07T00:00:00"/>
  </r>
  <r>
    <n v="2283"/>
    <n v="15155"/>
    <x v="1"/>
    <n v="176514.83"/>
    <x v="0"/>
    <n v="39"/>
    <x v="1"/>
    <d v="2024-02-19T00:00:00"/>
    <d v="2024-03-29T00:00:00"/>
  </r>
  <r>
    <n v="2284"/>
    <n v="10313"/>
    <x v="3"/>
    <n v="118108.49"/>
    <x v="2"/>
    <m/>
    <x v="1"/>
    <d v="2024-03-21T00:00:00"/>
    <m/>
  </r>
  <r>
    <n v="2285"/>
    <n v="16633"/>
    <x v="3"/>
    <n v="91698.09"/>
    <x v="0"/>
    <n v="35"/>
    <x v="3"/>
    <d v="2024-10-26T00:00:00"/>
    <d v="2024-11-30T00:00:00"/>
  </r>
  <r>
    <n v="2286"/>
    <n v="10232"/>
    <x v="3"/>
    <n v="156095.72"/>
    <x v="1"/>
    <n v="24"/>
    <x v="1"/>
    <d v="2024-02-28T00:00:00"/>
    <d v="2024-03-23T00:00:00"/>
  </r>
  <r>
    <n v="2287"/>
    <n v="15735"/>
    <x v="0"/>
    <n v="149265.22"/>
    <x v="0"/>
    <n v="33"/>
    <x v="0"/>
    <d v="2024-06-09T00:00:00"/>
    <d v="2024-07-12T00:00:00"/>
  </r>
  <r>
    <n v="2288"/>
    <n v="19221"/>
    <x v="2"/>
    <n v="109937.97"/>
    <x v="0"/>
    <n v="4"/>
    <x v="2"/>
    <d v="2024-04-12T00:00:00"/>
    <d v="2024-04-16T00:00:00"/>
  </r>
  <r>
    <n v="2289"/>
    <n v="17849"/>
    <x v="3"/>
    <n v="22028.84"/>
    <x v="0"/>
    <n v="44"/>
    <x v="2"/>
    <d v="2024-11-29T00:00:00"/>
    <d v="2025-01-12T00:00:00"/>
  </r>
  <r>
    <n v="2290"/>
    <n v="12711"/>
    <x v="3"/>
    <n v="185585.86"/>
    <x v="0"/>
    <n v="23"/>
    <x v="2"/>
    <d v="2024-09-30T00:00:00"/>
    <d v="2024-10-23T00:00:00"/>
  </r>
  <r>
    <n v="2291"/>
    <n v="17940"/>
    <x v="3"/>
    <n v="93842.49"/>
    <x v="0"/>
    <n v="24"/>
    <x v="3"/>
    <d v="2024-07-01T00:00:00"/>
    <d v="2024-07-25T00:00:00"/>
  </r>
  <r>
    <n v="2292"/>
    <n v="13344"/>
    <x v="2"/>
    <n v="75850.09"/>
    <x v="0"/>
    <n v="5"/>
    <x v="1"/>
    <d v="2024-04-25T00:00:00"/>
    <d v="2024-04-30T00:00:00"/>
  </r>
  <r>
    <n v="2293"/>
    <n v="12122"/>
    <x v="3"/>
    <n v="127765.64"/>
    <x v="0"/>
    <n v="14"/>
    <x v="0"/>
    <d v="2024-12-27T00:00:00"/>
    <d v="2025-01-10T00:00:00"/>
  </r>
  <r>
    <n v="2294"/>
    <n v="13779"/>
    <x v="3"/>
    <n v="136398.39999999999"/>
    <x v="0"/>
    <n v="33"/>
    <x v="1"/>
    <d v="2024-09-23T00:00:00"/>
    <d v="2024-10-26T00:00:00"/>
  </r>
  <r>
    <n v="2295"/>
    <n v="15654"/>
    <x v="3"/>
    <n v="46084.14"/>
    <x v="0"/>
    <n v="30"/>
    <x v="1"/>
    <d v="2024-06-12T00:00:00"/>
    <d v="2024-07-12T00:00:00"/>
  </r>
  <r>
    <n v="2296"/>
    <n v="19072"/>
    <x v="3"/>
    <n v="168203.07"/>
    <x v="0"/>
    <n v="41"/>
    <x v="1"/>
    <d v="2024-05-22T00:00:00"/>
    <d v="2024-07-02T00:00:00"/>
  </r>
  <r>
    <n v="2297"/>
    <n v="11172"/>
    <x v="3"/>
    <n v="61537.73"/>
    <x v="2"/>
    <m/>
    <x v="2"/>
    <d v="2024-11-13T00:00:00"/>
    <m/>
  </r>
  <r>
    <n v="2298"/>
    <n v="17317"/>
    <x v="1"/>
    <n v="41403.370000000003"/>
    <x v="0"/>
    <n v="11"/>
    <x v="0"/>
    <d v="2024-10-30T00:00:00"/>
    <d v="2024-11-10T00:00:00"/>
  </r>
  <r>
    <n v="2299"/>
    <n v="17744"/>
    <x v="3"/>
    <n v="84247.97"/>
    <x v="0"/>
    <n v="14"/>
    <x v="0"/>
    <d v="2024-04-03T00:00:00"/>
    <d v="2024-04-17T00:00:00"/>
  </r>
  <r>
    <n v="2300"/>
    <n v="10159"/>
    <x v="1"/>
    <n v="147459.22"/>
    <x v="2"/>
    <m/>
    <x v="1"/>
    <d v="2024-09-06T00:00:00"/>
    <m/>
  </r>
  <r>
    <n v="2301"/>
    <n v="17963"/>
    <x v="3"/>
    <n v="193264.34"/>
    <x v="1"/>
    <n v="39"/>
    <x v="2"/>
    <d v="2024-12-08T00:00:00"/>
    <d v="2025-01-16T00:00:00"/>
  </r>
  <r>
    <n v="2302"/>
    <n v="12129"/>
    <x v="3"/>
    <n v="162809.85"/>
    <x v="0"/>
    <n v="3"/>
    <x v="2"/>
    <d v="2024-11-01T00:00:00"/>
    <d v="2024-11-04T00:00:00"/>
  </r>
  <r>
    <n v="2303"/>
    <n v="13078"/>
    <x v="2"/>
    <n v="188367.93"/>
    <x v="0"/>
    <n v="18"/>
    <x v="0"/>
    <d v="2024-11-11T00:00:00"/>
    <d v="2024-11-29T00:00:00"/>
  </r>
  <r>
    <n v="2304"/>
    <n v="12229"/>
    <x v="3"/>
    <n v="32418.13"/>
    <x v="0"/>
    <n v="27"/>
    <x v="2"/>
    <d v="2024-08-27T00:00:00"/>
    <d v="2024-09-23T00:00:00"/>
  </r>
  <r>
    <n v="2305"/>
    <n v="12917"/>
    <x v="0"/>
    <n v="18879.48"/>
    <x v="0"/>
    <n v="39"/>
    <x v="2"/>
    <d v="2024-02-28T00:00:00"/>
    <d v="2024-04-07T00:00:00"/>
  </r>
  <r>
    <n v="2306"/>
    <n v="13013"/>
    <x v="1"/>
    <n v="113752.43"/>
    <x v="1"/>
    <n v="38"/>
    <x v="2"/>
    <d v="2024-01-15T00:00:00"/>
    <d v="2024-02-22T00:00:00"/>
  </r>
  <r>
    <n v="2307"/>
    <n v="19741"/>
    <x v="3"/>
    <n v="61608.01"/>
    <x v="1"/>
    <n v="6"/>
    <x v="3"/>
    <d v="2024-10-11T00:00:00"/>
    <d v="2024-10-17T00:00:00"/>
  </r>
  <r>
    <n v="2308"/>
    <n v="16326"/>
    <x v="2"/>
    <n v="166470.72"/>
    <x v="0"/>
    <n v="26"/>
    <x v="1"/>
    <d v="2024-07-21T00:00:00"/>
    <d v="2024-08-16T00:00:00"/>
  </r>
  <r>
    <n v="2309"/>
    <n v="11579"/>
    <x v="3"/>
    <n v="136037.63"/>
    <x v="2"/>
    <m/>
    <x v="0"/>
    <d v="2024-08-24T00:00:00"/>
    <m/>
  </r>
  <r>
    <n v="2310"/>
    <n v="11960"/>
    <x v="0"/>
    <n v="194291.99"/>
    <x v="0"/>
    <n v="29"/>
    <x v="0"/>
    <d v="2024-10-22T00:00:00"/>
    <d v="2024-11-20T00:00:00"/>
  </r>
  <r>
    <n v="2311"/>
    <n v="17902"/>
    <x v="3"/>
    <n v="54684.51"/>
    <x v="0"/>
    <n v="23"/>
    <x v="3"/>
    <d v="2024-10-13T00:00:00"/>
    <d v="2024-11-05T00:00:00"/>
  </r>
  <r>
    <n v="2312"/>
    <n v="16657"/>
    <x v="0"/>
    <n v="99727.9"/>
    <x v="1"/>
    <n v="30"/>
    <x v="1"/>
    <d v="2024-03-13T00:00:00"/>
    <d v="2024-04-12T00:00:00"/>
  </r>
  <r>
    <n v="2313"/>
    <n v="13844"/>
    <x v="3"/>
    <n v="102741.89"/>
    <x v="0"/>
    <n v="36"/>
    <x v="0"/>
    <d v="2024-08-01T00:00:00"/>
    <d v="2024-09-06T00:00:00"/>
  </r>
  <r>
    <n v="2314"/>
    <n v="14697"/>
    <x v="1"/>
    <n v="51639.47"/>
    <x v="1"/>
    <n v="21"/>
    <x v="2"/>
    <d v="2024-01-11T00:00:00"/>
    <d v="2024-02-01T00:00:00"/>
  </r>
  <r>
    <n v="2315"/>
    <n v="12390"/>
    <x v="1"/>
    <n v="120068.21"/>
    <x v="2"/>
    <m/>
    <x v="0"/>
    <d v="2024-12-02T00:00:00"/>
    <m/>
  </r>
  <r>
    <n v="2316"/>
    <n v="11419"/>
    <x v="2"/>
    <n v="91440.77"/>
    <x v="0"/>
    <n v="40"/>
    <x v="2"/>
    <d v="2024-08-12T00:00:00"/>
    <d v="2024-09-21T00:00:00"/>
  </r>
  <r>
    <n v="2317"/>
    <n v="13917"/>
    <x v="2"/>
    <n v="92110.7"/>
    <x v="0"/>
    <n v="33"/>
    <x v="3"/>
    <d v="2024-11-13T00:00:00"/>
    <d v="2024-12-16T00:00:00"/>
  </r>
  <r>
    <n v="2318"/>
    <n v="14942"/>
    <x v="0"/>
    <n v="75733.649999999994"/>
    <x v="0"/>
    <n v="40"/>
    <x v="2"/>
    <d v="2024-07-21T00:00:00"/>
    <d v="2024-08-30T00:00:00"/>
  </r>
  <r>
    <n v="2319"/>
    <n v="18354"/>
    <x v="0"/>
    <n v="8301.2199999999993"/>
    <x v="0"/>
    <n v="11"/>
    <x v="0"/>
    <d v="2024-08-18T00:00:00"/>
    <d v="2024-08-29T00:00:00"/>
  </r>
  <r>
    <n v="2320"/>
    <n v="18307"/>
    <x v="3"/>
    <n v="106808.57"/>
    <x v="0"/>
    <n v="41"/>
    <x v="0"/>
    <d v="2024-02-20T00:00:00"/>
    <d v="2024-04-01T00:00:00"/>
  </r>
  <r>
    <n v="2321"/>
    <n v="17570"/>
    <x v="3"/>
    <n v="70373.33"/>
    <x v="0"/>
    <n v="18"/>
    <x v="0"/>
    <d v="2024-02-26T00:00:00"/>
    <d v="2024-03-15T00:00:00"/>
  </r>
  <r>
    <n v="2322"/>
    <n v="15198"/>
    <x v="3"/>
    <n v="5257.37"/>
    <x v="1"/>
    <n v="38"/>
    <x v="3"/>
    <d v="2024-05-11T00:00:00"/>
    <d v="2024-06-18T00:00:00"/>
  </r>
  <r>
    <n v="2323"/>
    <n v="19662"/>
    <x v="3"/>
    <n v="65049.02"/>
    <x v="0"/>
    <n v="16"/>
    <x v="3"/>
    <d v="2024-10-06T00:00:00"/>
    <d v="2024-10-22T00:00:00"/>
  </r>
  <r>
    <n v="2324"/>
    <n v="16002"/>
    <x v="3"/>
    <n v="59332.52"/>
    <x v="0"/>
    <n v="10"/>
    <x v="1"/>
    <d v="2024-10-23T00:00:00"/>
    <d v="2024-11-02T00:00:00"/>
  </r>
  <r>
    <n v="2325"/>
    <n v="15142"/>
    <x v="1"/>
    <n v="81722.39"/>
    <x v="0"/>
    <n v="33"/>
    <x v="0"/>
    <d v="2024-10-31T00:00:00"/>
    <d v="2024-12-03T00:00:00"/>
  </r>
  <r>
    <n v="2326"/>
    <n v="13852"/>
    <x v="3"/>
    <n v="30711.14"/>
    <x v="1"/>
    <n v="24"/>
    <x v="2"/>
    <d v="2024-08-12T00:00:00"/>
    <d v="2024-09-05T00:00:00"/>
  </r>
  <r>
    <n v="2327"/>
    <n v="10542"/>
    <x v="1"/>
    <n v="103998.35"/>
    <x v="0"/>
    <n v="12"/>
    <x v="3"/>
    <d v="2024-06-22T00:00:00"/>
    <d v="2024-07-04T00:00:00"/>
  </r>
  <r>
    <n v="2328"/>
    <n v="18605"/>
    <x v="3"/>
    <n v="140025.87"/>
    <x v="0"/>
    <n v="14"/>
    <x v="0"/>
    <d v="2024-10-18T00:00:00"/>
    <d v="2024-11-01T00:00:00"/>
  </r>
  <r>
    <n v="2329"/>
    <n v="18873"/>
    <x v="3"/>
    <n v="127886.19"/>
    <x v="1"/>
    <n v="19"/>
    <x v="0"/>
    <d v="2024-09-22T00:00:00"/>
    <d v="2024-10-11T00:00:00"/>
  </r>
  <r>
    <n v="2330"/>
    <n v="18833"/>
    <x v="1"/>
    <n v="161732.21"/>
    <x v="0"/>
    <n v="10"/>
    <x v="3"/>
    <d v="2024-09-03T00:00:00"/>
    <d v="2024-09-13T00:00:00"/>
  </r>
  <r>
    <n v="2331"/>
    <n v="13978"/>
    <x v="1"/>
    <n v="93141.62"/>
    <x v="0"/>
    <n v="43"/>
    <x v="1"/>
    <d v="2024-03-18T00:00:00"/>
    <d v="2024-04-30T00:00:00"/>
  </r>
  <r>
    <n v="2332"/>
    <n v="11432"/>
    <x v="1"/>
    <n v="106222.89"/>
    <x v="1"/>
    <n v="6"/>
    <x v="3"/>
    <d v="2024-05-14T00:00:00"/>
    <d v="2024-05-20T00:00:00"/>
  </r>
  <r>
    <n v="2333"/>
    <n v="18860"/>
    <x v="1"/>
    <n v="163028.38"/>
    <x v="0"/>
    <n v="44"/>
    <x v="3"/>
    <d v="2024-05-19T00:00:00"/>
    <d v="2024-07-02T00:00:00"/>
  </r>
  <r>
    <n v="2334"/>
    <n v="17805"/>
    <x v="3"/>
    <n v="88401.73"/>
    <x v="2"/>
    <m/>
    <x v="2"/>
    <d v="2024-12-07T00:00:00"/>
    <m/>
  </r>
  <r>
    <n v="2335"/>
    <n v="10968"/>
    <x v="1"/>
    <n v="141811.87"/>
    <x v="0"/>
    <n v="33"/>
    <x v="2"/>
    <d v="2024-09-09T00:00:00"/>
    <d v="2024-10-12T00:00:00"/>
  </r>
  <r>
    <n v="2336"/>
    <n v="15800"/>
    <x v="3"/>
    <n v="89747.46"/>
    <x v="0"/>
    <n v="3"/>
    <x v="1"/>
    <d v="2024-06-24T00:00:00"/>
    <d v="2024-06-27T00:00:00"/>
  </r>
  <r>
    <n v="2337"/>
    <n v="17845"/>
    <x v="3"/>
    <n v="86458.559999999998"/>
    <x v="1"/>
    <n v="22"/>
    <x v="0"/>
    <d v="2024-02-29T00:00:00"/>
    <d v="2024-03-22T00:00:00"/>
  </r>
  <r>
    <n v="2338"/>
    <n v="19372"/>
    <x v="3"/>
    <n v="153240.1"/>
    <x v="0"/>
    <n v="29"/>
    <x v="3"/>
    <d v="2024-12-17T00:00:00"/>
    <d v="2025-01-15T00:00:00"/>
  </r>
  <r>
    <n v="2339"/>
    <n v="15591"/>
    <x v="3"/>
    <n v="39093.199999999997"/>
    <x v="1"/>
    <n v="25"/>
    <x v="1"/>
    <d v="2024-09-10T00:00:00"/>
    <d v="2024-10-05T00:00:00"/>
  </r>
  <r>
    <n v="2340"/>
    <n v="15383"/>
    <x v="3"/>
    <n v="71024.259999999995"/>
    <x v="1"/>
    <n v="25"/>
    <x v="2"/>
    <d v="2024-01-08T00:00:00"/>
    <d v="2024-02-02T00:00:00"/>
  </r>
  <r>
    <n v="2341"/>
    <n v="17470"/>
    <x v="2"/>
    <n v="48713.59"/>
    <x v="1"/>
    <n v="15"/>
    <x v="3"/>
    <d v="2024-04-16T00:00:00"/>
    <d v="2024-05-01T00:00:00"/>
  </r>
  <r>
    <n v="2342"/>
    <n v="14819"/>
    <x v="2"/>
    <n v="75026.44"/>
    <x v="2"/>
    <m/>
    <x v="0"/>
    <d v="2024-06-19T00:00:00"/>
    <m/>
  </r>
  <r>
    <n v="2343"/>
    <n v="17632"/>
    <x v="3"/>
    <n v="49923.09"/>
    <x v="0"/>
    <n v="28"/>
    <x v="2"/>
    <d v="2024-02-27T00:00:00"/>
    <d v="2024-03-26T00:00:00"/>
  </r>
  <r>
    <n v="2344"/>
    <n v="13235"/>
    <x v="3"/>
    <n v="117984.1"/>
    <x v="1"/>
    <n v="25"/>
    <x v="2"/>
    <d v="2024-12-02T00:00:00"/>
    <d v="2024-12-27T00:00:00"/>
  </r>
  <r>
    <n v="2345"/>
    <n v="15255"/>
    <x v="3"/>
    <n v="160643.31"/>
    <x v="0"/>
    <n v="7"/>
    <x v="2"/>
    <d v="2024-12-07T00:00:00"/>
    <d v="2024-12-14T00:00:00"/>
  </r>
  <r>
    <n v="2346"/>
    <n v="10251"/>
    <x v="3"/>
    <n v="158389.54999999999"/>
    <x v="0"/>
    <n v="27"/>
    <x v="1"/>
    <d v="2024-10-16T00:00:00"/>
    <d v="2024-11-12T00:00:00"/>
  </r>
  <r>
    <n v="2347"/>
    <n v="14300"/>
    <x v="2"/>
    <n v="76077.69"/>
    <x v="1"/>
    <n v="16"/>
    <x v="0"/>
    <d v="2024-03-24T00:00:00"/>
    <d v="2024-04-09T00:00:00"/>
  </r>
  <r>
    <n v="2348"/>
    <n v="17409"/>
    <x v="3"/>
    <n v="197808.28"/>
    <x v="0"/>
    <n v="30"/>
    <x v="3"/>
    <d v="2024-04-26T00:00:00"/>
    <d v="2024-05-26T00:00:00"/>
  </r>
  <r>
    <n v="2349"/>
    <n v="13998"/>
    <x v="1"/>
    <n v="120801.60000000001"/>
    <x v="0"/>
    <n v="37"/>
    <x v="1"/>
    <d v="2024-07-18T00:00:00"/>
    <d v="2024-08-24T00:00:00"/>
  </r>
  <r>
    <n v="2350"/>
    <n v="18982"/>
    <x v="3"/>
    <n v="82883.06"/>
    <x v="0"/>
    <n v="11"/>
    <x v="1"/>
    <d v="2024-01-22T00:00:00"/>
    <d v="2024-02-02T00:00:00"/>
  </r>
  <r>
    <n v="2351"/>
    <n v="15180"/>
    <x v="2"/>
    <n v="167930.16"/>
    <x v="0"/>
    <n v="29"/>
    <x v="1"/>
    <d v="2024-08-06T00:00:00"/>
    <d v="2024-09-04T00:00:00"/>
  </r>
  <r>
    <n v="2352"/>
    <n v="15421"/>
    <x v="3"/>
    <n v="147325.43"/>
    <x v="2"/>
    <m/>
    <x v="2"/>
    <d v="2024-08-13T00:00:00"/>
    <m/>
  </r>
  <r>
    <n v="2353"/>
    <n v="11495"/>
    <x v="1"/>
    <n v="151108.69"/>
    <x v="0"/>
    <n v="22"/>
    <x v="0"/>
    <d v="2024-09-27T00:00:00"/>
    <d v="2024-10-19T00:00:00"/>
  </r>
  <r>
    <n v="2354"/>
    <n v="17978"/>
    <x v="3"/>
    <n v="43247.17"/>
    <x v="0"/>
    <n v="11"/>
    <x v="1"/>
    <d v="2024-04-11T00:00:00"/>
    <d v="2024-04-22T00:00:00"/>
  </r>
  <r>
    <n v="2355"/>
    <n v="18141"/>
    <x v="1"/>
    <n v="96323.24"/>
    <x v="1"/>
    <n v="5"/>
    <x v="3"/>
    <d v="2024-05-24T00:00:00"/>
    <d v="2024-05-29T00:00:00"/>
  </r>
  <r>
    <n v="2356"/>
    <n v="15378"/>
    <x v="3"/>
    <n v="173056.49"/>
    <x v="0"/>
    <n v="5"/>
    <x v="0"/>
    <d v="2024-05-26T00:00:00"/>
    <d v="2024-05-31T00:00:00"/>
  </r>
  <r>
    <n v="2357"/>
    <n v="12577"/>
    <x v="3"/>
    <n v="103287.41"/>
    <x v="0"/>
    <n v="7"/>
    <x v="3"/>
    <d v="2024-09-17T00:00:00"/>
    <d v="2024-09-24T00:00:00"/>
  </r>
  <r>
    <n v="2358"/>
    <n v="15306"/>
    <x v="2"/>
    <n v="138273.28"/>
    <x v="0"/>
    <n v="27"/>
    <x v="0"/>
    <d v="2024-10-05T00:00:00"/>
    <d v="2024-11-01T00:00:00"/>
  </r>
  <r>
    <n v="2359"/>
    <n v="18133"/>
    <x v="2"/>
    <n v="119647.08"/>
    <x v="0"/>
    <n v="41"/>
    <x v="3"/>
    <d v="2024-12-04T00:00:00"/>
    <d v="2025-01-14T00:00:00"/>
  </r>
  <r>
    <n v="2360"/>
    <n v="11235"/>
    <x v="0"/>
    <n v="169259.57"/>
    <x v="0"/>
    <n v="17"/>
    <x v="2"/>
    <d v="2024-01-14T00:00:00"/>
    <d v="2024-01-31T00:00:00"/>
  </r>
  <r>
    <n v="2361"/>
    <n v="11058"/>
    <x v="1"/>
    <n v="60489.36"/>
    <x v="1"/>
    <n v="9"/>
    <x v="1"/>
    <d v="2024-09-22T00:00:00"/>
    <d v="2024-10-01T00:00:00"/>
  </r>
  <r>
    <n v="2362"/>
    <n v="19362"/>
    <x v="0"/>
    <n v="117217.68"/>
    <x v="0"/>
    <n v="29"/>
    <x v="3"/>
    <d v="2024-10-13T00:00:00"/>
    <d v="2024-11-11T00:00:00"/>
  </r>
  <r>
    <n v="2363"/>
    <n v="13659"/>
    <x v="3"/>
    <n v="29030.76"/>
    <x v="2"/>
    <m/>
    <x v="0"/>
    <d v="2024-05-20T00:00:00"/>
    <m/>
  </r>
  <r>
    <n v="2364"/>
    <n v="15368"/>
    <x v="3"/>
    <n v="139591.1"/>
    <x v="1"/>
    <n v="39"/>
    <x v="1"/>
    <d v="2024-10-19T00:00:00"/>
    <d v="2024-11-27T00:00:00"/>
  </r>
  <r>
    <n v="2365"/>
    <n v="10056"/>
    <x v="3"/>
    <n v="147733.73000000001"/>
    <x v="0"/>
    <n v="2"/>
    <x v="1"/>
    <d v="2024-01-31T00:00:00"/>
    <d v="2024-02-02T00:00:00"/>
  </r>
  <r>
    <n v="2366"/>
    <n v="17472"/>
    <x v="1"/>
    <n v="13353.28"/>
    <x v="0"/>
    <n v="20"/>
    <x v="0"/>
    <d v="2024-06-19T00:00:00"/>
    <d v="2024-07-09T00:00:00"/>
  </r>
  <r>
    <n v="2367"/>
    <n v="12569"/>
    <x v="3"/>
    <n v="136779.24"/>
    <x v="0"/>
    <n v="18"/>
    <x v="3"/>
    <d v="2024-12-20T00:00:00"/>
    <d v="2025-01-07T00:00:00"/>
  </r>
  <r>
    <n v="2368"/>
    <n v="14080"/>
    <x v="3"/>
    <n v="85864.58"/>
    <x v="0"/>
    <n v="29"/>
    <x v="2"/>
    <d v="2024-07-23T00:00:00"/>
    <d v="2024-08-21T00:00:00"/>
  </r>
  <r>
    <n v="2369"/>
    <n v="16377"/>
    <x v="1"/>
    <n v="29198.89"/>
    <x v="2"/>
    <m/>
    <x v="2"/>
    <d v="2024-10-17T00:00:00"/>
    <m/>
  </r>
  <r>
    <n v="2370"/>
    <n v="11948"/>
    <x v="0"/>
    <n v="86881.97"/>
    <x v="0"/>
    <n v="7"/>
    <x v="3"/>
    <d v="2024-04-20T00:00:00"/>
    <d v="2024-04-27T00:00:00"/>
  </r>
  <r>
    <n v="2371"/>
    <n v="10222"/>
    <x v="3"/>
    <n v="42875.42"/>
    <x v="0"/>
    <n v="8"/>
    <x v="1"/>
    <d v="2024-03-08T00:00:00"/>
    <d v="2024-03-16T00:00:00"/>
  </r>
  <r>
    <n v="2372"/>
    <n v="19831"/>
    <x v="3"/>
    <n v="86034.11"/>
    <x v="0"/>
    <n v="9"/>
    <x v="1"/>
    <d v="2024-07-01T00:00:00"/>
    <d v="2024-07-10T00:00:00"/>
  </r>
  <r>
    <n v="2373"/>
    <n v="15217"/>
    <x v="3"/>
    <n v="79946.11"/>
    <x v="0"/>
    <n v="4"/>
    <x v="1"/>
    <d v="2024-07-14T00:00:00"/>
    <d v="2024-07-18T00:00:00"/>
  </r>
  <r>
    <n v="2374"/>
    <n v="19949"/>
    <x v="3"/>
    <n v="148986.37"/>
    <x v="0"/>
    <n v="22"/>
    <x v="1"/>
    <d v="2024-05-05T00:00:00"/>
    <d v="2024-05-27T00:00:00"/>
  </r>
  <r>
    <n v="2375"/>
    <n v="19027"/>
    <x v="3"/>
    <n v="155972.03"/>
    <x v="0"/>
    <n v="9"/>
    <x v="3"/>
    <d v="2024-06-23T00:00:00"/>
    <d v="2024-07-02T00:00:00"/>
  </r>
  <r>
    <n v="2376"/>
    <n v="12536"/>
    <x v="1"/>
    <n v="123370.59"/>
    <x v="0"/>
    <n v="29"/>
    <x v="1"/>
    <d v="2024-09-18T00:00:00"/>
    <d v="2024-10-17T00:00:00"/>
  </r>
  <r>
    <n v="2377"/>
    <n v="12525"/>
    <x v="1"/>
    <n v="9423.93"/>
    <x v="0"/>
    <n v="31"/>
    <x v="0"/>
    <d v="2024-10-12T00:00:00"/>
    <d v="2024-11-12T00:00:00"/>
  </r>
  <r>
    <n v="2378"/>
    <n v="19176"/>
    <x v="1"/>
    <n v="186549.34"/>
    <x v="0"/>
    <n v="33"/>
    <x v="1"/>
    <d v="2024-06-03T00:00:00"/>
    <d v="2024-07-06T00:00:00"/>
  </r>
  <r>
    <n v="2379"/>
    <n v="11357"/>
    <x v="3"/>
    <n v="138815.49"/>
    <x v="1"/>
    <n v="12"/>
    <x v="2"/>
    <d v="2024-03-09T00:00:00"/>
    <d v="2024-03-21T00:00:00"/>
  </r>
  <r>
    <n v="2380"/>
    <n v="14887"/>
    <x v="0"/>
    <n v="11668.11"/>
    <x v="0"/>
    <n v="21"/>
    <x v="1"/>
    <d v="2024-04-17T00:00:00"/>
    <d v="2024-05-08T00:00:00"/>
  </r>
  <r>
    <n v="2381"/>
    <n v="17722"/>
    <x v="3"/>
    <n v="164672.42000000001"/>
    <x v="0"/>
    <n v="17"/>
    <x v="3"/>
    <d v="2024-02-04T00:00:00"/>
    <d v="2024-02-21T00:00:00"/>
  </r>
  <r>
    <n v="2382"/>
    <n v="15982"/>
    <x v="3"/>
    <n v="44051.9"/>
    <x v="0"/>
    <n v="26"/>
    <x v="2"/>
    <d v="2024-12-24T00:00:00"/>
    <d v="2025-01-19T00:00:00"/>
  </r>
  <r>
    <n v="2383"/>
    <n v="14477"/>
    <x v="0"/>
    <n v="117948.13"/>
    <x v="0"/>
    <n v="10"/>
    <x v="3"/>
    <d v="2024-02-13T00:00:00"/>
    <d v="2024-02-23T00:00:00"/>
  </r>
  <r>
    <n v="2384"/>
    <n v="19638"/>
    <x v="3"/>
    <n v="95993.7"/>
    <x v="2"/>
    <m/>
    <x v="3"/>
    <d v="2024-05-22T00:00:00"/>
    <m/>
  </r>
  <r>
    <n v="2385"/>
    <n v="11371"/>
    <x v="3"/>
    <n v="86868.56"/>
    <x v="0"/>
    <n v="41"/>
    <x v="2"/>
    <d v="2024-07-29T00:00:00"/>
    <d v="2024-09-08T00:00:00"/>
  </r>
  <r>
    <n v="2386"/>
    <n v="13224"/>
    <x v="0"/>
    <n v="178494.18"/>
    <x v="0"/>
    <n v="41"/>
    <x v="3"/>
    <d v="2024-10-11T00:00:00"/>
    <d v="2024-11-21T00:00:00"/>
  </r>
  <r>
    <n v="2387"/>
    <n v="11874"/>
    <x v="3"/>
    <n v="90285.45"/>
    <x v="1"/>
    <n v="4"/>
    <x v="3"/>
    <d v="2024-01-06T00:00:00"/>
    <d v="2024-01-10T00:00:00"/>
  </r>
  <r>
    <n v="2388"/>
    <n v="13361"/>
    <x v="1"/>
    <n v="19692.099999999999"/>
    <x v="1"/>
    <n v="17"/>
    <x v="1"/>
    <d v="2024-08-05T00:00:00"/>
    <d v="2024-08-22T00:00:00"/>
  </r>
  <r>
    <n v="2389"/>
    <n v="16104"/>
    <x v="3"/>
    <n v="189594.55"/>
    <x v="0"/>
    <n v="13"/>
    <x v="0"/>
    <d v="2024-01-27T00:00:00"/>
    <d v="2024-02-09T00:00:00"/>
  </r>
  <r>
    <n v="2390"/>
    <n v="11142"/>
    <x v="1"/>
    <n v="184504.37"/>
    <x v="0"/>
    <n v="16"/>
    <x v="3"/>
    <d v="2024-08-14T00:00:00"/>
    <d v="2024-08-30T00:00:00"/>
  </r>
  <r>
    <n v="2391"/>
    <n v="14309"/>
    <x v="3"/>
    <n v="138464.37"/>
    <x v="1"/>
    <n v="5"/>
    <x v="3"/>
    <d v="2024-10-10T00:00:00"/>
    <d v="2024-10-15T00:00:00"/>
  </r>
  <r>
    <n v="2392"/>
    <n v="18756"/>
    <x v="3"/>
    <n v="96239.039999999994"/>
    <x v="0"/>
    <n v="24"/>
    <x v="3"/>
    <d v="2024-02-25T00:00:00"/>
    <d v="2024-03-20T00:00:00"/>
  </r>
  <r>
    <n v="2393"/>
    <n v="16898"/>
    <x v="1"/>
    <n v="23107.599999999999"/>
    <x v="1"/>
    <n v="28"/>
    <x v="1"/>
    <d v="2024-11-05T00:00:00"/>
    <d v="2024-12-03T00:00:00"/>
  </r>
  <r>
    <n v="2394"/>
    <n v="11588"/>
    <x v="3"/>
    <n v="159195.88"/>
    <x v="1"/>
    <n v="40"/>
    <x v="0"/>
    <d v="2024-12-01T00:00:00"/>
    <d v="2025-01-10T00:00:00"/>
  </r>
  <r>
    <n v="2395"/>
    <n v="14998"/>
    <x v="3"/>
    <n v="19718.189999999999"/>
    <x v="1"/>
    <n v="44"/>
    <x v="2"/>
    <d v="2024-04-14T00:00:00"/>
    <d v="2024-05-28T00:00:00"/>
  </r>
  <r>
    <n v="2396"/>
    <n v="19662"/>
    <x v="3"/>
    <n v="18377.189999999999"/>
    <x v="0"/>
    <n v="38"/>
    <x v="1"/>
    <d v="2024-01-18T00:00:00"/>
    <d v="2024-02-25T00:00:00"/>
  </r>
  <r>
    <n v="2397"/>
    <n v="14342"/>
    <x v="3"/>
    <n v="109789.85"/>
    <x v="1"/>
    <n v="14"/>
    <x v="1"/>
    <d v="2024-07-23T00:00:00"/>
    <d v="2024-08-06T00:00:00"/>
  </r>
  <r>
    <n v="2398"/>
    <n v="13362"/>
    <x v="3"/>
    <n v="36225.01"/>
    <x v="0"/>
    <n v="44"/>
    <x v="0"/>
    <d v="2024-02-12T00:00:00"/>
    <d v="2024-03-27T00:00:00"/>
  </r>
  <r>
    <n v="2399"/>
    <n v="11636"/>
    <x v="3"/>
    <n v="6507.4"/>
    <x v="1"/>
    <n v="38"/>
    <x v="0"/>
    <d v="2024-03-29T00:00:00"/>
    <d v="2024-05-06T00:00:00"/>
  </r>
  <r>
    <n v="2400"/>
    <n v="19664"/>
    <x v="2"/>
    <n v="87507.12"/>
    <x v="0"/>
    <n v="41"/>
    <x v="1"/>
    <d v="2024-03-14T00:00:00"/>
    <d v="2024-04-24T00:00:00"/>
  </r>
  <r>
    <n v="2401"/>
    <n v="16227"/>
    <x v="3"/>
    <n v="31757.360000000001"/>
    <x v="0"/>
    <n v="22"/>
    <x v="2"/>
    <d v="2024-06-05T00:00:00"/>
    <d v="2024-06-27T00:00:00"/>
  </r>
  <r>
    <n v="2402"/>
    <n v="11244"/>
    <x v="3"/>
    <n v="36300.51"/>
    <x v="0"/>
    <n v="30"/>
    <x v="1"/>
    <d v="2024-09-22T00:00:00"/>
    <d v="2024-10-22T00:00:00"/>
  </r>
  <r>
    <n v="2403"/>
    <n v="16914"/>
    <x v="3"/>
    <n v="19997.57"/>
    <x v="0"/>
    <n v="30"/>
    <x v="0"/>
    <d v="2024-05-13T00:00:00"/>
    <d v="2024-06-12T00:00:00"/>
  </r>
  <r>
    <n v="2404"/>
    <n v="15306"/>
    <x v="3"/>
    <n v="44993.279999999999"/>
    <x v="0"/>
    <n v="12"/>
    <x v="2"/>
    <d v="2024-03-29T00:00:00"/>
    <d v="2024-04-10T00:00:00"/>
  </r>
  <r>
    <n v="2405"/>
    <n v="14514"/>
    <x v="2"/>
    <n v="144519.42000000001"/>
    <x v="2"/>
    <m/>
    <x v="0"/>
    <d v="2024-08-23T00:00:00"/>
    <m/>
  </r>
  <r>
    <n v="2406"/>
    <n v="18450"/>
    <x v="3"/>
    <n v="162740.82"/>
    <x v="0"/>
    <n v="11"/>
    <x v="2"/>
    <d v="2024-05-11T00:00:00"/>
    <d v="2024-05-22T00:00:00"/>
  </r>
  <r>
    <n v="2407"/>
    <n v="12358"/>
    <x v="2"/>
    <n v="93244.06"/>
    <x v="1"/>
    <n v="6"/>
    <x v="3"/>
    <d v="2024-08-16T00:00:00"/>
    <d v="2024-08-22T00:00:00"/>
  </r>
  <r>
    <n v="2408"/>
    <n v="15615"/>
    <x v="3"/>
    <n v="103777.99"/>
    <x v="0"/>
    <n v="26"/>
    <x v="0"/>
    <d v="2024-02-03T00:00:00"/>
    <d v="2024-02-29T00:00:00"/>
  </r>
  <r>
    <n v="2409"/>
    <n v="11268"/>
    <x v="1"/>
    <n v="11367.73"/>
    <x v="0"/>
    <n v="34"/>
    <x v="0"/>
    <d v="2024-03-23T00:00:00"/>
    <d v="2024-04-26T00:00:00"/>
  </r>
  <r>
    <n v="2410"/>
    <n v="19131"/>
    <x v="1"/>
    <n v="18516.669999999998"/>
    <x v="0"/>
    <n v="18"/>
    <x v="1"/>
    <d v="2024-05-11T00:00:00"/>
    <d v="2024-05-29T00:00:00"/>
  </r>
  <r>
    <n v="2411"/>
    <n v="12376"/>
    <x v="0"/>
    <n v="55225.71"/>
    <x v="0"/>
    <n v="34"/>
    <x v="0"/>
    <d v="2024-12-19T00:00:00"/>
    <d v="2025-01-22T00:00:00"/>
  </r>
  <r>
    <n v="2412"/>
    <n v="18387"/>
    <x v="1"/>
    <n v="111060.19"/>
    <x v="2"/>
    <m/>
    <x v="0"/>
    <d v="2024-07-22T00:00:00"/>
    <m/>
  </r>
  <r>
    <n v="2413"/>
    <n v="13096"/>
    <x v="1"/>
    <n v="149212.47"/>
    <x v="0"/>
    <n v="34"/>
    <x v="3"/>
    <d v="2024-10-13T00:00:00"/>
    <d v="2024-11-16T00:00:00"/>
  </r>
  <r>
    <n v="2414"/>
    <n v="13635"/>
    <x v="3"/>
    <n v="122975.6"/>
    <x v="0"/>
    <n v="10"/>
    <x v="0"/>
    <d v="2024-12-01T00:00:00"/>
    <d v="2024-12-11T00:00:00"/>
  </r>
  <r>
    <n v="2415"/>
    <n v="10561"/>
    <x v="3"/>
    <n v="81464.929999999993"/>
    <x v="0"/>
    <n v="28"/>
    <x v="3"/>
    <d v="2024-11-11T00:00:00"/>
    <d v="2024-12-09T00:00:00"/>
  </r>
  <r>
    <n v="2416"/>
    <n v="18231"/>
    <x v="2"/>
    <n v="28073.19"/>
    <x v="2"/>
    <m/>
    <x v="3"/>
    <d v="2024-09-14T00:00:00"/>
    <m/>
  </r>
  <r>
    <n v="2417"/>
    <n v="19959"/>
    <x v="3"/>
    <n v="157250.78"/>
    <x v="0"/>
    <n v="5"/>
    <x v="3"/>
    <d v="2024-10-18T00:00:00"/>
    <d v="2024-10-23T00:00:00"/>
  </r>
  <r>
    <n v="2418"/>
    <n v="17739"/>
    <x v="3"/>
    <n v="75938.28"/>
    <x v="0"/>
    <n v="10"/>
    <x v="3"/>
    <d v="2024-05-04T00:00:00"/>
    <d v="2024-05-14T00:00:00"/>
  </r>
  <r>
    <n v="2419"/>
    <n v="16871"/>
    <x v="1"/>
    <n v="148530.53"/>
    <x v="0"/>
    <n v="16"/>
    <x v="2"/>
    <d v="2024-05-30T00:00:00"/>
    <d v="2024-06-15T00:00:00"/>
  </r>
  <r>
    <n v="2420"/>
    <n v="12504"/>
    <x v="3"/>
    <n v="105030.87"/>
    <x v="0"/>
    <n v="17"/>
    <x v="1"/>
    <d v="2024-12-24T00:00:00"/>
    <d v="2025-01-10T00:00:00"/>
  </r>
  <r>
    <n v="2421"/>
    <n v="17021"/>
    <x v="2"/>
    <n v="149039.1"/>
    <x v="0"/>
    <n v="17"/>
    <x v="2"/>
    <d v="2024-09-03T00:00:00"/>
    <d v="2024-09-20T00:00:00"/>
  </r>
  <r>
    <n v="2422"/>
    <n v="15971"/>
    <x v="1"/>
    <n v="181921.46"/>
    <x v="1"/>
    <n v="14"/>
    <x v="0"/>
    <d v="2024-06-23T00:00:00"/>
    <d v="2024-07-07T00:00:00"/>
  </r>
  <r>
    <n v="2423"/>
    <n v="17876"/>
    <x v="1"/>
    <n v="184600.76"/>
    <x v="0"/>
    <n v="15"/>
    <x v="2"/>
    <d v="2024-12-22T00:00:00"/>
    <d v="2025-01-06T00:00:00"/>
  </r>
  <r>
    <n v="2424"/>
    <n v="18979"/>
    <x v="0"/>
    <n v="109345.82"/>
    <x v="0"/>
    <n v="23"/>
    <x v="2"/>
    <d v="2024-10-28T00:00:00"/>
    <d v="2024-11-20T00:00:00"/>
  </r>
  <r>
    <n v="2425"/>
    <n v="14097"/>
    <x v="3"/>
    <n v="104744.13"/>
    <x v="0"/>
    <n v="22"/>
    <x v="0"/>
    <d v="2024-03-20T00:00:00"/>
    <d v="2024-04-11T00:00:00"/>
  </r>
  <r>
    <n v="2426"/>
    <n v="19684"/>
    <x v="3"/>
    <n v="56807.3"/>
    <x v="0"/>
    <n v="10"/>
    <x v="0"/>
    <d v="2024-04-16T00:00:00"/>
    <d v="2024-04-26T00:00:00"/>
  </r>
  <r>
    <n v="2427"/>
    <n v="19321"/>
    <x v="3"/>
    <n v="187480.97"/>
    <x v="0"/>
    <n v="42"/>
    <x v="0"/>
    <d v="2024-10-26T00:00:00"/>
    <d v="2024-12-07T00:00:00"/>
  </r>
  <r>
    <n v="2428"/>
    <n v="16822"/>
    <x v="3"/>
    <n v="94294.24"/>
    <x v="2"/>
    <m/>
    <x v="2"/>
    <d v="2024-10-31T00:00:00"/>
    <m/>
  </r>
  <r>
    <n v="2429"/>
    <n v="15878"/>
    <x v="1"/>
    <n v="29880.29"/>
    <x v="1"/>
    <n v="11"/>
    <x v="2"/>
    <d v="2024-12-09T00:00:00"/>
    <d v="2024-12-20T00:00:00"/>
  </r>
  <r>
    <n v="2430"/>
    <n v="14509"/>
    <x v="2"/>
    <n v="89377.46"/>
    <x v="1"/>
    <n v="36"/>
    <x v="0"/>
    <d v="2024-02-27T00:00:00"/>
    <d v="2024-04-03T00:00:00"/>
  </r>
  <r>
    <n v="2431"/>
    <n v="16186"/>
    <x v="3"/>
    <n v="29775.38"/>
    <x v="1"/>
    <n v="10"/>
    <x v="1"/>
    <d v="2024-03-31T00:00:00"/>
    <d v="2024-04-10T00:00:00"/>
  </r>
  <r>
    <n v="2432"/>
    <n v="19836"/>
    <x v="3"/>
    <n v="102993.68"/>
    <x v="0"/>
    <n v="17"/>
    <x v="1"/>
    <d v="2024-05-14T00:00:00"/>
    <d v="2024-05-31T00:00:00"/>
  </r>
  <r>
    <n v="2433"/>
    <n v="13560"/>
    <x v="2"/>
    <n v="114448.73"/>
    <x v="0"/>
    <n v="19"/>
    <x v="3"/>
    <d v="2024-12-15T00:00:00"/>
    <d v="2025-01-03T00:00:00"/>
  </r>
  <r>
    <n v="2434"/>
    <n v="15679"/>
    <x v="3"/>
    <n v="70862.37"/>
    <x v="0"/>
    <n v="11"/>
    <x v="0"/>
    <d v="2024-06-17T00:00:00"/>
    <d v="2024-06-28T00:00:00"/>
  </r>
  <r>
    <n v="2435"/>
    <n v="12685"/>
    <x v="3"/>
    <n v="18971.87"/>
    <x v="0"/>
    <n v="22"/>
    <x v="3"/>
    <d v="2024-11-29T00:00:00"/>
    <d v="2024-12-21T00:00:00"/>
  </r>
  <r>
    <n v="2436"/>
    <n v="16612"/>
    <x v="3"/>
    <n v="188983.19"/>
    <x v="0"/>
    <n v="16"/>
    <x v="1"/>
    <d v="2024-05-01T00:00:00"/>
    <d v="2024-05-17T00:00:00"/>
  </r>
  <r>
    <n v="2437"/>
    <n v="14821"/>
    <x v="2"/>
    <n v="155803.85999999999"/>
    <x v="0"/>
    <n v="16"/>
    <x v="3"/>
    <d v="2024-08-23T00:00:00"/>
    <d v="2024-09-08T00:00:00"/>
  </r>
  <r>
    <n v="2438"/>
    <n v="17807"/>
    <x v="1"/>
    <n v="168581.81"/>
    <x v="0"/>
    <n v="12"/>
    <x v="0"/>
    <d v="2024-03-16T00:00:00"/>
    <d v="2024-03-28T00:00:00"/>
  </r>
  <r>
    <n v="2439"/>
    <n v="11412"/>
    <x v="1"/>
    <n v="76539.34"/>
    <x v="1"/>
    <n v="41"/>
    <x v="0"/>
    <d v="2024-11-04T00:00:00"/>
    <d v="2024-12-15T00:00:00"/>
  </r>
  <r>
    <n v="2440"/>
    <n v="11221"/>
    <x v="0"/>
    <n v="153362.04999999999"/>
    <x v="1"/>
    <n v="43"/>
    <x v="0"/>
    <d v="2024-01-23T00:00:00"/>
    <d v="2024-03-06T00:00:00"/>
  </r>
  <r>
    <n v="2441"/>
    <n v="12249"/>
    <x v="3"/>
    <n v="99647.71"/>
    <x v="2"/>
    <m/>
    <x v="2"/>
    <d v="2024-11-28T00:00:00"/>
    <m/>
  </r>
  <r>
    <n v="2442"/>
    <n v="12239"/>
    <x v="3"/>
    <n v="44211.28"/>
    <x v="0"/>
    <n v="38"/>
    <x v="3"/>
    <d v="2024-03-13T00:00:00"/>
    <d v="2024-04-20T00:00:00"/>
  </r>
  <r>
    <n v="2443"/>
    <n v="14202"/>
    <x v="0"/>
    <n v="29262.560000000001"/>
    <x v="0"/>
    <n v="21"/>
    <x v="1"/>
    <d v="2024-03-28T00:00:00"/>
    <d v="2024-04-18T00:00:00"/>
  </r>
  <r>
    <n v="2444"/>
    <n v="17873"/>
    <x v="3"/>
    <n v="72284.92"/>
    <x v="0"/>
    <n v="35"/>
    <x v="1"/>
    <d v="2024-04-12T00:00:00"/>
    <d v="2024-05-17T00:00:00"/>
  </r>
  <r>
    <n v="2445"/>
    <n v="16893"/>
    <x v="1"/>
    <n v="31822.66"/>
    <x v="0"/>
    <n v="23"/>
    <x v="1"/>
    <d v="2024-04-03T00:00:00"/>
    <d v="2024-04-26T00:00:00"/>
  </r>
  <r>
    <n v="2446"/>
    <n v="18835"/>
    <x v="2"/>
    <n v="199662.45"/>
    <x v="0"/>
    <n v="19"/>
    <x v="2"/>
    <d v="2024-11-11T00:00:00"/>
    <d v="2024-11-30T00:00:00"/>
  </r>
  <r>
    <n v="2447"/>
    <n v="15403"/>
    <x v="1"/>
    <n v="14591.85"/>
    <x v="0"/>
    <n v="17"/>
    <x v="2"/>
    <d v="2024-09-22T00:00:00"/>
    <d v="2024-10-09T00:00:00"/>
  </r>
  <r>
    <n v="2448"/>
    <n v="15185"/>
    <x v="1"/>
    <n v="91023"/>
    <x v="0"/>
    <n v="6"/>
    <x v="0"/>
    <d v="2024-09-09T00:00:00"/>
    <d v="2024-09-15T00:00:00"/>
  </r>
  <r>
    <n v="2449"/>
    <n v="14290"/>
    <x v="0"/>
    <n v="93158.24"/>
    <x v="0"/>
    <n v="2"/>
    <x v="1"/>
    <d v="2024-12-23T00:00:00"/>
    <d v="2024-12-25T00:00:00"/>
  </r>
  <r>
    <n v="2450"/>
    <n v="14142"/>
    <x v="0"/>
    <n v="63623.23"/>
    <x v="0"/>
    <n v="20"/>
    <x v="2"/>
    <d v="2024-02-27T00:00:00"/>
    <d v="2024-03-18T00:00:00"/>
  </r>
  <r>
    <n v="2451"/>
    <n v="19577"/>
    <x v="3"/>
    <n v="116413.56"/>
    <x v="0"/>
    <n v="11"/>
    <x v="0"/>
    <d v="2024-01-09T00:00:00"/>
    <d v="2024-01-20T00:00:00"/>
  </r>
  <r>
    <n v="2452"/>
    <n v="17152"/>
    <x v="3"/>
    <n v="34245.519999999997"/>
    <x v="0"/>
    <n v="22"/>
    <x v="1"/>
    <d v="2024-01-13T00:00:00"/>
    <d v="2024-02-04T00:00:00"/>
  </r>
  <r>
    <n v="2453"/>
    <n v="12584"/>
    <x v="3"/>
    <n v="157862.91"/>
    <x v="0"/>
    <n v="14"/>
    <x v="3"/>
    <d v="2024-05-10T00:00:00"/>
    <d v="2024-05-24T00:00:00"/>
  </r>
  <r>
    <n v="2454"/>
    <n v="11601"/>
    <x v="1"/>
    <n v="69827.31"/>
    <x v="0"/>
    <n v="25"/>
    <x v="0"/>
    <d v="2024-08-09T00:00:00"/>
    <d v="2024-09-03T00:00:00"/>
  </r>
  <r>
    <n v="2455"/>
    <n v="14942"/>
    <x v="3"/>
    <n v="120311.81"/>
    <x v="0"/>
    <n v="24"/>
    <x v="2"/>
    <d v="2024-11-24T00:00:00"/>
    <d v="2024-12-18T00:00:00"/>
  </r>
  <r>
    <n v="2456"/>
    <n v="15698"/>
    <x v="1"/>
    <n v="144549.65"/>
    <x v="0"/>
    <n v="24"/>
    <x v="2"/>
    <d v="2024-06-01T00:00:00"/>
    <d v="2024-06-25T00:00:00"/>
  </r>
  <r>
    <n v="2457"/>
    <n v="10807"/>
    <x v="3"/>
    <n v="178363.21"/>
    <x v="1"/>
    <n v="12"/>
    <x v="0"/>
    <d v="2024-03-11T00:00:00"/>
    <d v="2024-03-23T00:00:00"/>
  </r>
  <r>
    <n v="2458"/>
    <n v="17345"/>
    <x v="1"/>
    <n v="167978.55"/>
    <x v="1"/>
    <n v="3"/>
    <x v="0"/>
    <d v="2024-12-10T00:00:00"/>
    <d v="2024-12-13T00:00:00"/>
  </r>
  <r>
    <n v="2459"/>
    <n v="18306"/>
    <x v="3"/>
    <n v="123620.26"/>
    <x v="0"/>
    <n v="7"/>
    <x v="2"/>
    <d v="2024-01-20T00:00:00"/>
    <d v="2024-01-27T00:00:00"/>
  </r>
  <r>
    <n v="2460"/>
    <n v="12727"/>
    <x v="1"/>
    <n v="80736.67"/>
    <x v="0"/>
    <n v="12"/>
    <x v="3"/>
    <d v="2024-03-21T00:00:00"/>
    <d v="2024-04-02T00:00:00"/>
  </r>
  <r>
    <n v="2461"/>
    <n v="18165"/>
    <x v="1"/>
    <n v="103124.91"/>
    <x v="0"/>
    <n v="16"/>
    <x v="1"/>
    <d v="2024-08-15T00:00:00"/>
    <d v="2024-08-31T00:00:00"/>
  </r>
  <r>
    <n v="2462"/>
    <n v="14171"/>
    <x v="3"/>
    <n v="154903.28"/>
    <x v="0"/>
    <n v="10"/>
    <x v="3"/>
    <d v="2024-12-11T00:00:00"/>
    <d v="2024-12-21T00:00:00"/>
  </r>
  <r>
    <n v="2463"/>
    <n v="19641"/>
    <x v="3"/>
    <n v="176121.38"/>
    <x v="0"/>
    <n v="13"/>
    <x v="0"/>
    <d v="2024-01-19T00:00:00"/>
    <d v="2024-02-01T00:00:00"/>
  </r>
  <r>
    <n v="2464"/>
    <n v="11568"/>
    <x v="1"/>
    <n v="25237.48"/>
    <x v="0"/>
    <n v="37"/>
    <x v="3"/>
    <d v="2024-06-13T00:00:00"/>
    <d v="2024-07-20T00:00:00"/>
  </r>
  <r>
    <n v="2465"/>
    <n v="19514"/>
    <x v="3"/>
    <n v="80046.97"/>
    <x v="0"/>
    <n v="29"/>
    <x v="2"/>
    <d v="2024-04-16T00:00:00"/>
    <d v="2024-05-15T00:00:00"/>
  </r>
  <r>
    <n v="2466"/>
    <n v="19052"/>
    <x v="3"/>
    <n v="156342.74"/>
    <x v="0"/>
    <n v="24"/>
    <x v="0"/>
    <d v="2024-12-13T00:00:00"/>
    <d v="2025-01-06T00:00:00"/>
  </r>
  <r>
    <n v="2467"/>
    <n v="10741"/>
    <x v="2"/>
    <n v="89172.09"/>
    <x v="1"/>
    <n v="28"/>
    <x v="1"/>
    <d v="2024-08-01T00:00:00"/>
    <d v="2024-08-29T00:00:00"/>
  </r>
  <r>
    <n v="2468"/>
    <n v="19922"/>
    <x v="1"/>
    <n v="69784.41"/>
    <x v="0"/>
    <n v="25"/>
    <x v="2"/>
    <d v="2024-08-26T00:00:00"/>
    <d v="2024-09-20T00:00:00"/>
  </r>
  <r>
    <n v="2469"/>
    <n v="16437"/>
    <x v="2"/>
    <n v="85207.93"/>
    <x v="1"/>
    <n v="15"/>
    <x v="2"/>
    <d v="2024-05-26T00:00:00"/>
    <d v="2024-06-10T00:00:00"/>
  </r>
  <r>
    <n v="2470"/>
    <n v="14904"/>
    <x v="3"/>
    <n v="122554.73"/>
    <x v="0"/>
    <n v="36"/>
    <x v="1"/>
    <d v="2024-06-29T00:00:00"/>
    <d v="2024-08-04T00:00:00"/>
  </r>
  <r>
    <n v="2471"/>
    <n v="12933"/>
    <x v="3"/>
    <n v="199962"/>
    <x v="0"/>
    <n v="28"/>
    <x v="1"/>
    <d v="2024-12-01T00:00:00"/>
    <d v="2024-12-29T00:00:00"/>
  </r>
  <r>
    <n v="2472"/>
    <n v="14509"/>
    <x v="0"/>
    <n v="101133.52"/>
    <x v="2"/>
    <m/>
    <x v="3"/>
    <d v="2024-07-16T00:00:00"/>
    <m/>
  </r>
  <r>
    <n v="2473"/>
    <n v="14526"/>
    <x v="1"/>
    <n v="45656.42"/>
    <x v="2"/>
    <m/>
    <x v="0"/>
    <d v="2024-10-13T00:00:00"/>
    <m/>
  </r>
  <r>
    <n v="2474"/>
    <n v="15909"/>
    <x v="1"/>
    <n v="36755.08"/>
    <x v="0"/>
    <n v="9"/>
    <x v="1"/>
    <d v="2024-02-22T00:00:00"/>
    <d v="2024-03-02T00:00:00"/>
  </r>
  <r>
    <n v="2475"/>
    <n v="15349"/>
    <x v="3"/>
    <n v="13258.2"/>
    <x v="0"/>
    <n v="35"/>
    <x v="1"/>
    <d v="2024-08-27T00:00:00"/>
    <d v="2024-10-01T00:00:00"/>
  </r>
  <r>
    <n v="2476"/>
    <n v="13167"/>
    <x v="3"/>
    <n v="113969.36"/>
    <x v="0"/>
    <n v="43"/>
    <x v="0"/>
    <d v="2024-10-16T00:00:00"/>
    <d v="2024-11-28T00:00:00"/>
  </r>
  <r>
    <n v="2477"/>
    <n v="17606"/>
    <x v="3"/>
    <n v="111191.56"/>
    <x v="0"/>
    <n v="24"/>
    <x v="1"/>
    <d v="2024-10-13T00:00:00"/>
    <d v="2024-11-06T00:00:00"/>
  </r>
  <r>
    <n v="2478"/>
    <n v="12218"/>
    <x v="3"/>
    <n v="45020.62"/>
    <x v="1"/>
    <n v="10"/>
    <x v="1"/>
    <d v="2024-07-06T00:00:00"/>
    <d v="2024-07-16T00:00:00"/>
  </r>
  <r>
    <n v="2479"/>
    <n v="11340"/>
    <x v="3"/>
    <n v="140589.23000000001"/>
    <x v="2"/>
    <m/>
    <x v="3"/>
    <d v="2024-01-06T00:00:00"/>
    <m/>
  </r>
  <r>
    <n v="2480"/>
    <n v="18009"/>
    <x v="3"/>
    <n v="149515.87"/>
    <x v="0"/>
    <n v="37"/>
    <x v="2"/>
    <d v="2024-10-09T00:00:00"/>
    <d v="2024-11-15T00:00:00"/>
  </r>
  <r>
    <n v="2481"/>
    <n v="14639"/>
    <x v="2"/>
    <n v="55524.15"/>
    <x v="0"/>
    <n v="17"/>
    <x v="2"/>
    <d v="2024-09-19T00:00:00"/>
    <d v="2024-10-06T00:00:00"/>
  </r>
  <r>
    <n v="2482"/>
    <n v="11514"/>
    <x v="3"/>
    <n v="72099.45"/>
    <x v="0"/>
    <n v="26"/>
    <x v="2"/>
    <d v="2024-02-18T00:00:00"/>
    <d v="2024-03-15T00:00:00"/>
  </r>
  <r>
    <n v="2483"/>
    <n v="11411"/>
    <x v="1"/>
    <n v="198141.98"/>
    <x v="0"/>
    <n v="19"/>
    <x v="2"/>
    <d v="2024-12-17T00:00:00"/>
    <d v="2025-01-05T00:00:00"/>
  </r>
  <r>
    <n v="2484"/>
    <n v="17724"/>
    <x v="0"/>
    <n v="77981.570000000007"/>
    <x v="2"/>
    <m/>
    <x v="1"/>
    <d v="2024-07-18T00:00:00"/>
    <m/>
  </r>
  <r>
    <n v="2485"/>
    <n v="14167"/>
    <x v="1"/>
    <n v="153356.32999999999"/>
    <x v="1"/>
    <n v="39"/>
    <x v="0"/>
    <d v="2024-02-29T00:00:00"/>
    <d v="2024-04-08T00:00:00"/>
  </r>
  <r>
    <n v="2486"/>
    <n v="11022"/>
    <x v="3"/>
    <n v="93281.46"/>
    <x v="0"/>
    <n v="4"/>
    <x v="0"/>
    <d v="2024-02-02T00:00:00"/>
    <d v="2024-02-06T00:00:00"/>
  </r>
  <r>
    <n v="2487"/>
    <n v="12758"/>
    <x v="1"/>
    <n v="159702.24"/>
    <x v="0"/>
    <n v="21"/>
    <x v="3"/>
    <d v="2024-10-29T00:00:00"/>
    <d v="2024-11-19T00:00:00"/>
  </r>
  <r>
    <n v="2488"/>
    <n v="19304"/>
    <x v="1"/>
    <n v="154959.53"/>
    <x v="0"/>
    <n v="20"/>
    <x v="3"/>
    <d v="2024-08-31T00:00:00"/>
    <d v="2024-09-20T00:00:00"/>
  </r>
  <r>
    <n v="2489"/>
    <n v="14808"/>
    <x v="1"/>
    <n v="135212.42000000001"/>
    <x v="0"/>
    <n v="14"/>
    <x v="1"/>
    <d v="2024-06-20T00:00:00"/>
    <d v="2024-07-04T00:00:00"/>
  </r>
  <r>
    <n v="2490"/>
    <n v="19750"/>
    <x v="1"/>
    <n v="171681.78"/>
    <x v="1"/>
    <n v="18"/>
    <x v="0"/>
    <d v="2024-07-25T00:00:00"/>
    <d v="2024-08-12T00:00:00"/>
  </r>
  <r>
    <n v="2491"/>
    <n v="18833"/>
    <x v="2"/>
    <n v="188147.61"/>
    <x v="0"/>
    <n v="15"/>
    <x v="0"/>
    <d v="2024-10-09T00:00:00"/>
    <d v="2024-10-24T00:00:00"/>
  </r>
  <r>
    <n v="2492"/>
    <n v="16733"/>
    <x v="1"/>
    <n v="118096.75"/>
    <x v="0"/>
    <n v="31"/>
    <x v="2"/>
    <d v="2024-01-22T00:00:00"/>
    <d v="2024-02-22T00:00:00"/>
  </r>
  <r>
    <n v="2493"/>
    <n v="14907"/>
    <x v="3"/>
    <n v="51306.44"/>
    <x v="0"/>
    <n v="23"/>
    <x v="1"/>
    <d v="2024-02-16T00:00:00"/>
    <d v="2024-03-10T00:00:00"/>
  </r>
  <r>
    <n v="2494"/>
    <n v="13225"/>
    <x v="1"/>
    <n v="82732.649999999994"/>
    <x v="1"/>
    <n v="44"/>
    <x v="1"/>
    <d v="2024-12-14T00:00:00"/>
    <d v="2025-01-27T00:00:00"/>
  </r>
  <r>
    <n v="2495"/>
    <n v="11014"/>
    <x v="3"/>
    <n v="152869.60999999999"/>
    <x v="0"/>
    <n v="44"/>
    <x v="2"/>
    <d v="2024-06-06T00:00:00"/>
    <d v="2024-07-20T00:00:00"/>
  </r>
  <r>
    <n v="2496"/>
    <n v="16768"/>
    <x v="0"/>
    <n v="131922.28"/>
    <x v="1"/>
    <n v="30"/>
    <x v="1"/>
    <d v="2024-09-14T00:00:00"/>
    <d v="2024-10-14T00:00:00"/>
  </r>
  <r>
    <n v="2497"/>
    <n v="15458"/>
    <x v="3"/>
    <n v="39670.68"/>
    <x v="1"/>
    <n v="3"/>
    <x v="1"/>
    <d v="2024-05-22T00:00:00"/>
    <d v="2024-05-25T00:00:00"/>
  </r>
  <r>
    <n v="2498"/>
    <n v="12021"/>
    <x v="3"/>
    <n v="14991.71"/>
    <x v="2"/>
    <m/>
    <x v="3"/>
    <d v="2024-02-16T00:00:00"/>
    <m/>
  </r>
  <r>
    <n v="2499"/>
    <n v="12676"/>
    <x v="0"/>
    <n v="138177.51"/>
    <x v="0"/>
    <n v="15"/>
    <x v="0"/>
    <d v="2024-01-27T00:00:00"/>
    <d v="2024-02-11T00:00:00"/>
  </r>
  <r>
    <n v="2500"/>
    <n v="19732"/>
    <x v="1"/>
    <n v="53960.41"/>
    <x v="0"/>
    <n v="35"/>
    <x v="1"/>
    <d v="2024-01-27T00:00:00"/>
    <d v="2024-03-02T00:00:00"/>
  </r>
  <r>
    <n v="2501"/>
    <n v="13106"/>
    <x v="3"/>
    <n v="102435.7"/>
    <x v="0"/>
    <n v="14"/>
    <x v="3"/>
    <d v="2024-05-24T00:00:00"/>
    <d v="2024-06-07T00:00:00"/>
  </r>
  <r>
    <n v="2502"/>
    <n v="18975"/>
    <x v="3"/>
    <n v="150615.62"/>
    <x v="0"/>
    <n v="11"/>
    <x v="0"/>
    <d v="2024-03-15T00:00:00"/>
    <d v="2024-03-26T00:00:00"/>
  </r>
  <r>
    <n v="2503"/>
    <n v="18862"/>
    <x v="0"/>
    <n v="114720.02"/>
    <x v="0"/>
    <n v="9"/>
    <x v="2"/>
    <d v="2024-07-05T00:00:00"/>
    <d v="2024-07-14T00:00:00"/>
  </r>
  <r>
    <n v="2504"/>
    <n v="12584"/>
    <x v="3"/>
    <n v="21244"/>
    <x v="0"/>
    <n v="8"/>
    <x v="3"/>
    <d v="2024-01-10T00:00:00"/>
    <d v="2024-01-18T00:00:00"/>
  </r>
  <r>
    <n v="2505"/>
    <n v="14942"/>
    <x v="0"/>
    <n v="41188.15"/>
    <x v="0"/>
    <n v="14"/>
    <x v="3"/>
    <d v="2024-04-30T00:00:00"/>
    <d v="2024-05-14T00:00:00"/>
  </r>
  <r>
    <n v="2506"/>
    <n v="11277"/>
    <x v="3"/>
    <n v="47769"/>
    <x v="1"/>
    <n v="27"/>
    <x v="0"/>
    <d v="2024-10-15T00:00:00"/>
    <d v="2024-11-11T00:00:00"/>
  </r>
  <r>
    <n v="2507"/>
    <n v="13043"/>
    <x v="1"/>
    <n v="55283.53"/>
    <x v="0"/>
    <n v="33"/>
    <x v="2"/>
    <d v="2024-06-13T00:00:00"/>
    <d v="2024-07-16T00:00:00"/>
  </r>
  <r>
    <n v="2508"/>
    <n v="17370"/>
    <x v="0"/>
    <n v="115253.66"/>
    <x v="0"/>
    <n v="20"/>
    <x v="3"/>
    <d v="2024-09-20T00:00:00"/>
    <d v="2024-10-10T00:00:00"/>
  </r>
  <r>
    <n v="2509"/>
    <n v="15860"/>
    <x v="3"/>
    <n v="103273.33"/>
    <x v="1"/>
    <n v="16"/>
    <x v="1"/>
    <d v="2024-06-09T00:00:00"/>
    <d v="2024-06-25T00:00:00"/>
  </r>
  <r>
    <n v="2510"/>
    <n v="13782"/>
    <x v="3"/>
    <n v="44616.21"/>
    <x v="1"/>
    <n v="3"/>
    <x v="1"/>
    <d v="2024-11-22T00:00:00"/>
    <d v="2024-11-25T00:00:00"/>
  </r>
  <r>
    <n v="2511"/>
    <n v="17057"/>
    <x v="3"/>
    <n v="18173.189999999999"/>
    <x v="1"/>
    <n v="38"/>
    <x v="1"/>
    <d v="2024-10-23T00:00:00"/>
    <d v="2024-11-30T00:00:00"/>
  </r>
  <r>
    <n v="2512"/>
    <n v="18369"/>
    <x v="1"/>
    <n v="38429.279999999999"/>
    <x v="1"/>
    <n v="20"/>
    <x v="2"/>
    <d v="2024-04-27T00:00:00"/>
    <d v="2024-05-17T00:00:00"/>
  </r>
  <r>
    <n v="2513"/>
    <n v="18467"/>
    <x v="1"/>
    <n v="196954.36"/>
    <x v="2"/>
    <m/>
    <x v="3"/>
    <d v="2024-11-06T00:00:00"/>
    <m/>
  </r>
  <r>
    <n v="2514"/>
    <n v="13481"/>
    <x v="1"/>
    <n v="96366.66"/>
    <x v="0"/>
    <n v="40"/>
    <x v="1"/>
    <d v="2024-09-19T00:00:00"/>
    <d v="2024-10-29T00:00:00"/>
  </r>
  <r>
    <n v="2515"/>
    <n v="15772"/>
    <x v="3"/>
    <n v="174132.37"/>
    <x v="0"/>
    <n v="34"/>
    <x v="2"/>
    <d v="2024-03-24T00:00:00"/>
    <d v="2024-04-27T00:00:00"/>
  </r>
  <r>
    <n v="2516"/>
    <n v="19616"/>
    <x v="3"/>
    <n v="170506.73"/>
    <x v="0"/>
    <n v="2"/>
    <x v="1"/>
    <d v="2024-05-25T00:00:00"/>
    <d v="2024-05-27T00:00:00"/>
  </r>
  <r>
    <n v="2517"/>
    <n v="15336"/>
    <x v="3"/>
    <n v="104746.31"/>
    <x v="0"/>
    <n v="40"/>
    <x v="0"/>
    <d v="2024-06-19T00:00:00"/>
    <d v="2024-07-29T00:00:00"/>
  </r>
  <r>
    <n v="2518"/>
    <n v="14122"/>
    <x v="3"/>
    <n v="142804.1"/>
    <x v="0"/>
    <n v="29"/>
    <x v="3"/>
    <d v="2024-11-29T00:00:00"/>
    <d v="2024-12-28T00:00:00"/>
  </r>
  <r>
    <n v="2519"/>
    <n v="12960"/>
    <x v="1"/>
    <n v="42586.64"/>
    <x v="0"/>
    <n v="18"/>
    <x v="3"/>
    <d v="2024-11-04T00:00:00"/>
    <d v="2024-11-22T00:00:00"/>
  </r>
  <r>
    <n v="2520"/>
    <n v="17897"/>
    <x v="0"/>
    <n v="139237.35999999999"/>
    <x v="0"/>
    <n v="7"/>
    <x v="2"/>
    <d v="2024-01-14T00:00:00"/>
    <d v="2024-01-21T00:00:00"/>
  </r>
  <r>
    <n v="2521"/>
    <n v="12469"/>
    <x v="1"/>
    <n v="58114.99"/>
    <x v="0"/>
    <n v="21"/>
    <x v="2"/>
    <d v="2024-05-28T00:00:00"/>
    <d v="2024-06-18T00:00:00"/>
  </r>
  <r>
    <n v="2522"/>
    <n v="17051"/>
    <x v="3"/>
    <n v="167252.10999999999"/>
    <x v="0"/>
    <n v="14"/>
    <x v="3"/>
    <d v="2024-09-07T00:00:00"/>
    <d v="2024-09-21T00:00:00"/>
  </r>
  <r>
    <n v="2523"/>
    <n v="14068"/>
    <x v="2"/>
    <n v="21326.21"/>
    <x v="2"/>
    <m/>
    <x v="1"/>
    <d v="2024-02-26T00:00:00"/>
    <m/>
  </r>
  <r>
    <n v="2524"/>
    <n v="15443"/>
    <x v="1"/>
    <n v="155762.04"/>
    <x v="0"/>
    <n v="31"/>
    <x v="1"/>
    <d v="2024-12-12T00:00:00"/>
    <d v="2025-01-12T00:00:00"/>
  </r>
  <r>
    <n v="2525"/>
    <n v="19782"/>
    <x v="2"/>
    <n v="24487.7"/>
    <x v="1"/>
    <n v="22"/>
    <x v="0"/>
    <d v="2024-10-28T00:00:00"/>
    <d v="2024-11-19T00:00:00"/>
  </r>
  <r>
    <n v="2526"/>
    <n v="14380"/>
    <x v="1"/>
    <n v="176831.9"/>
    <x v="0"/>
    <n v="3"/>
    <x v="1"/>
    <d v="2024-12-12T00:00:00"/>
    <d v="2024-12-15T00:00:00"/>
  </r>
  <r>
    <n v="2527"/>
    <n v="19304"/>
    <x v="3"/>
    <n v="64319.88"/>
    <x v="2"/>
    <m/>
    <x v="2"/>
    <d v="2024-05-12T00:00:00"/>
    <m/>
  </r>
  <r>
    <n v="2528"/>
    <n v="19260"/>
    <x v="3"/>
    <n v="132606.71"/>
    <x v="1"/>
    <n v="29"/>
    <x v="2"/>
    <d v="2024-06-18T00:00:00"/>
    <d v="2024-07-17T00:00:00"/>
  </r>
  <r>
    <n v="2529"/>
    <n v="12545"/>
    <x v="1"/>
    <n v="100062.94"/>
    <x v="0"/>
    <n v="5"/>
    <x v="1"/>
    <d v="2024-04-11T00:00:00"/>
    <d v="2024-04-16T00:00:00"/>
  </r>
  <r>
    <n v="2530"/>
    <n v="17665"/>
    <x v="3"/>
    <n v="76429.11"/>
    <x v="0"/>
    <n v="43"/>
    <x v="2"/>
    <d v="2024-04-15T00:00:00"/>
    <d v="2024-05-28T00:00:00"/>
  </r>
  <r>
    <n v="2531"/>
    <n v="13649"/>
    <x v="3"/>
    <n v="130861.16"/>
    <x v="0"/>
    <n v="44"/>
    <x v="3"/>
    <d v="2024-06-19T00:00:00"/>
    <d v="2024-08-02T00:00:00"/>
  </r>
  <r>
    <n v="2532"/>
    <n v="11814"/>
    <x v="1"/>
    <n v="189766.98"/>
    <x v="2"/>
    <m/>
    <x v="3"/>
    <d v="2024-05-07T00:00:00"/>
    <m/>
  </r>
  <r>
    <n v="2533"/>
    <n v="13907"/>
    <x v="1"/>
    <n v="13047.6"/>
    <x v="1"/>
    <n v="39"/>
    <x v="1"/>
    <d v="2024-09-06T00:00:00"/>
    <d v="2024-10-15T00:00:00"/>
  </r>
  <r>
    <n v="2534"/>
    <n v="13731"/>
    <x v="1"/>
    <n v="184176.31"/>
    <x v="1"/>
    <n v="10"/>
    <x v="3"/>
    <d v="2024-02-01T00:00:00"/>
    <d v="2024-02-11T00:00:00"/>
  </r>
  <r>
    <n v="2535"/>
    <n v="17685"/>
    <x v="3"/>
    <n v="123770.92"/>
    <x v="0"/>
    <n v="21"/>
    <x v="3"/>
    <d v="2024-08-03T00:00:00"/>
    <d v="2024-08-24T00:00:00"/>
  </r>
  <r>
    <n v="2536"/>
    <n v="18273"/>
    <x v="3"/>
    <n v="162426.29"/>
    <x v="0"/>
    <n v="31"/>
    <x v="0"/>
    <d v="2024-09-18T00:00:00"/>
    <d v="2024-10-19T00:00:00"/>
  </r>
  <r>
    <n v="2537"/>
    <n v="15869"/>
    <x v="1"/>
    <n v="79855.62"/>
    <x v="1"/>
    <n v="38"/>
    <x v="0"/>
    <d v="2024-11-25T00:00:00"/>
    <d v="2025-01-02T00:00:00"/>
  </r>
  <r>
    <n v="2538"/>
    <n v="18273"/>
    <x v="2"/>
    <n v="97009.38"/>
    <x v="0"/>
    <n v="39"/>
    <x v="3"/>
    <d v="2024-08-31T00:00:00"/>
    <d v="2024-10-09T00:00:00"/>
  </r>
  <r>
    <n v="2539"/>
    <n v="10093"/>
    <x v="1"/>
    <n v="174425.9"/>
    <x v="0"/>
    <n v="5"/>
    <x v="1"/>
    <d v="2024-10-11T00:00:00"/>
    <d v="2024-10-16T00:00:00"/>
  </r>
  <r>
    <n v="2540"/>
    <n v="18186"/>
    <x v="2"/>
    <n v="85895.35"/>
    <x v="0"/>
    <n v="39"/>
    <x v="0"/>
    <d v="2024-10-16T00:00:00"/>
    <d v="2024-11-24T00:00:00"/>
  </r>
  <r>
    <n v="2541"/>
    <n v="10342"/>
    <x v="1"/>
    <n v="109258.62"/>
    <x v="2"/>
    <m/>
    <x v="2"/>
    <d v="2024-09-19T00:00:00"/>
    <m/>
  </r>
  <r>
    <n v="2542"/>
    <n v="16940"/>
    <x v="1"/>
    <n v="8938.01"/>
    <x v="0"/>
    <n v="36"/>
    <x v="2"/>
    <d v="2024-12-02T00:00:00"/>
    <d v="2025-01-07T00:00:00"/>
  </r>
  <r>
    <n v="2543"/>
    <n v="12408"/>
    <x v="3"/>
    <n v="35926.61"/>
    <x v="0"/>
    <n v="31"/>
    <x v="2"/>
    <d v="2024-11-28T00:00:00"/>
    <d v="2024-12-29T00:00:00"/>
  </r>
  <r>
    <n v="2544"/>
    <n v="19281"/>
    <x v="1"/>
    <n v="130128.87"/>
    <x v="0"/>
    <n v="43"/>
    <x v="1"/>
    <d v="2024-11-09T00:00:00"/>
    <d v="2024-12-22T00:00:00"/>
  </r>
  <r>
    <n v="2545"/>
    <n v="10623"/>
    <x v="1"/>
    <n v="144810.5"/>
    <x v="1"/>
    <n v="5"/>
    <x v="3"/>
    <d v="2024-03-25T00:00:00"/>
    <d v="2024-03-30T00:00:00"/>
  </r>
  <r>
    <n v="2546"/>
    <n v="10867"/>
    <x v="1"/>
    <n v="118607.18"/>
    <x v="0"/>
    <n v="26"/>
    <x v="2"/>
    <d v="2024-11-24T00:00:00"/>
    <d v="2024-12-20T00:00:00"/>
  </r>
  <r>
    <n v="2547"/>
    <n v="13472"/>
    <x v="3"/>
    <n v="32945.46"/>
    <x v="0"/>
    <n v="32"/>
    <x v="1"/>
    <d v="2024-02-14T00:00:00"/>
    <d v="2024-03-17T00:00:00"/>
  </r>
  <r>
    <n v="2548"/>
    <n v="10170"/>
    <x v="1"/>
    <n v="91854.06"/>
    <x v="0"/>
    <n v="13"/>
    <x v="0"/>
    <d v="2024-10-29T00:00:00"/>
    <d v="2024-11-11T00:00:00"/>
  </r>
  <r>
    <n v="2549"/>
    <n v="19974"/>
    <x v="3"/>
    <n v="74243.48"/>
    <x v="1"/>
    <n v="16"/>
    <x v="3"/>
    <d v="2024-11-28T00:00:00"/>
    <d v="2024-12-14T00:00:00"/>
  </r>
  <r>
    <n v="2550"/>
    <n v="18769"/>
    <x v="1"/>
    <n v="101653.96"/>
    <x v="2"/>
    <m/>
    <x v="0"/>
    <d v="2024-07-18T00:00:00"/>
    <m/>
  </r>
  <r>
    <n v="2551"/>
    <n v="18259"/>
    <x v="3"/>
    <n v="174714.16"/>
    <x v="1"/>
    <n v="11"/>
    <x v="1"/>
    <d v="2024-07-19T00:00:00"/>
    <d v="2024-07-30T00:00:00"/>
  </r>
  <r>
    <n v="2552"/>
    <n v="11515"/>
    <x v="0"/>
    <n v="156292.98000000001"/>
    <x v="0"/>
    <n v="13"/>
    <x v="2"/>
    <d v="2024-11-24T00:00:00"/>
    <d v="2024-12-07T00:00:00"/>
  </r>
  <r>
    <n v="2553"/>
    <n v="18192"/>
    <x v="3"/>
    <n v="21377.95"/>
    <x v="2"/>
    <m/>
    <x v="2"/>
    <d v="2024-06-16T00:00:00"/>
    <m/>
  </r>
  <r>
    <n v="2554"/>
    <n v="12198"/>
    <x v="3"/>
    <n v="178610.29"/>
    <x v="0"/>
    <n v="41"/>
    <x v="1"/>
    <d v="2024-08-27T00:00:00"/>
    <d v="2024-10-07T00:00:00"/>
  </r>
  <r>
    <n v="2555"/>
    <n v="10901"/>
    <x v="3"/>
    <n v="96994.59"/>
    <x v="0"/>
    <n v="22"/>
    <x v="2"/>
    <d v="2024-10-12T00:00:00"/>
    <d v="2024-11-03T00:00:00"/>
  </r>
  <r>
    <n v="2556"/>
    <n v="15903"/>
    <x v="1"/>
    <n v="150053.12"/>
    <x v="0"/>
    <n v="36"/>
    <x v="3"/>
    <d v="2024-07-08T00:00:00"/>
    <d v="2024-08-13T00:00:00"/>
  </r>
  <r>
    <n v="2557"/>
    <n v="17755"/>
    <x v="3"/>
    <n v="32307.65"/>
    <x v="0"/>
    <n v="8"/>
    <x v="1"/>
    <d v="2024-03-11T00:00:00"/>
    <d v="2024-03-19T00:00:00"/>
  </r>
  <r>
    <n v="2558"/>
    <n v="18986"/>
    <x v="3"/>
    <n v="135790.31"/>
    <x v="1"/>
    <n v="19"/>
    <x v="0"/>
    <d v="2024-05-24T00:00:00"/>
    <d v="2024-06-12T00:00:00"/>
  </r>
  <r>
    <n v="2559"/>
    <n v="12066"/>
    <x v="1"/>
    <n v="51083.57"/>
    <x v="0"/>
    <n v="28"/>
    <x v="1"/>
    <d v="2024-12-24T00:00:00"/>
    <d v="2025-01-21T00:00:00"/>
  </r>
  <r>
    <n v="2560"/>
    <n v="18562"/>
    <x v="3"/>
    <n v="90484.27"/>
    <x v="0"/>
    <n v="36"/>
    <x v="3"/>
    <d v="2024-07-27T00:00:00"/>
    <d v="2024-09-01T00:00:00"/>
  </r>
  <r>
    <n v="2561"/>
    <n v="12538"/>
    <x v="2"/>
    <n v="8288.26"/>
    <x v="0"/>
    <n v="3"/>
    <x v="3"/>
    <d v="2024-12-25T00:00:00"/>
    <d v="2024-12-28T00:00:00"/>
  </r>
  <r>
    <n v="2562"/>
    <n v="13907"/>
    <x v="2"/>
    <n v="34564.07"/>
    <x v="0"/>
    <n v="33"/>
    <x v="1"/>
    <d v="2024-07-26T00:00:00"/>
    <d v="2024-08-28T00:00:00"/>
  </r>
  <r>
    <n v="2563"/>
    <n v="16960"/>
    <x v="1"/>
    <n v="22955.7"/>
    <x v="0"/>
    <n v="16"/>
    <x v="1"/>
    <d v="2024-08-09T00:00:00"/>
    <d v="2024-08-25T00:00:00"/>
  </r>
  <r>
    <n v="2564"/>
    <n v="12596"/>
    <x v="3"/>
    <n v="51750.11"/>
    <x v="0"/>
    <n v="25"/>
    <x v="2"/>
    <d v="2024-10-13T00:00:00"/>
    <d v="2024-11-07T00:00:00"/>
  </r>
  <r>
    <n v="2565"/>
    <n v="19880"/>
    <x v="1"/>
    <n v="24503.53"/>
    <x v="0"/>
    <n v="21"/>
    <x v="3"/>
    <d v="2024-06-11T00:00:00"/>
    <d v="2024-07-02T00:00:00"/>
  </r>
  <r>
    <n v="2566"/>
    <n v="13321"/>
    <x v="3"/>
    <n v="139922.46"/>
    <x v="0"/>
    <n v="11"/>
    <x v="1"/>
    <d v="2024-12-30T00:00:00"/>
    <d v="2025-01-10T00:00:00"/>
  </r>
  <r>
    <n v="2567"/>
    <n v="19330"/>
    <x v="3"/>
    <n v="10662.78"/>
    <x v="0"/>
    <n v="25"/>
    <x v="1"/>
    <d v="2024-03-12T00:00:00"/>
    <d v="2024-04-06T00:00:00"/>
  </r>
  <r>
    <n v="2568"/>
    <n v="17720"/>
    <x v="3"/>
    <n v="125459.4"/>
    <x v="1"/>
    <n v="25"/>
    <x v="3"/>
    <d v="2024-08-27T00:00:00"/>
    <d v="2024-09-21T00:00:00"/>
  </r>
  <r>
    <n v="2569"/>
    <n v="12621"/>
    <x v="2"/>
    <n v="32438.03"/>
    <x v="0"/>
    <n v="25"/>
    <x v="1"/>
    <d v="2024-05-06T00:00:00"/>
    <d v="2024-05-31T00:00:00"/>
  </r>
  <r>
    <n v="2570"/>
    <n v="19357"/>
    <x v="3"/>
    <n v="189306.48"/>
    <x v="1"/>
    <n v="41"/>
    <x v="2"/>
    <d v="2024-03-25T00:00:00"/>
    <d v="2024-05-05T00:00:00"/>
  </r>
  <r>
    <n v="2571"/>
    <n v="19700"/>
    <x v="1"/>
    <n v="186953.34"/>
    <x v="2"/>
    <m/>
    <x v="3"/>
    <d v="2024-01-15T00:00:00"/>
    <m/>
  </r>
  <r>
    <n v="2572"/>
    <n v="13841"/>
    <x v="1"/>
    <n v="48973.1"/>
    <x v="1"/>
    <n v="42"/>
    <x v="2"/>
    <d v="2024-09-04T00:00:00"/>
    <d v="2024-10-16T00:00:00"/>
  </r>
  <r>
    <n v="2573"/>
    <n v="14558"/>
    <x v="3"/>
    <n v="124812.15"/>
    <x v="0"/>
    <n v="41"/>
    <x v="2"/>
    <d v="2024-11-07T00:00:00"/>
    <d v="2024-12-18T00:00:00"/>
  </r>
  <r>
    <n v="2574"/>
    <n v="14918"/>
    <x v="3"/>
    <n v="10461.040000000001"/>
    <x v="0"/>
    <n v="12"/>
    <x v="2"/>
    <d v="2024-10-09T00:00:00"/>
    <d v="2024-10-21T00:00:00"/>
  </r>
  <r>
    <n v="2575"/>
    <n v="18715"/>
    <x v="2"/>
    <n v="186698.77"/>
    <x v="2"/>
    <m/>
    <x v="2"/>
    <d v="2024-01-02T00:00:00"/>
    <m/>
  </r>
  <r>
    <n v="2576"/>
    <n v="14339"/>
    <x v="1"/>
    <n v="106982.53"/>
    <x v="0"/>
    <n v="2"/>
    <x v="3"/>
    <d v="2024-03-14T00:00:00"/>
    <d v="2024-03-16T00:00:00"/>
  </r>
  <r>
    <n v="2577"/>
    <n v="10238"/>
    <x v="1"/>
    <n v="13428.51"/>
    <x v="0"/>
    <n v="31"/>
    <x v="2"/>
    <d v="2024-03-04T00:00:00"/>
    <d v="2024-04-04T00:00:00"/>
  </r>
  <r>
    <n v="2578"/>
    <n v="11220"/>
    <x v="3"/>
    <n v="71787.5"/>
    <x v="0"/>
    <n v="44"/>
    <x v="2"/>
    <d v="2024-09-17T00:00:00"/>
    <d v="2024-10-31T00:00:00"/>
  </r>
  <r>
    <n v="2579"/>
    <n v="10768"/>
    <x v="3"/>
    <n v="19985.650000000001"/>
    <x v="0"/>
    <n v="19"/>
    <x v="1"/>
    <d v="2024-12-12T00:00:00"/>
    <d v="2024-12-31T00:00:00"/>
  </r>
  <r>
    <n v="2580"/>
    <n v="18426"/>
    <x v="3"/>
    <n v="81624.17"/>
    <x v="2"/>
    <m/>
    <x v="3"/>
    <d v="2024-11-19T00:00:00"/>
    <m/>
  </r>
  <r>
    <n v="2581"/>
    <n v="16330"/>
    <x v="3"/>
    <n v="135635.64000000001"/>
    <x v="0"/>
    <n v="10"/>
    <x v="3"/>
    <d v="2024-08-26T00:00:00"/>
    <d v="2024-09-05T00:00:00"/>
  </r>
  <r>
    <n v="2582"/>
    <n v="17388"/>
    <x v="3"/>
    <n v="96628.53"/>
    <x v="0"/>
    <n v="10"/>
    <x v="0"/>
    <d v="2024-12-02T00:00:00"/>
    <d v="2024-12-12T00:00:00"/>
  </r>
  <r>
    <n v="2583"/>
    <n v="14592"/>
    <x v="0"/>
    <n v="79825.820000000007"/>
    <x v="0"/>
    <n v="2"/>
    <x v="3"/>
    <d v="2024-12-06T00:00:00"/>
    <d v="2024-12-08T00:00:00"/>
  </r>
  <r>
    <n v="2584"/>
    <n v="19711"/>
    <x v="3"/>
    <n v="28235.62"/>
    <x v="0"/>
    <n v="8"/>
    <x v="3"/>
    <d v="2024-10-05T00:00:00"/>
    <d v="2024-10-13T00:00:00"/>
  </r>
  <r>
    <n v="2585"/>
    <n v="17617"/>
    <x v="3"/>
    <n v="52763.11"/>
    <x v="0"/>
    <n v="43"/>
    <x v="0"/>
    <d v="2024-12-18T00:00:00"/>
    <d v="2025-01-30T00:00:00"/>
  </r>
  <r>
    <n v="2586"/>
    <n v="18082"/>
    <x v="1"/>
    <n v="24527.94"/>
    <x v="0"/>
    <n v="17"/>
    <x v="3"/>
    <d v="2024-07-19T00:00:00"/>
    <d v="2024-08-05T00:00:00"/>
  </r>
  <r>
    <n v="2587"/>
    <n v="17579"/>
    <x v="1"/>
    <n v="162462.25"/>
    <x v="1"/>
    <n v="39"/>
    <x v="3"/>
    <d v="2024-10-19T00:00:00"/>
    <d v="2024-11-27T00:00:00"/>
  </r>
  <r>
    <n v="2588"/>
    <n v="19127"/>
    <x v="3"/>
    <n v="31371.77"/>
    <x v="0"/>
    <n v="12"/>
    <x v="3"/>
    <d v="2024-10-12T00:00:00"/>
    <d v="2024-10-24T00:00:00"/>
  </r>
  <r>
    <n v="2589"/>
    <n v="19460"/>
    <x v="1"/>
    <n v="121097.81"/>
    <x v="1"/>
    <n v="26"/>
    <x v="3"/>
    <d v="2024-08-08T00:00:00"/>
    <d v="2024-09-03T00:00:00"/>
  </r>
  <r>
    <n v="2590"/>
    <n v="16456"/>
    <x v="3"/>
    <n v="71834.38"/>
    <x v="0"/>
    <n v="30"/>
    <x v="0"/>
    <d v="2024-06-10T00:00:00"/>
    <d v="2024-07-10T00:00:00"/>
  </r>
  <r>
    <n v="2591"/>
    <n v="19010"/>
    <x v="3"/>
    <n v="49065.79"/>
    <x v="0"/>
    <n v="20"/>
    <x v="3"/>
    <d v="2024-07-01T00:00:00"/>
    <d v="2024-07-21T00:00:00"/>
  </r>
  <r>
    <n v="2592"/>
    <n v="14117"/>
    <x v="3"/>
    <n v="129696.35"/>
    <x v="0"/>
    <n v="19"/>
    <x v="3"/>
    <d v="2024-09-21T00:00:00"/>
    <d v="2024-10-10T00:00:00"/>
  </r>
  <r>
    <n v="2593"/>
    <n v="12439"/>
    <x v="0"/>
    <n v="94115.45"/>
    <x v="0"/>
    <n v="30"/>
    <x v="0"/>
    <d v="2024-05-11T00:00:00"/>
    <d v="2024-06-10T00:00:00"/>
  </r>
  <r>
    <n v="2594"/>
    <n v="19280"/>
    <x v="3"/>
    <n v="83028.37"/>
    <x v="1"/>
    <n v="17"/>
    <x v="1"/>
    <d v="2024-11-17T00:00:00"/>
    <d v="2024-12-04T00:00:00"/>
  </r>
  <r>
    <n v="2595"/>
    <n v="16086"/>
    <x v="3"/>
    <n v="120606.14"/>
    <x v="1"/>
    <n v="41"/>
    <x v="2"/>
    <d v="2024-04-29T00:00:00"/>
    <d v="2024-06-09T00:00:00"/>
  </r>
  <r>
    <n v="2596"/>
    <n v="14824"/>
    <x v="3"/>
    <n v="100797.19"/>
    <x v="0"/>
    <n v="9"/>
    <x v="1"/>
    <d v="2024-08-06T00:00:00"/>
    <d v="2024-08-15T00:00:00"/>
  </r>
  <r>
    <n v="2597"/>
    <n v="19965"/>
    <x v="0"/>
    <n v="64179.42"/>
    <x v="0"/>
    <n v="35"/>
    <x v="0"/>
    <d v="2024-06-08T00:00:00"/>
    <d v="2024-07-13T00:00:00"/>
  </r>
  <r>
    <n v="2598"/>
    <n v="18391"/>
    <x v="3"/>
    <n v="114016.95"/>
    <x v="1"/>
    <n v="7"/>
    <x v="2"/>
    <d v="2024-10-26T00:00:00"/>
    <d v="2024-11-02T00:00:00"/>
  </r>
  <r>
    <n v="2599"/>
    <n v="18369"/>
    <x v="3"/>
    <n v="135552.22"/>
    <x v="0"/>
    <n v="31"/>
    <x v="0"/>
    <d v="2024-04-18T00:00:00"/>
    <d v="2024-05-19T00:00:00"/>
  </r>
  <r>
    <n v="2600"/>
    <n v="15542"/>
    <x v="3"/>
    <n v="10205.17"/>
    <x v="0"/>
    <n v="35"/>
    <x v="0"/>
    <d v="2024-08-25T00:00:00"/>
    <d v="2024-09-29T00:00:00"/>
  </r>
  <r>
    <n v="2601"/>
    <n v="19122"/>
    <x v="3"/>
    <n v="95844.99"/>
    <x v="2"/>
    <m/>
    <x v="3"/>
    <d v="2024-10-19T00:00:00"/>
    <m/>
  </r>
  <r>
    <n v="2602"/>
    <n v="12036"/>
    <x v="1"/>
    <n v="16248.24"/>
    <x v="0"/>
    <n v="13"/>
    <x v="2"/>
    <d v="2024-03-07T00:00:00"/>
    <d v="2024-03-20T00:00:00"/>
  </r>
  <r>
    <n v="2603"/>
    <n v="19677"/>
    <x v="1"/>
    <n v="41349.06"/>
    <x v="2"/>
    <m/>
    <x v="3"/>
    <d v="2024-11-11T00:00:00"/>
    <m/>
  </r>
  <r>
    <n v="2604"/>
    <n v="12091"/>
    <x v="3"/>
    <n v="114299.2"/>
    <x v="0"/>
    <n v="40"/>
    <x v="2"/>
    <d v="2024-07-05T00:00:00"/>
    <d v="2024-08-14T00:00:00"/>
  </r>
  <r>
    <n v="2605"/>
    <n v="15550"/>
    <x v="3"/>
    <n v="173906.84"/>
    <x v="1"/>
    <n v="7"/>
    <x v="0"/>
    <d v="2024-02-05T00:00:00"/>
    <d v="2024-02-12T00:00:00"/>
  </r>
  <r>
    <n v="2606"/>
    <n v="14263"/>
    <x v="3"/>
    <n v="177147.11"/>
    <x v="0"/>
    <n v="5"/>
    <x v="0"/>
    <d v="2024-02-18T00:00:00"/>
    <d v="2024-02-23T00:00:00"/>
  </r>
  <r>
    <n v="2607"/>
    <n v="16430"/>
    <x v="3"/>
    <n v="18639.080000000002"/>
    <x v="0"/>
    <n v="10"/>
    <x v="1"/>
    <d v="2024-09-12T00:00:00"/>
    <d v="2024-09-22T00:00:00"/>
  </r>
  <r>
    <n v="2608"/>
    <n v="12384"/>
    <x v="3"/>
    <n v="86725.49"/>
    <x v="0"/>
    <n v="6"/>
    <x v="2"/>
    <d v="2024-04-16T00:00:00"/>
    <d v="2024-04-22T00:00:00"/>
  </r>
  <r>
    <n v="2609"/>
    <n v="16326"/>
    <x v="1"/>
    <n v="118686.26"/>
    <x v="0"/>
    <n v="11"/>
    <x v="3"/>
    <d v="2024-01-08T00:00:00"/>
    <d v="2024-01-19T00:00:00"/>
  </r>
  <r>
    <n v="2610"/>
    <n v="18207"/>
    <x v="2"/>
    <n v="33678.629999999997"/>
    <x v="0"/>
    <n v="9"/>
    <x v="1"/>
    <d v="2024-08-23T00:00:00"/>
    <d v="2024-09-01T00:00:00"/>
  </r>
  <r>
    <n v="2611"/>
    <n v="17663"/>
    <x v="2"/>
    <n v="154259.28"/>
    <x v="0"/>
    <n v="24"/>
    <x v="1"/>
    <d v="2024-06-26T00:00:00"/>
    <d v="2024-07-20T00:00:00"/>
  </r>
  <r>
    <n v="2612"/>
    <n v="19028"/>
    <x v="0"/>
    <n v="150125.88"/>
    <x v="0"/>
    <n v="5"/>
    <x v="1"/>
    <d v="2024-08-29T00:00:00"/>
    <d v="2024-09-03T00:00:00"/>
  </r>
  <r>
    <n v="2613"/>
    <n v="17721"/>
    <x v="1"/>
    <n v="181151.5"/>
    <x v="1"/>
    <n v="38"/>
    <x v="3"/>
    <d v="2024-02-10T00:00:00"/>
    <d v="2024-03-19T00:00:00"/>
  </r>
  <r>
    <n v="2614"/>
    <n v="12157"/>
    <x v="1"/>
    <n v="6654.77"/>
    <x v="0"/>
    <n v="8"/>
    <x v="1"/>
    <d v="2024-12-22T00:00:00"/>
    <d v="2024-12-30T00:00:00"/>
  </r>
  <r>
    <n v="2615"/>
    <n v="19768"/>
    <x v="3"/>
    <n v="47253.43"/>
    <x v="0"/>
    <n v="7"/>
    <x v="3"/>
    <d v="2024-09-01T00:00:00"/>
    <d v="2024-09-08T00:00:00"/>
  </r>
  <r>
    <n v="2616"/>
    <n v="10305"/>
    <x v="1"/>
    <n v="166301.41"/>
    <x v="0"/>
    <n v="43"/>
    <x v="1"/>
    <d v="2024-04-22T00:00:00"/>
    <d v="2024-06-04T00:00:00"/>
  </r>
  <r>
    <n v="2617"/>
    <n v="17123"/>
    <x v="3"/>
    <n v="135763.10999999999"/>
    <x v="0"/>
    <n v="16"/>
    <x v="3"/>
    <d v="2024-12-30T00:00:00"/>
    <d v="2025-01-15T00:00:00"/>
  </r>
  <r>
    <n v="2618"/>
    <n v="12053"/>
    <x v="3"/>
    <n v="179406.02"/>
    <x v="0"/>
    <n v="36"/>
    <x v="0"/>
    <d v="2024-09-12T00:00:00"/>
    <d v="2024-10-18T00:00:00"/>
  </r>
  <r>
    <n v="2619"/>
    <n v="15812"/>
    <x v="1"/>
    <n v="16150.03"/>
    <x v="0"/>
    <n v="33"/>
    <x v="0"/>
    <d v="2024-06-14T00:00:00"/>
    <d v="2024-07-17T00:00:00"/>
  </r>
  <r>
    <n v="2620"/>
    <n v="13344"/>
    <x v="3"/>
    <n v="121407.97"/>
    <x v="1"/>
    <n v="15"/>
    <x v="0"/>
    <d v="2024-12-07T00:00:00"/>
    <d v="2024-12-22T00:00:00"/>
  </r>
  <r>
    <n v="2621"/>
    <n v="14456"/>
    <x v="3"/>
    <n v="115964.08"/>
    <x v="0"/>
    <n v="36"/>
    <x v="0"/>
    <d v="2024-03-18T00:00:00"/>
    <d v="2024-04-23T00:00:00"/>
  </r>
  <r>
    <n v="2622"/>
    <n v="11208"/>
    <x v="2"/>
    <n v="11956.51"/>
    <x v="0"/>
    <n v="12"/>
    <x v="0"/>
    <d v="2024-07-25T00:00:00"/>
    <d v="2024-08-06T00:00:00"/>
  </r>
  <r>
    <n v="2623"/>
    <n v="11858"/>
    <x v="3"/>
    <n v="105136.8"/>
    <x v="1"/>
    <n v="11"/>
    <x v="1"/>
    <d v="2024-11-06T00:00:00"/>
    <d v="2024-11-17T00:00:00"/>
  </r>
  <r>
    <n v="2624"/>
    <n v="12703"/>
    <x v="3"/>
    <n v="123856.46"/>
    <x v="1"/>
    <n v="18"/>
    <x v="1"/>
    <d v="2024-07-14T00:00:00"/>
    <d v="2024-08-01T00:00:00"/>
  </r>
  <r>
    <n v="2625"/>
    <n v="11971"/>
    <x v="2"/>
    <n v="42302.17"/>
    <x v="0"/>
    <n v="14"/>
    <x v="1"/>
    <d v="2024-11-16T00:00:00"/>
    <d v="2024-11-30T00:00:00"/>
  </r>
  <r>
    <n v="2626"/>
    <n v="11113"/>
    <x v="1"/>
    <n v="58299.27"/>
    <x v="1"/>
    <n v="35"/>
    <x v="3"/>
    <d v="2024-03-04T00:00:00"/>
    <d v="2024-04-08T00:00:00"/>
  </r>
  <r>
    <n v="2627"/>
    <n v="10983"/>
    <x v="1"/>
    <n v="129867.73"/>
    <x v="0"/>
    <n v="6"/>
    <x v="3"/>
    <d v="2024-05-19T00:00:00"/>
    <d v="2024-05-25T00:00:00"/>
  </r>
  <r>
    <n v="2628"/>
    <n v="12127"/>
    <x v="3"/>
    <n v="96318.68"/>
    <x v="1"/>
    <n v="11"/>
    <x v="3"/>
    <d v="2024-02-11T00:00:00"/>
    <d v="2024-02-22T00:00:00"/>
  </r>
  <r>
    <n v="2629"/>
    <n v="13639"/>
    <x v="3"/>
    <n v="172312.66"/>
    <x v="0"/>
    <n v="33"/>
    <x v="3"/>
    <d v="2024-11-01T00:00:00"/>
    <d v="2024-12-04T00:00:00"/>
  </r>
  <r>
    <n v="2630"/>
    <n v="17476"/>
    <x v="0"/>
    <n v="71764.44"/>
    <x v="0"/>
    <n v="13"/>
    <x v="0"/>
    <d v="2024-07-27T00:00:00"/>
    <d v="2024-08-09T00:00:00"/>
  </r>
  <r>
    <n v="2631"/>
    <n v="10560"/>
    <x v="1"/>
    <n v="56998.63"/>
    <x v="2"/>
    <m/>
    <x v="0"/>
    <d v="2024-10-30T00:00:00"/>
    <m/>
  </r>
  <r>
    <n v="2632"/>
    <n v="16652"/>
    <x v="1"/>
    <n v="197048.86"/>
    <x v="0"/>
    <n v="22"/>
    <x v="0"/>
    <d v="2024-03-13T00:00:00"/>
    <d v="2024-04-04T00:00:00"/>
  </r>
  <r>
    <n v="2633"/>
    <n v="14387"/>
    <x v="3"/>
    <n v="182671.48"/>
    <x v="0"/>
    <n v="34"/>
    <x v="2"/>
    <d v="2024-06-01T00:00:00"/>
    <d v="2024-07-05T00:00:00"/>
  </r>
  <r>
    <n v="2634"/>
    <n v="12932"/>
    <x v="3"/>
    <n v="10653.59"/>
    <x v="0"/>
    <n v="42"/>
    <x v="1"/>
    <d v="2024-05-14T00:00:00"/>
    <d v="2024-06-25T00:00:00"/>
  </r>
  <r>
    <n v="2635"/>
    <n v="18482"/>
    <x v="2"/>
    <n v="155292.07999999999"/>
    <x v="0"/>
    <n v="33"/>
    <x v="3"/>
    <d v="2024-12-27T00:00:00"/>
    <d v="2025-01-29T00:00:00"/>
  </r>
  <r>
    <n v="2636"/>
    <n v="11909"/>
    <x v="3"/>
    <n v="26515.279999999999"/>
    <x v="0"/>
    <n v="13"/>
    <x v="3"/>
    <d v="2024-09-20T00:00:00"/>
    <d v="2024-10-03T00:00:00"/>
  </r>
  <r>
    <n v="2637"/>
    <n v="17230"/>
    <x v="1"/>
    <n v="10359.61"/>
    <x v="0"/>
    <n v="36"/>
    <x v="0"/>
    <d v="2024-08-03T00:00:00"/>
    <d v="2024-09-08T00:00:00"/>
  </r>
  <r>
    <n v="2638"/>
    <n v="11428"/>
    <x v="3"/>
    <n v="58370.63"/>
    <x v="0"/>
    <n v="37"/>
    <x v="3"/>
    <d v="2024-07-27T00:00:00"/>
    <d v="2024-09-02T00:00:00"/>
  </r>
  <r>
    <n v="2639"/>
    <n v="10947"/>
    <x v="1"/>
    <n v="57522.45"/>
    <x v="0"/>
    <n v="39"/>
    <x v="3"/>
    <d v="2024-07-22T00:00:00"/>
    <d v="2024-08-30T00:00:00"/>
  </r>
  <r>
    <n v="2640"/>
    <n v="11348"/>
    <x v="2"/>
    <n v="164767.16"/>
    <x v="0"/>
    <n v="29"/>
    <x v="1"/>
    <d v="2024-04-19T00:00:00"/>
    <d v="2024-05-18T00:00:00"/>
  </r>
  <r>
    <n v="2641"/>
    <n v="18572"/>
    <x v="1"/>
    <n v="143580.10999999999"/>
    <x v="0"/>
    <n v="14"/>
    <x v="0"/>
    <d v="2024-01-31T00:00:00"/>
    <d v="2024-02-14T00:00:00"/>
  </r>
  <r>
    <n v="2642"/>
    <n v="19896"/>
    <x v="3"/>
    <n v="196413.84"/>
    <x v="0"/>
    <n v="13"/>
    <x v="1"/>
    <d v="2024-01-12T00:00:00"/>
    <d v="2024-01-25T00:00:00"/>
  </r>
  <r>
    <n v="2643"/>
    <n v="10309"/>
    <x v="1"/>
    <n v="143745.01999999999"/>
    <x v="2"/>
    <m/>
    <x v="2"/>
    <d v="2024-05-06T00:00:00"/>
    <m/>
  </r>
  <r>
    <n v="2644"/>
    <n v="13414"/>
    <x v="1"/>
    <n v="86559.83"/>
    <x v="0"/>
    <n v="3"/>
    <x v="2"/>
    <d v="2024-11-08T00:00:00"/>
    <d v="2024-11-11T00:00:00"/>
  </r>
  <r>
    <n v="2645"/>
    <n v="15789"/>
    <x v="3"/>
    <n v="141290.89000000001"/>
    <x v="0"/>
    <n v="30"/>
    <x v="2"/>
    <d v="2024-07-12T00:00:00"/>
    <d v="2024-08-11T00:00:00"/>
  </r>
  <r>
    <n v="2646"/>
    <n v="19690"/>
    <x v="0"/>
    <n v="199894.52"/>
    <x v="1"/>
    <n v="14"/>
    <x v="0"/>
    <d v="2024-05-19T00:00:00"/>
    <d v="2024-06-02T00:00:00"/>
  </r>
  <r>
    <n v="2647"/>
    <n v="16568"/>
    <x v="1"/>
    <n v="143477.67000000001"/>
    <x v="1"/>
    <n v="36"/>
    <x v="3"/>
    <d v="2024-01-27T00:00:00"/>
    <d v="2024-03-03T00:00:00"/>
  </r>
  <r>
    <n v="2648"/>
    <n v="18852"/>
    <x v="0"/>
    <n v="153527.85999999999"/>
    <x v="0"/>
    <n v="14"/>
    <x v="0"/>
    <d v="2024-02-15T00:00:00"/>
    <d v="2024-02-29T00:00:00"/>
  </r>
  <r>
    <n v="2649"/>
    <n v="13447"/>
    <x v="1"/>
    <n v="187981.18"/>
    <x v="1"/>
    <n v="35"/>
    <x v="0"/>
    <d v="2024-05-14T00:00:00"/>
    <d v="2024-06-18T00:00:00"/>
  </r>
  <r>
    <n v="2650"/>
    <n v="12273"/>
    <x v="3"/>
    <n v="27162"/>
    <x v="0"/>
    <n v="20"/>
    <x v="3"/>
    <d v="2024-11-12T00:00:00"/>
    <d v="2024-12-02T00:00:00"/>
  </r>
  <r>
    <n v="2651"/>
    <n v="19689"/>
    <x v="3"/>
    <n v="142432.94"/>
    <x v="1"/>
    <n v="10"/>
    <x v="1"/>
    <d v="2024-02-27T00:00:00"/>
    <d v="2024-03-08T00:00:00"/>
  </r>
  <r>
    <n v="2652"/>
    <n v="12142"/>
    <x v="3"/>
    <n v="170907.16"/>
    <x v="0"/>
    <n v="32"/>
    <x v="2"/>
    <d v="2024-01-13T00:00:00"/>
    <d v="2024-02-14T00:00:00"/>
  </r>
  <r>
    <n v="2653"/>
    <n v="19797"/>
    <x v="2"/>
    <n v="191103.83"/>
    <x v="0"/>
    <n v="34"/>
    <x v="1"/>
    <d v="2024-04-09T00:00:00"/>
    <d v="2024-05-13T00:00:00"/>
  </r>
  <r>
    <n v="2654"/>
    <n v="14739"/>
    <x v="1"/>
    <n v="46139.01"/>
    <x v="0"/>
    <n v="28"/>
    <x v="2"/>
    <d v="2024-02-18T00:00:00"/>
    <d v="2024-03-17T00:00:00"/>
  </r>
  <r>
    <n v="2655"/>
    <n v="19623"/>
    <x v="1"/>
    <n v="103266.16"/>
    <x v="1"/>
    <n v="3"/>
    <x v="0"/>
    <d v="2024-10-17T00:00:00"/>
    <d v="2024-10-20T00:00:00"/>
  </r>
  <r>
    <n v="2656"/>
    <n v="10458"/>
    <x v="3"/>
    <n v="137708.20000000001"/>
    <x v="0"/>
    <n v="16"/>
    <x v="2"/>
    <d v="2024-04-03T00:00:00"/>
    <d v="2024-04-19T00:00:00"/>
  </r>
  <r>
    <n v="2657"/>
    <n v="17580"/>
    <x v="3"/>
    <n v="53256.21"/>
    <x v="0"/>
    <n v="20"/>
    <x v="0"/>
    <d v="2024-04-04T00:00:00"/>
    <d v="2024-04-24T00:00:00"/>
  </r>
  <r>
    <n v="2658"/>
    <n v="10337"/>
    <x v="1"/>
    <n v="122092.21"/>
    <x v="0"/>
    <n v="32"/>
    <x v="1"/>
    <d v="2024-05-24T00:00:00"/>
    <d v="2024-06-25T00:00:00"/>
  </r>
  <r>
    <n v="2659"/>
    <n v="15450"/>
    <x v="3"/>
    <n v="55227.86"/>
    <x v="2"/>
    <m/>
    <x v="0"/>
    <d v="2024-03-12T00:00:00"/>
    <m/>
  </r>
  <r>
    <n v="2660"/>
    <n v="17380"/>
    <x v="3"/>
    <n v="70024.12"/>
    <x v="1"/>
    <n v="44"/>
    <x v="1"/>
    <d v="2024-01-10T00:00:00"/>
    <d v="2024-02-23T00:00:00"/>
  </r>
  <r>
    <n v="2661"/>
    <n v="14020"/>
    <x v="1"/>
    <n v="91096.15"/>
    <x v="0"/>
    <n v="16"/>
    <x v="3"/>
    <d v="2024-06-10T00:00:00"/>
    <d v="2024-06-26T00:00:00"/>
  </r>
  <r>
    <n v="2662"/>
    <n v="18536"/>
    <x v="3"/>
    <n v="108192.07"/>
    <x v="0"/>
    <n v="7"/>
    <x v="3"/>
    <d v="2024-08-01T00:00:00"/>
    <d v="2024-08-08T00:00:00"/>
  </r>
  <r>
    <n v="2663"/>
    <n v="15643"/>
    <x v="3"/>
    <n v="92626.34"/>
    <x v="0"/>
    <n v="15"/>
    <x v="3"/>
    <d v="2024-01-04T00:00:00"/>
    <d v="2024-01-19T00:00:00"/>
  </r>
  <r>
    <n v="2664"/>
    <n v="10942"/>
    <x v="3"/>
    <n v="101173.13"/>
    <x v="0"/>
    <n v="28"/>
    <x v="0"/>
    <d v="2024-08-11T00:00:00"/>
    <d v="2024-09-08T00:00:00"/>
  </r>
  <r>
    <n v="2665"/>
    <n v="10345"/>
    <x v="3"/>
    <n v="63224.81"/>
    <x v="2"/>
    <m/>
    <x v="3"/>
    <d v="2024-01-29T00:00:00"/>
    <m/>
  </r>
  <r>
    <n v="2666"/>
    <n v="13894"/>
    <x v="2"/>
    <n v="35998.19"/>
    <x v="0"/>
    <n v="20"/>
    <x v="2"/>
    <d v="2024-10-28T00:00:00"/>
    <d v="2024-11-17T00:00:00"/>
  </r>
  <r>
    <n v="2667"/>
    <n v="18516"/>
    <x v="3"/>
    <n v="14233.25"/>
    <x v="0"/>
    <n v="38"/>
    <x v="1"/>
    <d v="2024-07-21T00:00:00"/>
    <d v="2024-08-28T00:00:00"/>
  </r>
  <r>
    <n v="2668"/>
    <n v="16610"/>
    <x v="3"/>
    <n v="43215.85"/>
    <x v="0"/>
    <n v="44"/>
    <x v="1"/>
    <d v="2024-03-17T00:00:00"/>
    <d v="2024-04-30T00:00:00"/>
  </r>
  <r>
    <n v="2669"/>
    <n v="12138"/>
    <x v="3"/>
    <n v="118479.01"/>
    <x v="0"/>
    <n v="5"/>
    <x v="2"/>
    <d v="2024-02-28T00:00:00"/>
    <d v="2024-03-04T00:00:00"/>
  </r>
  <r>
    <n v="2670"/>
    <n v="14389"/>
    <x v="1"/>
    <n v="158292.51"/>
    <x v="0"/>
    <n v="27"/>
    <x v="0"/>
    <d v="2024-07-14T00:00:00"/>
    <d v="2024-08-10T00:00:00"/>
  </r>
  <r>
    <n v="2671"/>
    <n v="18715"/>
    <x v="3"/>
    <n v="38003.279999999999"/>
    <x v="0"/>
    <n v="10"/>
    <x v="0"/>
    <d v="2024-11-17T00:00:00"/>
    <d v="2024-11-27T00:00:00"/>
  </r>
  <r>
    <n v="2672"/>
    <n v="17826"/>
    <x v="1"/>
    <n v="26168.29"/>
    <x v="0"/>
    <n v="42"/>
    <x v="1"/>
    <d v="2024-04-16T00:00:00"/>
    <d v="2024-05-28T00:00:00"/>
  </r>
  <r>
    <n v="2673"/>
    <n v="17816"/>
    <x v="3"/>
    <n v="151111.62"/>
    <x v="0"/>
    <n v="41"/>
    <x v="3"/>
    <d v="2024-12-07T00:00:00"/>
    <d v="2025-01-17T00:00:00"/>
  </r>
  <r>
    <n v="2674"/>
    <n v="10258"/>
    <x v="3"/>
    <n v="64505.87"/>
    <x v="0"/>
    <n v="16"/>
    <x v="0"/>
    <d v="2024-01-09T00:00:00"/>
    <d v="2024-01-25T00:00:00"/>
  </r>
  <r>
    <n v="2675"/>
    <n v="11110"/>
    <x v="3"/>
    <n v="190542.39"/>
    <x v="0"/>
    <n v="42"/>
    <x v="0"/>
    <d v="2024-01-20T00:00:00"/>
    <d v="2024-03-02T00:00:00"/>
  </r>
  <r>
    <n v="2676"/>
    <n v="17325"/>
    <x v="0"/>
    <n v="144292"/>
    <x v="0"/>
    <n v="38"/>
    <x v="2"/>
    <d v="2024-05-28T00:00:00"/>
    <d v="2024-07-05T00:00:00"/>
  </r>
  <r>
    <n v="2677"/>
    <n v="16487"/>
    <x v="0"/>
    <n v="68717.429999999993"/>
    <x v="1"/>
    <n v="5"/>
    <x v="2"/>
    <d v="2024-01-17T00:00:00"/>
    <d v="2024-01-22T00:00:00"/>
  </r>
  <r>
    <n v="2678"/>
    <n v="10820"/>
    <x v="3"/>
    <n v="61460.84"/>
    <x v="0"/>
    <n v="27"/>
    <x v="3"/>
    <d v="2024-01-12T00:00:00"/>
    <d v="2024-02-08T00:00:00"/>
  </r>
  <r>
    <n v="2679"/>
    <n v="15988"/>
    <x v="1"/>
    <n v="107121.19"/>
    <x v="0"/>
    <n v="19"/>
    <x v="0"/>
    <d v="2024-03-22T00:00:00"/>
    <d v="2024-04-10T00:00:00"/>
  </r>
  <r>
    <n v="2680"/>
    <n v="15635"/>
    <x v="2"/>
    <n v="20433.21"/>
    <x v="1"/>
    <n v="42"/>
    <x v="0"/>
    <d v="2024-03-07T00:00:00"/>
    <d v="2024-04-18T00:00:00"/>
  </r>
  <r>
    <n v="2681"/>
    <n v="14664"/>
    <x v="3"/>
    <n v="27946.92"/>
    <x v="0"/>
    <n v="36"/>
    <x v="2"/>
    <d v="2024-05-12T00:00:00"/>
    <d v="2024-06-17T00:00:00"/>
  </r>
  <r>
    <n v="2682"/>
    <n v="17093"/>
    <x v="0"/>
    <n v="39292.29"/>
    <x v="0"/>
    <n v="42"/>
    <x v="0"/>
    <d v="2024-02-22T00:00:00"/>
    <d v="2024-04-04T00:00:00"/>
  </r>
  <r>
    <n v="2683"/>
    <n v="14604"/>
    <x v="3"/>
    <n v="156071.1"/>
    <x v="0"/>
    <n v="42"/>
    <x v="1"/>
    <d v="2024-07-24T00:00:00"/>
    <d v="2024-09-04T00:00:00"/>
  </r>
  <r>
    <n v="2684"/>
    <n v="11563"/>
    <x v="2"/>
    <n v="105202.19"/>
    <x v="0"/>
    <n v="30"/>
    <x v="2"/>
    <d v="2024-08-20T00:00:00"/>
    <d v="2024-09-19T00:00:00"/>
  </r>
  <r>
    <n v="2685"/>
    <n v="16343"/>
    <x v="1"/>
    <n v="7060.59"/>
    <x v="0"/>
    <n v="25"/>
    <x v="3"/>
    <d v="2024-02-23T00:00:00"/>
    <d v="2024-03-19T00:00:00"/>
  </r>
  <r>
    <n v="2686"/>
    <n v="19399"/>
    <x v="2"/>
    <n v="136335.72"/>
    <x v="0"/>
    <n v="5"/>
    <x v="2"/>
    <d v="2024-03-08T00:00:00"/>
    <d v="2024-03-13T00:00:00"/>
  </r>
  <r>
    <n v="2687"/>
    <n v="18500"/>
    <x v="1"/>
    <n v="87619.58"/>
    <x v="1"/>
    <n v="22"/>
    <x v="0"/>
    <d v="2024-10-17T00:00:00"/>
    <d v="2024-11-08T00:00:00"/>
  </r>
  <r>
    <n v="2688"/>
    <n v="11839"/>
    <x v="3"/>
    <n v="104616.21"/>
    <x v="1"/>
    <n v="40"/>
    <x v="3"/>
    <d v="2024-12-09T00:00:00"/>
    <d v="2025-01-18T00:00:00"/>
  </r>
  <r>
    <n v="2689"/>
    <n v="17675"/>
    <x v="2"/>
    <n v="46752.67"/>
    <x v="0"/>
    <n v="8"/>
    <x v="2"/>
    <d v="2024-06-17T00:00:00"/>
    <d v="2024-06-25T00:00:00"/>
  </r>
  <r>
    <n v="2690"/>
    <n v="18001"/>
    <x v="3"/>
    <n v="112597.53"/>
    <x v="0"/>
    <n v="24"/>
    <x v="1"/>
    <d v="2024-06-09T00:00:00"/>
    <d v="2024-07-03T00:00:00"/>
  </r>
  <r>
    <n v="2691"/>
    <n v="19575"/>
    <x v="3"/>
    <n v="195934.88"/>
    <x v="0"/>
    <n v="41"/>
    <x v="1"/>
    <d v="2024-01-15T00:00:00"/>
    <d v="2024-02-25T00:00:00"/>
  </r>
  <r>
    <n v="2692"/>
    <n v="12306"/>
    <x v="1"/>
    <n v="19321.71"/>
    <x v="0"/>
    <n v="22"/>
    <x v="2"/>
    <d v="2024-07-09T00:00:00"/>
    <d v="2024-07-31T00:00:00"/>
  </r>
  <r>
    <n v="2693"/>
    <n v="19372"/>
    <x v="1"/>
    <n v="60363.89"/>
    <x v="0"/>
    <n v="2"/>
    <x v="1"/>
    <d v="2024-01-15T00:00:00"/>
    <d v="2024-01-17T00:00:00"/>
  </r>
  <r>
    <n v="2694"/>
    <n v="15140"/>
    <x v="2"/>
    <n v="52384.53"/>
    <x v="1"/>
    <n v="42"/>
    <x v="1"/>
    <d v="2024-10-13T00:00:00"/>
    <d v="2024-11-24T00:00:00"/>
  </r>
  <r>
    <n v="2695"/>
    <n v="12686"/>
    <x v="3"/>
    <n v="53467.12"/>
    <x v="0"/>
    <n v="26"/>
    <x v="1"/>
    <d v="2024-12-28T00:00:00"/>
    <d v="2025-01-23T00:00:00"/>
  </r>
  <r>
    <n v="2696"/>
    <n v="10960"/>
    <x v="1"/>
    <n v="78847.740000000005"/>
    <x v="2"/>
    <m/>
    <x v="3"/>
    <d v="2024-01-10T00:00:00"/>
    <m/>
  </r>
  <r>
    <n v="2697"/>
    <n v="18629"/>
    <x v="1"/>
    <n v="164531.41"/>
    <x v="1"/>
    <n v="39"/>
    <x v="1"/>
    <d v="2024-02-26T00:00:00"/>
    <d v="2024-04-05T00:00:00"/>
  </r>
  <r>
    <n v="2698"/>
    <n v="10455"/>
    <x v="3"/>
    <n v="183007.44"/>
    <x v="1"/>
    <n v="6"/>
    <x v="1"/>
    <d v="2024-07-17T00:00:00"/>
    <d v="2024-07-23T00:00:00"/>
  </r>
  <r>
    <n v="2699"/>
    <n v="16767"/>
    <x v="3"/>
    <n v="44431.94"/>
    <x v="0"/>
    <n v="32"/>
    <x v="1"/>
    <d v="2024-06-09T00:00:00"/>
    <d v="2024-07-11T00:00:00"/>
  </r>
  <r>
    <n v="2700"/>
    <n v="13817"/>
    <x v="3"/>
    <n v="110875.24"/>
    <x v="0"/>
    <n v="2"/>
    <x v="3"/>
    <d v="2024-09-19T00:00:00"/>
    <d v="2024-09-21T00:00:00"/>
  </r>
  <r>
    <n v="2701"/>
    <n v="19761"/>
    <x v="3"/>
    <n v="129195.3"/>
    <x v="0"/>
    <n v="31"/>
    <x v="2"/>
    <d v="2024-09-09T00:00:00"/>
    <d v="2024-10-10T00:00:00"/>
  </r>
  <r>
    <n v="2702"/>
    <n v="19295"/>
    <x v="2"/>
    <n v="106756.36"/>
    <x v="0"/>
    <n v="19"/>
    <x v="0"/>
    <d v="2024-04-28T00:00:00"/>
    <d v="2024-05-17T00:00:00"/>
  </r>
  <r>
    <n v="2703"/>
    <n v="19810"/>
    <x v="1"/>
    <n v="89644.9"/>
    <x v="0"/>
    <n v="9"/>
    <x v="1"/>
    <d v="2024-03-20T00:00:00"/>
    <d v="2024-03-29T00:00:00"/>
  </r>
  <r>
    <n v="2704"/>
    <n v="11512"/>
    <x v="1"/>
    <n v="42435.22"/>
    <x v="0"/>
    <n v="27"/>
    <x v="2"/>
    <d v="2024-05-03T00:00:00"/>
    <d v="2024-05-30T00:00:00"/>
  </r>
  <r>
    <n v="2705"/>
    <n v="14738"/>
    <x v="2"/>
    <n v="100202.78"/>
    <x v="0"/>
    <n v="41"/>
    <x v="1"/>
    <d v="2024-11-08T00:00:00"/>
    <d v="2024-12-19T00:00:00"/>
  </r>
  <r>
    <n v="2706"/>
    <n v="10391"/>
    <x v="3"/>
    <n v="83236.89"/>
    <x v="0"/>
    <n v="16"/>
    <x v="3"/>
    <d v="2024-03-12T00:00:00"/>
    <d v="2024-03-28T00:00:00"/>
  </r>
  <r>
    <n v="2707"/>
    <n v="12621"/>
    <x v="0"/>
    <n v="160134.85999999999"/>
    <x v="1"/>
    <n v="20"/>
    <x v="2"/>
    <d v="2024-06-16T00:00:00"/>
    <d v="2024-07-06T00:00:00"/>
  </r>
  <r>
    <n v="2708"/>
    <n v="16176"/>
    <x v="3"/>
    <n v="153902.85"/>
    <x v="0"/>
    <n v="11"/>
    <x v="3"/>
    <d v="2024-10-10T00:00:00"/>
    <d v="2024-10-21T00:00:00"/>
  </r>
  <r>
    <n v="2709"/>
    <n v="19112"/>
    <x v="0"/>
    <n v="31129.74"/>
    <x v="0"/>
    <n v="25"/>
    <x v="1"/>
    <d v="2024-02-05T00:00:00"/>
    <d v="2024-03-01T00:00:00"/>
  </r>
  <r>
    <n v="2710"/>
    <n v="15719"/>
    <x v="3"/>
    <n v="22261.22"/>
    <x v="0"/>
    <n v="17"/>
    <x v="1"/>
    <d v="2024-11-07T00:00:00"/>
    <d v="2024-11-24T00:00:00"/>
  </r>
  <r>
    <n v="2711"/>
    <n v="16041"/>
    <x v="2"/>
    <n v="182090.02"/>
    <x v="2"/>
    <m/>
    <x v="3"/>
    <d v="2024-06-23T00:00:00"/>
    <m/>
  </r>
  <r>
    <n v="2712"/>
    <n v="13600"/>
    <x v="3"/>
    <n v="109424.14"/>
    <x v="0"/>
    <n v="32"/>
    <x v="0"/>
    <d v="2024-07-17T00:00:00"/>
    <d v="2024-08-18T00:00:00"/>
  </r>
  <r>
    <n v="2713"/>
    <n v="15210"/>
    <x v="3"/>
    <n v="172271.18"/>
    <x v="0"/>
    <n v="17"/>
    <x v="3"/>
    <d v="2024-04-25T00:00:00"/>
    <d v="2024-05-12T00:00:00"/>
  </r>
  <r>
    <n v="2714"/>
    <n v="14508"/>
    <x v="1"/>
    <n v="16339.47"/>
    <x v="0"/>
    <n v="17"/>
    <x v="1"/>
    <d v="2024-11-10T00:00:00"/>
    <d v="2024-11-27T00:00:00"/>
  </r>
  <r>
    <n v="2715"/>
    <n v="16442"/>
    <x v="3"/>
    <n v="107670.55"/>
    <x v="2"/>
    <m/>
    <x v="3"/>
    <d v="2024-08-07T00:00:00"/>
    <m/>
  </r>
  <r>
    <n v="2716"/>
    <n v="17654"/>
    <x v="1"/>
    <n v="110188.17"/>
    <x v="1"/>
    <n v="21"/>
    <x v="0"/>
    <d v="2024-03-06T00:00:00"/>
    <d v="2024-03-27T00:00:00"/>
  </r>
  <r>
    <n v="2717"/>
    <n v="19980"/>
    <x v="3"/>
    <n v="172836.9"/>
    <x v="0"/>
    <n v="36"/>
    <x v="3"/>
    <d v="2024-09-21T00:00:00"/>
    <d v="2024-10-27T00:00:00"/>
  </r>
  <r>
    <n v="2718"/>
    <n v="16216"/>
    <x v="1"/>
    <n v="24033.95"/>
    <x v="0"/>
    <n v="10"/>
    <x v="0"/>
    <d v="2024-05-13T00:00:00"/>
    <d v="2024-05-23T00:00:00"/>
  </r>
  <r>
    <n v="2719"/>
    <n v="17885"/>
    <x v="3"/>
    <n v="51886.879999999997"/>
    <x v="0"/>
    <n v="41"/>
    <x v="0"/>
    <d v="2024-04-28T00:00:00"/>
    <d v="2024-06-08T00:00:00"/>
  </r>
  <r>
    <n v="2720"/>
    <n v="10260"/>
    <x v="3"/>
    <n v="84274.97"/>
    <x v="0"/>
    <n v="11"/>
    <x v="3"/>
    <d v="2024-05-01T00:00:00"/>
    <d v="2024-05-12T00:00:00"/>
  </r>
  <r>
    <n v="2721"/>
    <n v="16833"/>
    <x v="3"/>
    <n v="173839.09"/>
    <x v="0"/>
    <n v="19"/>
    <x v="3"/>
    <d v="2024-11-16T00:00:00"/>
    <d v="2024-12-05T00:00:00"/>
  </r>
  <r>
    <n v="2722"/>
    <n v="19527"/>
    <x v="3"/>
    <n v="188082.25"/>
    <x v="1"/>
    <n v="16"/>
    <x v="2"/>
    <d v="2024-03-27T00:00:00"/>
    <d v="2024-04-12T00:00:00"/>
  </r>
  <r>
    <n v="2723"/>
    <n v="15944"/>
    <x v="3"/>
    <n v="198581.3"/>
    <x v="2"/>
    <m/>
    <x v="1"/>
    <d v="2024-10-15T00:00:00"/>
    <m/>
  </r>
  <r>
    <n v="2724"/>
    <n v="16134"/>
    <x v="3"/>
    <n v="192042.73"/>
    <x v="0"/>
    <n v="33"/>
    <x v="0"/>
    <d v="2024-05-16T00:00:00"/>
    <d v="2024-06-18T00:00:00"/>
  </r>
  <r>
    <n v="2725"/>
    <n v="16875"/>
    <x v="3"/>
    <n v="6158.64"/>
    <x v="0"/>
    <n v="41"/>
    <x v="2"/>
    <d v="2024-02-22T00:00:00"/>
    <d v="2024-04-03T00:00:00"/>
  </r>
  <r>
    <n v="2726"/>
    <n v="16828"/>
    <x v="3"/>
    <n v="14303.13"/>
    <x v="0"/>
    <n v="28"/>
    <x v="3"/>
    <d v="2024-07-23T00:00:00"/>
    <d v="2024-08-20T00:00:00"/>
  </r>
  <r>
    <n v="2727"/>
    <n v="10334"/>
    <x v="1"/>
    <n v="33783.33"/>
    <x v="1"/>
    <n v="28"/>
    <x v="1"/>
    <d v="2024-12-13T00:00:00"/>
    <d v="2025-01-10T00:00:00"/>
  </r>
  <r>
    <n v="2728"/>
    <n v="17669"/>
    <x v="0"/>
    <n v="73028.11"/>
    <x v="1"/>
    <n v="20"/>
    <x v="2"/>
    <d v="2024-02-20T00:00:00"/>
    <d v="2024-03-11T00:00:00"/>
  </r>
  <r>
    <n v="2729"/>
    <n v="12779"/>
    <x v="3"/>
    <n v="166834.01999999999"/>
    <x v="0"/>
    <n v="11"/>
    <x v="0"/>
    <d v="2024-11-22T00:00:00"/>
    <d v="2024-12-03T00:00:00"/>
  </r>
  <r>
    <n v="2730"/>
    <n v="18995"/>
    <x v="1"/>
    <n v="179067.96"/>
    <x v="0"/>
    <n v="7"/>
    <x v="2"/>
    <d v="2024-02-09T00:00:00"/>
    <d v="2024-02-16T00:00:00"/>
  </r>
  <r>
    <n v="2731"/>
    <n v="17328"/>
    <x v="1"/>
    <n v="41432.71"/>
    <x v="0"/>
    <n v="25"/>
    <x v="0"/>
    <d v="2024-09-06T00:00:00"/>
    <d v="2024-10-01T00:00:00"/>
  </r>
  <r>
    <n v="2732"/>
    <n v="12437"/>
    <x v="3"/>
    <n v="125834.51"/>
    <x v="0"/>
    <n v="10"/>
    <x v="3"/>
    <d v="2024-08-05T00:00:00"/>
    <d v="2024-08-15T00:00:00"/>
  </r>
  <r>
    <n v="2733"/>
    <n v="12807"/>
    <x v="1"/>
    <n v="183885.59"/>
    <x v="1"/>
    <n v="28"/>
    <x v="1"/>
    <d v="2024-06-27T00:00:00"/>
    <d v="2024-07-25T00:00:00"/>
  </r>
  <r>
    <n v="2734"/>
    <n v="15190"/>
    <x v="3"/>
    <n v="95427.69"/>
    <x v="0"/>
    <n v="8"/>
    <x v="1"/>
    <d v="2024-02-08T00:00:00"/>
    <d v="2024-02-16T00:00:00"/>
  </r>
  <r>
    <n v="2735"/>
    <n v="19132"/>
    <x v="1"/>
    <n v="25191"/>
    <x v="1"/>
    <n v="7"/>
    <x v="1"/>
    <d v="2024-07-01T00:00:00"/>
    <d v="2024-07-08T00:00:00"/>
  </r>
  <r>
    <n v="2736"/>
    <n v="13163"/>
    <x v="3"/>
    <n v="94273.66"/>
    <x v="0"/>
    <n v="34"/>
    <x v="3"/>
    <d v="2024-08-11T00:00:00"/>
    <d v="2024-09-14T00:00:00"/>
  </r>
  <r>
    <n v="2737"/>
    <n v="19094"/>
    <x v="1"/>
    <n v="78280.009999999995"/>
    <x v="1"/>
    <n v="22"/>
    <x v="0"/>
    <d v="2024-06-12T00:00:00"/>
    <d v="2024-07-04T00:00:00"/>
  </r>
  <r>
    <n v="2738"/>
    <n v="17488"/>
    <x v="1"/>
    <n v="117643.31"/>
    <x v="0"/>
    <n v="39"/>
    <x v="3"/>
    <d v="2024-08-21T00:00:00"/>
    <d v="2024-09-29T00:00:00"/>
  </r>
  <r>
    <n v="2739"/>
    <n v="19460"/>
    <x v="3"/>
    <n v="90538.44"/>
    <x v="1"/>
    <n v="18"/>
    <x v="1"/>
    <d v="2024-07-11T00:00:00"/>
    <d v="2024-07-29T00:00:00"/>
  </r>
  <r>
    <n v="2740"/>
    <n v="10023"/>
    <x v="3"/>
    <n v="8382.4599999999991"/>
    <x v="0"/>
    <n v="32"/>
    <x v="3"/>
    <d v="2024-03-25T00:00:00"/>
    <d v="2024-04-26T00:00:00"/>
  </r>
  <r>
    <n v="2741"/>
    <n v="14652"/>
    <x v="2"/>
    <n v="198829.56"/>
    <x v="0"/>
    <n v="38"/>
    <x v="3"/>
    <d v="2024-08-30T00:00:00"/>
    <d v="2024-10-07T00:00:00"/>
  </r>
  <r>
    <n v="2742"/>
    <n v="12748"/>
    <x v="3"/>
    <n v="110990.35"/>
    <x v="0"/>
    <n v="12"/>
    <x v="3"/>
    <d v="2024-06-21T00:00:00"/>
    <d v="2024-07-03T00:00:00"/>
  </r>
  <r>
    <n v="2743"/>
    <n v="12450"/>
    <x v="1"/>
    <n v="97358"/>
    <x v="0"/>
    <n v="29"/>
    <x v="0"/>
    <d v="2024-02-06T00:00:00"/>
    <d v="2024-03-06T00:00:00"/>
  </r>
  <r>
    <n v="2744"/>
    <n v="19588"/>
    <x v="2"/>
    <n v="191150.39"/>
    <x v="0"/>
    <n v="6"/>
    <x v="2"/>
    <d v="2024-03-27T00:00:00"/>
    <d v="2024-04-02T00:00:00"/>
  </r>
  <r>
    <n v="2745"/>
    <n v="18095"/>
    <x v="1"/>
    <n v="35392.769999999997"/>
    <x v="0"/>
    <n v="13"/>
    <x v="2"/>
    <d v="2024-05-08T00:00:00"/>
    <d v="2024-05-21T00:00:00"/>
  </r>
  <r>
    <n v="2746"/>
    <n v="13357"/>
    <x v="1"/>
    <n v="41901.33"/>
    <x v="2"/>
    <m/>
    <x v="3"/>
    <d v="2024-07-12T00:00:00"/>
    <m/>
  </r>
  <r>
    <n v="2747"/>
    <n v="18095"/>
    <x v="1"/>
    <n v="162562.88"/>
    <x v="0"/>
    <n v="42"/>
    <x v="2"/>
    <d v="2024-11-14T00:00:00"/>
    <d v="2024-12-26T00:00:00"/>
  </r>
  <r>
    <n v="2748"/>
    <n v="18083"/>
    <x v="0"/>
    <n v="55862.06"/>
    <x v="1"/>
    <n v="39"/>
    <x v="2"/>
    <d v="2024-02-12T00:00:00"/>
    <d v="2024-03-22T00:00:00"/>
  </r>
  <r>
    <n v="2749"/>
    <n v="15972"/>
    <x v="3"/>
    <n v="160849.29"/>
    <x v="2"/>
    <m/>
    <x v="3"/>
    <d v="2024-12-21T00:00:00"/>
    <m/>
  </r>
  <r>
    <n v="2750"/>
    <n v="19949"/>
    <x v="3"/>
    <n v="57949.03"/>
    <x v="0"/>
    <n v="27"/>
    <x v="3"/>
    <d v="2024-06-07T00:00:00"/>
    <d v="2024-07-04T00:00:00"/>
  </r>
  <r>
    <n v="2751"/>
    <n v="18155"/>
    <x v="3"/>
    <n v="11471.59"/>
    <x v="0"/>
    <n v="3"/>
    <x v="1"/>
    <d v="2024-04-14T00:00:00"/>
    <d v="2024-04-17T00:00:00"/>
  </r>
  <r>
    <n v="2752"/>
    <n v="17069"/>
    <x v="2"/>
    <n v="105817.87"/>
    <x v="0"/>
    <n v="13"/>
    <x v="2"/>
    <d v="2024-08-16T00:00:00"/>
    <d v="2024-08-29T00:00:00"/>
  </r>
  <r>
    <n v="2753"/>
    <n v="15338"/>
    <x v="1"/>
    <n v="43353.85"/>
    <x v="0"/>
    <n v="41"/>
    <x v="0"/>
    <d v="2024-08-04T00:00:00"/>
    <d v="2024-09-14T00:00:00"/>
  </r>
  <r>
    <n v="2754"/>
    <n v="12532"/>
    <x v="3"/>
    <n v="152780.03"/>
    <x v="0"/>
    <n v="3"/>
    <x v="3"/>
    <d v="2024-09-20T00:00:00"/>
    <d v="2024-09-23T00:00:00"/>
  </r>
  <r>
    <n v="2755"/>
    <n v="15337"/>
    <x v="0"/>
    <n v="130033.93"/>
    <x v="2"/>
    <m/>
    <x v="1"/>
    <d v="2024-02-18T00:00:00"/>
    <m/>
  </r>
  <r>
    <n v="2756"/>
    <n v="13773"/>
    <x v="3"/>
    <n v="185102.52"/>
    <x v="0"/>
    <n v="17"/>
    <x v="0"/>
    <d v="2024-12-17T00:00:00"/>
    <d v="2025-01-03T00:00:00"/>
  </r>
  <r>
    <n v="2757"/>
    <n v="16465"/>
    <x v="3"/>
    <n v="157682.73000000001"/>
    <x v="0"/>
    <n v="31"/>
    <x v="2"/>
    <d v="2024-05-02T00:00:00"/>
    <d v="2024-06-02T00:00:00"/>
  </r>
  <r>
    <n v="2758"/>
    <n v="14661"/>
    <x v="1"/>
    <n v="40251.31"/>
    <x v="0"/>
    <n v="37"/>
    <x v="1"/>
    <d v="2024-10-29T00:00:00"/>
    <d v="2024-12-05T00:00:00"/>
  </r>
  <r>
    <n v="2759"/>
    <n v="12057"/>
    <x v="3"/>
    <n v="161030.85999999999"/>
    <x v="1"/>
    <n v="5"/>
    <x v="3"/>
    <d v="2024-01-25T00:00:00"/>
    <d v="2024-01-30T00:00:00"/>
  </r>
  <r>
    <n v="2760"/>
    <n v="10677"/>
    <x v="0"/>
    <n v="130138.72"/>
    <x v="0"/>
    <n v="12"/>
    <x v="0"/>
    <d v="2024-05-10T00:00:00"/>
    <d v="2024-05-22T00:00:00"/>
  </r>
  <r>
    <n v="2761"/>
    <n v="12974"/>
    <x v="3"/>
    <n v="135445.57"/>
    <x v="0"/>
    <n v="25"/>
    <x v="3"/>
    <d v="2024-08-11T00:00:00"/>
    <d v="2024-09-05T00:00:00"/>
  </r>
  <r>
    <n v="2762"/>
    <n v="18476"/>
    <x v="0"/>
    <n v="167291.26"/>
    <x v="0"/>
    <n v="19"/>
    <x v="2"/>
    <d v="2024-04-08T00:00:00"/>
    <d v="2024-04-27T00:00:00"/>
  </r>
  <r>
    <n v="2763"/>
    <n v="15648"/>
    <x v="1"/>
    <n v="116895.69"/>
    <x v="0"/>
    <n v="28"/>
    <x v="0"/>
    <d v="2024-12-17T00:00:00"/>
    <d v="2025-01-14T00:00:00"/>
  </r>
  <r>
    <n v="2764"/>
    <n v="16444"/>
    <x v="3"/>
    <n v="95870.69"/>
    <x v="2"/>
    <m/>
    <x v="2"/>
    <d v="2024-10-16T00:00:00"/>
    <m/>
  </r>
  <r>
    <n v="2765"/>
    <n v="11840"/>
    <x v="2"/>
    <n v="129145"/>
    <x v="1"/>
    <n v="3"/>
    <x v="2"/>
    <d v="2024-07-15T00:00:00"/>
    <d v="2024-07-18T00:00:00"/>
  </r>
  <r>
    <n v="2766"/>
    <n v="11878"/>
    <x v="1"/>
    <n v="63101.7"/>
    <x v="0"/>
    <n v="16"/>
    <x v="1"/>
    <d v="2024-04-18T00:00:00"/>
    <d v="2024-05-04T00:00:00"/>
  </r>
  <r>
    <n v="2767"/>
    <n v="16289"/>
    <x v="3"/>
    <n v="40606.44"/>
    <x v="0"/>
    <n v="12"/>
    <x v="3"/>
    <d v="2024-12-13T00:00:00"/>
    <d v="2024-12-25T00:00:00"/>
  </r>
  <r>
    <n v="2768"/>
    <n v="19802"/>
    <x v="3"/>
    <n v="125234.63"/>
    <x v="0"/>
    <n v="28"/>
    <x v="0"/>
    <d v="2024-08-07T00:00:00"/>
    <d v="2024-09-04T00:00:00"/>
  </r>
  <r>
    <n v="2769"/>
    <n v="17219"/>
    <x v="0"/>
    <n v="50600.43"/>
    <x v="0"/>
    <n v="24"/>
    <x v="2"/>
    <d v="2024-09-20T00:00:00"/>
    <d v="2024-10-14T00:00:00"/>
  </r>
  <r>
    <n v="2770"/>
    <n v="13314"/>
    <x v="3"/>
    <n v="20583.45"/>
    <x v="0"/>
    <n v="36"/>
    <x v="2"/>
    <d v="2024-07-26T00:00:00"/>
    <d v="2024-08-31T00:00:00"/>
  </r>
  <r>
    <n v="2771"/>
    <n v="11378"/>
    <x v="3"/>
    <n v="5108.07"/>
    <x v="0"/>
    <n v="31"/>
    <x v="0"/>
    <d v="2024-11-14T00:00:00"/>
    <d v="2024-12-15T00:00:00"/>
  </r>
  <r>
    <n v="2772"/>
    <n v="15340"/>
    <x v="3"/>
    <n v="123622.28"/>
    <x v="0"/>
    <n v="25"/>
    <x v="2"/>
    <d v="2024-03-22T00:00:00"/>
    <d v="2024-04-16T00:00:00"/>
  </r>
  <r>
    <n v="2773"/>
    <n v="19907"/>
    <x v="3"/>
    <n v="75619.009999999995"/>
    <x v="2"/>
    <m/>
    <x v="1"/>
    <d v="2024-01-25T00:00:00"/>
    <m/>
  </r>
  <r>
    <n v="2774"/>
    <n v="10452"/>
    <x v="1"/>
    <n v="151700.64000000001"/>
    <x v="0"/>
    <n v="30"/>
    <x v="1"/>
    <d v="2024-07-04T00:00:00"/>
    <d v="2024-08-03T00:00:00"/>
  </r>
  <r>
    <n v="2775"/>
    <n v="18533"/>
    <x v="3"/>
    <n v="78159.399999999994"/>
    <x v="2"/>
    <m/>
    <x v="1"/>
    <d v="2024-01-08T00:00:00"/>
    <m/>
  </r>
  <r>
    <n v="2776"/>
    <n v="10392"/>
    <x v="3"/>
    <n v="99770.67"/>
    <x v="0"/>
    <n v="24"/>
    <x v="1"/>
    <d v="2024-05-03T00:00:00"/>
    <d v="2024-05-27T00:00:00"/>
  </r>
  <r>
    <n v="2777"/>
    <n v="15471"/>
    <x v="3"/>
    <n v="84381.57"/>
    <x v="0"/>
    <n v="13"/>
    <x v="2"/>
    <d v="2024-05-28T00:00:00"/>
    <d v="2024-06-10T00:00:00"/>
  </r>
  <r>
    <n v="2778"/>
    <n v="11269"/>
    <x v="3"/>
    <n v="131862.07999999999"/>
    <x v="1"/>
    <n v="42"/>
    <x v="0"/>
    <d v="2024-04-07T00:00:00"/>
    <d v="2024-05-19T00:00:00"/>
  </r>
  <r>
    <n v="2779"/>
    <n v="18137"/>
    <x v="2"/>
    <n v="74447.14"/>
    <x v="0"/>
    <n v="30"/>
    <x v="0"/>
    <d v="2024-08-03T00:00:00"/>
    <d v="2024-09-02T00:00:00"/>
  </r>
  <r>
    <n v="2780"/>
    <n v="13050"/>
    <x v="3"/>
    <n v="192934.69"/>
    <x v="0"/>
    <n v="7"/>
    <x v="0"/>
    <d v="2024-04-10T00:00:00"/>
    <d v="2024-04-17T00:00:00"/>
  </r>
  <r>
    <n v="2781"/>
    <n v="17280"/>
    <x v="2"/>
    <n v="187548.66"/>
    <x v="0"/>
    <n v="24"/>
    <x v="0"/>
    <d v="2024-08-05T00:00:00"/>
    <d v="2024-08-29T00:00:00"/>
  </r>
  <r>
    <n v="2782"/>
    <n v="19162"/>
    <x v="3"/>
    <n v="170365.44"/>
    <x v="0"/>
    <n v="32"/>
    <x v="3"/>
    <d v="2024-09-15T00:00:00"/>
    <d v="2024-10-17T00:00:00"/>
  </r>
  <r>
    <n v="2783"/>
    <n v="14794"/>
    <x v="3"/>
    <n v="184458.55"/>
    <x v="2"/>
    <m/>
    <x v="0"/>
    <d v="2024-12-21T00:00:00"/>
    <m/>
  </r>
  <r>
    <n v="2784"/>
    <n v="17410"/>
    <x v="0"/>
    <n v="92582.24"/>
    <x v="1"/>
    <n v="25"/>
    <x v="3"/>
    <d v="2024-01-11T00:00:00"/>
    <d v="2024-02-05T00:00:00"/>
  </r>
  <r>
    <n v="2785"/>
    <n v="10165"/>
    <x v="3"/>
    <n v="109603.93"/>
    <x v="0"/>
    <n v="9"/>
    <x v="3"/>
    <d v="2024-02-28T00:00:00"/>
    <d v="2024-03-08T00:00:00"/>
  </r>
  <r>
    <n v="2786"/>
    <n v="18446"/>
    <x v="1"/>
    <n v="149708.06"/>
    <x v="0"/>
    <n v="10"/>
    <x v="1"/>
    <d v="2024-09-06T00:00:00"/>
    <d v="2024-09-16T00:00:00"/>
  </r>
  <r>
    <n v="2787"/>
    <n v="18493"/>
    <x v="2"/>
    <n v="140748.46"/>
    <x v="0"/>
    <n v="23"/>
    <x v="3"/>
    <d v="2024-05-19T00:00:00"/>
    <d v="2024-06-11T00:00:00"/>
  </r>
  <r>
    <n v="2788"/>
    <n v="16363"/>
    <x v="3"/>
    <n v="178682.33"/>
    <x v="0"/>
    <n v="5"/>
    <x v="2"/>
    <d v="2024-11-30T00:00:00"/>
    <d v="2024-12-05T00:00:00"/>
  </r>
  <r>
    <n v="2789"/>
    <n v="18079"/>
    <x v="3"/>
    <n v="144684.54999999999"/>
    <x v="0"/>
    <n v="14"/>
    <x v="3"/>
    <d v="2024-02-07T00:00:00"/>
    <d v="2024-02-21T00:00:00"/>
  </r>
  <r>
    <n v="2790"/>
    <n v="15030"/>
    <x v="1"/>
    <n v="199587.52"/>
    <x v="0"/>
    <n v="35"/>
    <x v="1"/>
    <d v="2024-05-01T00:00:00"/>
    <d v="2024-06-05T00:00:00"/>
  </r>
  <r>
    <n v="2791"/>
    <n v="11505"/>
    <x v="3"/>
    <n v="72958.63"/>
    <x v="0"/>
    <n v="4"/>
    <x v="3"/>
    <d v="2024-03-05T00:00:00"/>
    <d v="2024-03-09T00:00:00"/>
  </r>
  <r>
    <n v="2792"/>
    <n v="19448"/>
    <x v="3"/>
    <n v="167434.56"/>
    <x v="0"/>
    <n v="38"/>
    <x v="2"/>
    <d v="2024-05-25T00:00:00"/>
    <d v="2024-07-02T00:00:00"/>
  </r>
  <r>
    <n v="2793"/>
    <n v="17409"/>
    <x v="3"/>
    <n v="141038.79"/>
    <x v="0"/>
    <n v="29"/>
    <x v="2"/>
    <d v="2024-10-28T00:00:00"/>
    <d v="2024-11-26T00:00:00"/>
  </r>
  <r>
    <n v="2794"/>
    <n v="14340"/>
    <x v="3"/>
    <n v="139820.35999999999"/>
    <x v="0"/>
    <n v="27"/>
    <x v="2"/>
    <d v="2024-05-04T00:00:00"/>
    <d v="2024-05-31T00:00:00"/>
  </r>
  <r>
    <n v="2795"/>
    <n v="10209"/>
    <x v="1"/>
    <n v="68537.94"/>
    <x v="0"/>
    <n v="35"/>
    <x v="1"/>
    <d v="2024-11-07T00:00:00"/>
    <d v="2024-12-12T00:00:00"/>
  </r>
  <r>
    <n v="2796"/>
    <n v="13793"/>
    <x v="3"/>
    <n v="158192.35"/>
    <x v="2"/>
    <m/>
    <x v="1"/>
    <d v="2024-07-09T00:00:00"/>
    <m/>
  </r>
  <r>
    <n v="2797"/>
    <n v="14521"/>
    <x v="3"/>
    <n v="180573.32"/>
    <x v="1"/>
    <n v="9"/>
    <x v="0"/>
    <d v="2024-09-19T00:00:00"/>
    <d v="2024-09-28T00:00:00"/>
  </r>
  <r>
    <n v="2798"/>
    <n v="13047"/>
    <x v="1"/>
    <n v="47616.95"/>
    <x v="0"/>
    <n v="36"/>
    <x v="1"/>
    <d v="2024-12-26T00:00:00"/>
    <d v="2025-01-31T00:00:00"/>
  </r>
  <r>
    <n v="2799"/>
    <n v="10980"/>
    <x v="3"/>
    <n v="126971.88"/>
    <x v="0"/>
    <n v="25"/>
    <x v="2"/>
    <d v="2024-10-22T00:00:00"/>
    <d v="2024-11-16T00:00:00"/>
  </r>
  <r>
    <n v="2800"/>
    <n v="12119"/>
    <x v="3"/>
    <n v="81466.289999999994"/>
    <x v="1"/>
    <n v="38"/>
    <x v="2"/>
    <d v="2024-06-30T00:00:00"/>
    <d v="2024-08-07T00:00:00"/>
  </r>
  <r>
    <n v="2801"/>
    <n v="13745"/>
    <x v="1"/>
    <n v="197961.88"/>
    <x v="2"/>
    <m/>
    <x v="1"/>
    <d v="2024-06-07T00:00:00"/>
    <m/>
  </r>
  <r>
    <n v="2802"/>
    <n v="10177"/>
    <x v="3"/>
    <n v="98372.4"/>
    <x v="1"/>
    <n v="13"/>
    <x v="3"/>
    <d v="2024-12-18T00:00:00"/>
    <d v="2024-12-31T00:00:00"/>
  </r>
  <r>
    <n v="2803"/>
    <n v="11546"/>
    <x v="1"/>
    <n v="49522.43"/>
    <x v="0"/>
    <n v="20"/>
    <x v="1"/>
    <d v="2024-11-03T00:00:00"/>
    <d v="2024-11-23T00:00:00"/>
  </r>
  <r>
    <n v="2804"/>
    <n v="18490"/>
    <x v="0"/>
    <n v="79462.240000000005"/>
    <x v="2"/>
    <m/>
    <x v="1"/>
    <d v="2024-10-13T00:00:00"/>
    <m/>
  </r>
  <r>
    <n v="2805"/>
    <n v="13566"/>
    <x v="3"/>
    <n v="132498.49"/>
    <x v="0"/>
    <n v="31"/>
    <x v="2"/>
    <d v="2024-06-10T00:00:00"/>
    <d v="2024-07-11T00:00:00"/>
  </r>
  <r>
    <n v="2806"/>
    <n v="10274"/>
    <x v="1"/>
    <n v="19837.43"/>
    <x v="1"/>
    <n v="38"/>
    <x v="0"/>
    <d v="2024-09-19T00:00:00"/>
    <d v="2024-10-27T00:00:00"/>
  </r>
  <r>
    <n v="2807"/>
    <n v="12995"/>
    <x v="3"/>
    <n v="122702.37"/>
    <x v="2"/>
    <m/>
    <x v="2"/>
    <d v="2024-08-04T00:00:00"/>
    <m/>
  </r>
  <r>
    <n v="2808"/>
    <n v="10052"/>
    <x v="3"/>
    <n v="186588.83"/>
    <x v="0"/>
    <n v="20"/>
    <x v="0"/>
    <d v="2024-06-29T00:00:00"/>
    <d v="2024-07-19T00:00:00"/>
  </r>
  <r>
    <n v="2809"/>
    <n v="17775"/>
    <x v="0"/>
    <n v="170820.74"/>
    <x v="2"/>
    <m/>
    <x v="2"/>
    <d v="2024-03-31T00:00:00"/>
    <m/>
  </r>
  <r>
    <n v="2810"/>
    <n v="19615"/>
    <x v="0"/>
    <n v="18196.34"/>
    <x v="0"/>
    <n v="8"/>
    <x v="1"/>
    <d v="2024-01-17T00:00:00"/>
    <d v="2024-01-25T00:00:00"/>
  </r>
  <r>
    <n v="2811"/>
    <n v="11627"/>
    <x v="3"/>
    <n v="198711.03"/>
    <x v="2"/>
    <m/>
    <x v="2"/>
    <d v="2024-05-04T00:00:00"/>
    <m/>
  </r>
  <r>
    <n v="2812"/>
    <n v="16043"/>
    <x v="1"/>
    <n v="141251.75"/>
    <x v="0"/>
    <n v="29"/>
    <x v="2"/>
    <d v="2024-09-16T00:00:00"/>
    <d v="2024-10-15T00:00:00"/>
  </r>
  <r>
    <n v="2813"/>
    <n v="17823"/>
    <x v="2"/>
    <n v="36644.76"/>
    <x v="2"/>
    <m/>
    <x v="2"/>
    <d v="2024-12-20T00:00:00"/>
    <m/>
  </r>
  <r>
    <n v="2814"/>
    <n v="18680"/>
    <x v="2"/>
    <n v="7421.14"/>
    <x v="0"/>
    <n v="38"/>
    <x v="1"/>
    <d v="2024-08-01T00:00:00"/>
    <d v="2024-09-08T00:00:00"/>
  </r>
  <r>
    <n v="2815"/>
    <n v="18608"/>
    <x v="1"/>
    <n v="38400.11"/>
    <x v="1"/>
    <n v="21"/>
    <x v="1"/>
    <d v="2024-08-26T00:00:00"/>
    <d v="2024-09-16T00:00:00"/>
  </r>
  <r>
    <n v="2816"/>
    <n v="19112"/>
    <x v="3"/>
    <n v="168444.3"/>
    <x v="0"/>
    <n v="12"/>
    <x v="1"/>
    <d v="2024-06-28T00:00:00"/>
    <d v="2024-07-10T00:00:00"/>
  </r>
  <r>
    <n v="2817"/>
    <n v="11553"/>
    <x v="3"/>
    <n v="9219.67"/>
    <x v="0"/>
    <n v="40"/>
    <x v="1"/>
    <d v="2024-06-20T00:00:00"/>
    <d v="2024-07-30T00:00:00"/>
  </r>
  <r>
    <n v="2818"/>
    <n v="18857"/>
    <x v="2"/>
    <n v="50463.72"/>
    <x v="0"/>
    <n v="43"/>
    <x v="0"/>
    <d v="2024-05-22T00:00:00"/>
    <d v="2024-07-04T00:00:00"/>
  </r>
  <r>
    <n v="2819"/>
    <n v="12469"/>
    <x v="3"/>
    <n v="152674.59"/>
    <x v="1"/>
    <n v="24"/>
    <x v="0"/>
    <d v="2024-11-12T00:00:00"/>
    <d v="2024-12-06T00:00:00"/>
  </r>
  <r>
    <n v="2820"/>
    <n v="11474"/>
    <x v="1"/>
    <n v="119291.55"/>
    <x v="0"/>
    <n v="21"/>
    <x v="3"/>
    <d v="2024-08-31T00:00:00"/>
    <d v="2024-09-21T00:00:00"/>
  </r>
  <r>
    <n v="2821"/>
    <n v="16477"/>
    <x v="3"/>
    <n v="157633.46"/>
    <x v="0"/>
    <n v="21"/>
    <x v="1"/>
    <d v="2024-08-19T00:00:00"/>
    <d v="2024-09-09T00:00:00"/>
  </r>
  <r>
    <n v="2822"/>
    <n v="10337"/>
    <x v="3"/>
    <n v="150499.35"/>
    <x v="0"/>
    <n v="12"/>
    <x v="0"/>
    <d v="2024-06-20T00:00:00"/>
    <d v="2024-07-02T00:00:00"/>
  </r>
  <r>
    <n v="2823"/>
    <n v="16991"/>
    <x v="3"/>
    <n v="14867.27"/>
    <x v="2"/>
    <m/>
    <x v="2"/>
    <d v="2024-10-03T00:00:00"/>
    <m/>
  </r>
  <r>
    <n v="2824"/>
    <n v="18460"/>
    <x v="2"/>
    <n v="179039.73"/>
    <x v="0"/>
    <n v="14"/>
    <x v="1"/>
    <d v="2024-03-17T00:00:00"/>
    <d v="2024-03-31T00:00:00"/>
  </r>
  <r>
    <n v="2825"/>
    <n v="11087"/>
    <x v="3"/>
    <n v="49271.21"/>
    <x v="0"/>
    <n v="14"/>
    <x v="3"/>
    <d v="2024-10-29T00:00:00"/>
    <d v="2024-11-12T00:00:00"/>
  </r>
  <r>
    <n v="2826"/>
    <n v="11293"/>
    <x v="1"/>
    <n v="112911.53"/>
    <x v="0"/>
    <n v="42"/>
    <x v="3"/>
    <d v="2024-11-26T00:00:00"/>
    <d v="2025-01-07T00:00:00"/>
  </r>
  <r>
    <n v="2827"/>
    <n v="18848"/>
    <x v="3"/>
    <n v="130636.19"/>
    <x v="0"/>
    <n v="16"/>
    <x v="3"/>
    <d v="2024-02-18T00:00:00"/>
    <d v="2024-03-05T00:00:00"/>
  </r>
  <r>
    <n v="2828"/>
    <n v="15964"/>
    <x v="3"/>
    <n v="37882.5"/>
    <x v="0"/>
    <n v="32"/>
    <x v="2"/>
    <d v="2024-09-04T00:00:00"/>
    <d v="2024-10-06T00:00:00"/>
  </r>
  <r>
    <n v="2829"/>
    <n v="12828"/>
    <x v="3"/>
    <n v="195365.1"/>
    <x v="0"/>
    <n v="24"/>
    <x v="0"/>
    <d v="2024-10-09T00:00:00"/>
    <d v="2024-11-02T00:00:00"/>
  </r>
  <r>
    <n v="2830"/>
    <n v="16472"/>
    <x v="1"/>
    <n v="100190.41"/>
    <x v="1"/>
    <n v="23"/>
    <x v="2"/>
    <d v="2024-10-13T00:00:00"/>
    <d v="2024-11-05T00:00:00"/>
  </r>
  <r>
    <n v="2831"/>
    <n v="13973"/>
    <x v="3"/>
    <n v="16240.33"/>
    <x v="1"/>
    <n v="17"/>
    <x v="1"/>
    <d v="2024-02-01T00:00:00"/>
    <d v="2024-02-18T00:00:00"/>
  </r>
  <r>
    <n v="2832"/>
    <n v="16661"/>
    <x v="3"/>
    <n v="187766.1"/>
    <x v="0"/>
    <n v="43"/>
    <x v="3"/>
    <d v="2024-06-06T00:00:00"/>
    <d v="2024-07-19T00:00:00"/>
  </r>
  <r>
    <n v="2833"/>
    <n v="14957"/>
    <x v="3"/>
    <n v="119322.23"/>
    <x v="0"/>
    <n v="30"/>
    <x v="2"/>
    <d v="2024-01-18T00:00:00"/>
    <d v="2024-02-17T00:00:00"/>
  </r>
  <r>
    <n v="2834"/>
    <n v="16564"/>
    <x v="3"/>
    <n v="141342.67000000001"/>
    <x v="0"/>
    <n v="21"/>
    <x v="2"/>
    <d v="2024-03-03T00:00:00"/>
    <d v="2024-03-24T00:00:00"/>
  </r>
  <r>
    <n v="2835"/>
    <n v="11336"/>
    <x v="2"/>
    <n v="107409.28"/>
    <x v="0"/>
    <n v="29"/>
    <x v="0"/>
    <d v="2024-05-07T00:00:00"/>
    <d v="2024-06-05T00:00:00"/>
  </r>
  <r>
    <n v="2836"/>
    <n v="11667"/>
    <x v="2"/>
    <n v="167773.9"/>
    <x v="1"/>
    <n v="28"/>
    <x v="0"/>
    <d v="2024-01-16T00:00:00"/>
    <d v="2024-02-13T00:00:00"/>
  </r>
  <r>
    <n v="2837"/>
    <n v="11825"/>
    <x v="3"/>
    <n v="11461.03"/>
    <x v="0"/>
    <n v="30"/>
    <x v="3"/>
    <d v="2024-06-11T00:00:00"/>
    <d v="2024-07-11T00:00:00"/>
  </r>
  <r>
    <n v="2838"/>
    <n v="11212"/>
    <x v="1"/>
    <n v="57333.78"/>
    <x v="0"/>
    <n v="6"/>
    <x v="2"/>
    <d v="2024-09-07T00:00:00"/>
    <d v="2024-09-13T00:00:00"/>
  </r>
  <r>
    <n v="2839"/>
    <n v="12768"/>
    <x v="2"/>
    <n v="96581.43"/>
    <x v="0"/>
    <n v="43"/>
    <x v="2"/>
    <d v="2024-05-16T00:00:00"/>
    <d v="2024-06-28T00:00:00"/>
  </r>
  <r>
    <n v="2840"/>
    <n v="15776"/>
    <x v="3"/>
    <n v="19937.71"/>
    <x v="1"/>
    <n v="39"/>
    <x v="0"/>
    <d v="2024-11-13T00:00:00"/>
    <d v="2024-12-22T00:00:00"/>
  </r>
  <r>
    <n v="2841"/>
    <n v="10444"/>
    <x v="0"/>
    <n v="142651.79999999999"/>
    <x v="0"/>
    <n v="39"/>
    <x v="2"/>
    <d v="2024-10-21T00:00:00"/>
    <d v="2024-11-29T00:00:00"/>
  </r>
  <r>
    <n v="2842"/>
    <n v="19589"/>
    <x v="2"/>
    <n v="81764.37"/>
    <x v="0"/>
    <n v="3"/>
    <x v="2"/>
    <d v="2024-06-27T00:00:00"/>
    <d v="2024-06-30T00:00:00"/>
  </r>
  <r>
    <n v="2843"/>
    <n v="14381"/>
    <x v="3"/>
    <n v="58170.26"/>
    <x v="0"/>
    <n v="21"/>
    <x v="2"/>
    <d v="2024-08-16T00:00:00"/>
    <d v="2024-09-06T00:00:00"/>
  </r>
  <r>
    <n v="2844"/>
    <n v="13676"/>
    <x v="3"/>
    <n v="5658.88"/>
    <x v="1"/>
    <n v="44"/>
    <x v="0"/>
    <d v="2024-06-28T00:00:00"/>
    <d v="2024-08-11T00:00:00"/>
  </r>
  <r>
    <n v="2845"/>
    <n v="12310"/>
    <x v="2"/>
    <n v="145366.91"/>
    <x v="2"/>
    <m/>
    <x v="3"/>
    <d v="2024-03-12T00:00:00"/>
    <m/>
  </r>
  <r>
    <n v="2846"/>
    <n v="14040"/>
    <x v="1"/>
    <n v="167592.82"/>
    <x v="0"/>
    <n v="27"/>
    <x v="1"/>
    <d v="2024-11-13T00:00:00"/>
    <d v="2024-12-10T00:00:00"/>
  </r>
  <r>
    <n v="2847"/>
    <n v="17085"/>
    <x v="3"/>
    <n v="82032.899999999994"/>
    <x v="0"/>
    <n v="36"/>
    <x v="3"/>
    <d v="2024-03-23T00:00:00"/>
    <d v="2024-04-28T00:00:00"/>
  </r>
  <r>
    <n v="2848"/>
    <n v="11827"/>
    <x v="3"/>
    <n v="115022.51"/>
    <x v="2"/>
    <m/>
    <x v="1"/>
    <d v="2024-05-15T00:00:00"/>
    <m/>
  </r>
  <r>
    <n v="2849"/>
    <n v="16285"/>
    <x v="3"/>
    <n v="49398.89"/>
    <x v="0"/>
    <n v="29"/>
    <x v="2"/>
    <d v="2024-08-05T00:00:00"/>
    <d v="2024-09-03T00:00:00"/>
  </r>
  <r>
    <n v="2850"/>
    <n v="13219"/>
    <x v="1"/>
    <n v="126328.54"/>
    <x v="0"/>
    <n v="42"/>
    <x v="3"/>
    <d v="2024-04-18T00:00:00"/>
    <d v="2024-05-30T00:00:00"/>
  </r>
  <r>
    <n v="2851"/>
    <n v="15559"/>
    <x v="1"/>
    <n v="7366.8"/>
    <x v="0"/>
    <n v="16"/>
    <x v="1"/>
    <d v="2024-04-28T00:00:00"/>
    <d v="2024-05-14T00:00:00"/>
  </r>
  <r>
    <n v="2852"/>
    <n v="16771"/>
    <x v="2"/>
    <n v="100285.56"/>
    <x v="0"/>
    <n v="9"/>
    <x v="0"/>
    <d v="2024-01-18T00:00:00"/>
    <d v="2024-01-27T00:00:00"/>
  </r>
  <r>
    <n v="2853"/>
    <n v="14688"/>
    <x v="3"/>
    <n v="130620.07"/>
    <x v="0"/>
    <n v="12"/>
    <x v="0"/>
    <d v="2024-11-27T00:00:00"/>
    <d v="2024-12-09T00:00:00"/>
  </r>
  <r>
    <n v="2854"/>
    <n v="14511"/>
    <x v="1"/>
    <n v="184047.4"/>
    <x v="1"/>
    <n v="30"/>
    <x v="3"/>
    <d v="2024-06-02T00:00:00"/>
    <d v="2024-07-02T00:00:00"/>
  </r>
  <r>
    <n v="2855"/>
    <n v="12072"/>
    <x v="1"/>
    <n v="79360.479999999996"/>
    <x v="0"/>
    <n v="6"/>
    <x v="3"/>
    <d v="2024-01-11T00:00:00"/>
    <d v="2024-01-17T00:00:00"/>
  </r>
  <r>
    <n v="2856"/>
    <n v="16770"/>
    <x v="3"/>
    <n v="154212.09"/>
    <x v="0"/>
    <n v="8"/>
    <x v="2"/>
    <d v="2024-05-17T00:00:00"/>
    <d v="2024-05-25T00:00:00"/>
  </r>
  <r>
    <n v="2857"/>
    <n v="16328"/>
    <x v="3"/>
    <n v="121548.97"/>
    <x v="1"/>
    <n v="19"/>
    <x v="3"/>
    <d v="2024-03-02T00:00:00"/>
    <d v="2024-03-21T00:00:00"/>
  </r>
  <r>
    <n v="2858"/>
    <n v="12330"/>
    <x v="2"/>
    <n v="185767.36"/>
    <x v="0"/>
    <n v="29"/>
    <x v="2"/>
    <d v="2024-03-11T00:00:00"/>
    <d v="2024-04-09T00:00:00"/>
  </r>
  <r>
    <n v="2859"/>
    <n v="10685"/>
    <x v="0"/>
    <n v="82683.649999999994"/>
    <x v="0"/>
    <n v="13"/>
    <x v="2"/>
    <d v="2024-03-01T00:00:00"/>
    <d v="2024-03-14T00:00:00"/>
  </r>
  <r>
    <n v="2860"/>
    <n v="14958"/>
    <x v="3"/>
    <n v="67223.59"/>
    <x v="0"/>
    <n v="13"/>
    <x v="0"/>
    <d v="2024-05-11T00:00:00"/>
    <d v="2024-05-24T00:00:00"/>
  </r>
  <r>
    <n v="2861"/>
    <n v="10684"/>
    <x v="1"/>
    <n v="177992.69"/>
    <x v="1"/>
    <n v="37"/>
    <x v="0"/>
    <d v="2024-03-01T00:00:00"/>
    <d v="2024-04-07T00:00:00"/>
  </r>
  <r>
    <n v="2862"/>
    <n v="18532"/>
    <x v="3"/>
    <n v="14602.66"/>
    <x v="1"/>
    <n v="30"/>
    <x v="1"/>
    <d v="2024-12-23T00:00:00"/>
    <d v="2025-01-22T00:00:00"/>
  </r>
  <r>
    <n v="2863"/>
    <n v="10733"/>
    <x v="1"/>
    <n v="31595.15"/>
    <x v="2"/>
    <m/>
    <x v="0"/>
    <d v="2024-09-25T00:00:00"/>
    <m/>
  </r>
  <r>
    <n v="2864"/>
    <n v="11496"/>
    <x v="1"/>
    <n v="21068.86"/>
    <x v="1"/>
    <n v="7"/>
    <x v="0"/>
    <d v="2024-01-12T00:00:00"/>
    <d v="2024-01-19T00:00:00"/>
  </r>
  <r>
    <n v="2865"/>
    <n v="19323"/>
    <x v="1"/>
    <n v="169406.44"/>
    <x v="0"/>
    <n v="22"/>
    <x v="3"/>
    <d v="2024-02-04T00:00:00"/>
    <d v="2024-02-26T00:00:00"/>
  </r>
  <r>
    <n v="2866"/>
    <n v="15450"/>
    <x v="2"/>
    <n v="7068.45"/>
    <x v="0"/>
    <n v="11"/>
    <x v="0"/>
    <d v="2024-02-20T00:00:00"/>
    <d v="2024-03-02T00:00:00"/>
  </r>
  <r>
    <n v="2867"/>
    <n v="14635"/>
    <x v="1"/>
    <n v="173023.15"/>
    <x v="1"/>
    <n v="33"/>
    <x v="1"/>
    <d v="2024-02-12T00:00:00"/>
    <d v="2024-03-16T00:00:00"/>
  </r>
  <r>
    <n v="2868"/>
    <n v="11732"/>
    <x v="3"/>
    <n v="92997.22"/>
    <x v="0"/>
    <n v="34"/>
    <x v="3"/>
    <d v="2024-08-15T00:00:00"/>
    <d v="2024-09-18T00:00:00"/>
  </r>
  <r>
    <n v="2869"/>
    <n v="16527"/>
    <x v="1"/>
    <n v="5784.93"/>
    <x v="0"/>
    <n v="18"/>
    <x v="1"/>
    <d v="2024-04-20T00:00:00"/>
    <d v="2024-05-08T00:00:00"/>
  </r>
  <r>
    <n v="2870"/>
    <n v="16725"/>
    <x v="3"/>
    <n v="83320.81"/>
    <x v="0"/>
    <n v="4"/>
    <x v="0"/>
    <d v="2024-11-17T00:00:00"/>
    <d v="2024-11-21T00:00:00"/>
  </r>
  <r>
    <n v="2871"/>
    <n v="16303"/>
    <x v="3"/>
    <n v="41426.160000000003"/>
    <x v="0"/>
    <n v="44"/>
    <x v="1"/>
    <d v="2024-01-15T00:00:00"/>
    <d v="2024-02-28T00:00:00"/>
  </r>
  <r>
    <n v="2872"/>
    <n v="18031"/>
    <x v="3"/>
    <n v="126758.1"/>
    <x v="2"/>
    <m/>
    <x v="3"/>
    <d v="2024-06-25T00:00:00"/>
    <m/>
  </r>
  <r>
    <n v="2873"/>
    <n v="11419"/>
    <x v="3"/>
    <n v="137474.96"/>
    <x v="0"/>
    <n v="11"/>
    <x v="2"/>
    <d v="2024-06-10T00:00:00"/>
    <d v="2024-06-21T00:00:00"/>
  </r>
  <r>
    <n v="2874"/>
    <n v="14710"/>
    <x v="1"/>
    <n v="100067.88"/>
    <x v="0"/>
    <n v="42"/>
    <x v="1"/>
    <d v="2024-02-08T00:00:00"/>
    <d v="2024-03-21T00:00:00"/>
  </r>
  <r>
    <n v="2875"/>
    <n v="18679"/>
    <x v="3"/>
    <n v="12901.31"/>
    <x v="2"/>
    <m/>
    <x v="1"/>
    <d v="2024-01-26T00:00:00"/>
    <m/>
  </r>
  <r>
    <n v="2876"/>
    <n v="11441"/>
    <x v="1"/>
    <n v="132945.12"/>
    <x v="0"/>
    <n v="44"/>
    <x v="3"/>
    <d v="2024-04-21T00:00:00"/>
    <d v="2024-06-04T00:00:00"/>
  </r>
  <r>
    <n v="2877"/>
    <n v="12390"/>
    <x v="1"/>
    <n v="169197.56"/>
    <x v="0"/>
    <n v="9"/>
    <x v="3"/>
    <d v="2024-02-20T00:00:00"/>
    <d v="2024-02-29T00:00:00"/>
  </r>
  <r>
    <n v="2878"/>
    <n v="11384"/>
    <x v="3"/>
    <n v="145463.23000000001"/>
    <x v="0"/>
    <n v="35"/>
    <x v="1"/>
    <d v="2024-04-07T00:00:00"/>
    <d v="2024-05-12T00:00:00"/>
  </r>
  <r>
    <n v="2879"/>
    <n v="12156"/>
    <x v="0"/>
    <n v="166841.79"/>
    <x v="1"/>
    <n v="38"/>
    <x v="0"/>
    <d v="2024-06-18T00:00:00"/>
    <d v="2024-07-26T00:00:00"/>
  </r>
  <r>
    <n v="2880"/>
    <n v="14396"/>
    <x v="3"/>
    <n v="44099.360000000001"/>
    <x v="1"/>
    <n v="42"/>
    <x v="1"/>
    <d v="2024-02-25T00:00:00"/>
    <d v="2024-04-07T00:00:00"/>
  </r>
  <r>
    <n v="2881"/>
    <n v="11391"/>
    <x v="3"/>
    <n v="178333.15"/>
    <x v="1"/>
    <n v="34"/>
    <x v="3"/>
    <d v="2024-08-08T00:00:00"/>
    <d v="2024-09-11T00:00:00"/>
  </r>
  <r>
    <n v="2882"/>
    <n v="17422"/>
    <x v="1"/>
    <n v="67827.72"/>
    <x v="1"/>
    <n v="11"/>
    <x v="2"/>
    <d v="2024-11-20T00:00:00"/>
    <d v="2024-12-01T00:00:00"/>
  </r>
  <r>
    <n v="2883"/>
    <n v="15435"/>
    <x v="3"/>
    <n v="7613.94"/>
    <x v="0"/>
    <n v="41"/>
    <x v="2"/>
    <d v="2024-05-25T00:00:00"/>
    <d v="2024-07-05T00:00:00"/>
  </r>
  <r>
    <n v="2884"/>
    <n v="14800"/>
    <x v="3"/>
    <n v="169461.37"/>
    <x v="1"/>
    <n v="19"/>
    <x v="0"/>
    <d v="2024-09-16T00:00:00"/>
    <d v="2024-10-05T00:00:00"/>
  </r>
  <r>
    <n v="2885"/>
    <n v="13142"/>
    <x v="1"/>
    <n v="188655.15"/>
    <x v="1"/>
    <n v="26"/>
    <x v="1"/>
    <d v="2024-05-08T00:00:00"/>
    <d v="2024-06-03T00:00:00"/>
  </r>
  <r>
    <n v="2886"/>
    <n v="10268"/>
    <x v="1"/>
    <n v="132833.85"/>
    <x v="0"/>
    <n v="43"/>
    <x v="2"/>
    <d v="2024-02-19T00:00:00"/>
    <d v="2024-04-02T00:00:00"/>
  </r>
  <r>
    <n v="2887"/>
    <n v="13917"/>
    <x v="3"/>
    <n v="50130.14"/>
    <x v="0"/>
    <n v="42"/>
    <x v="1"/>
    <d v="2024-12-05T00:00:00"/>
    <d v="2025-01-16T00:00:00"/>
  </r>
  <r>
    <n v="2888"/>
    <n v="19716"/>
    <x v="2"/>
    <n v="54090.17"/>
    <x v="2"/>
    <m/>
    <x v="3"/>
    <d v="2024-11-21T00:00:00"/>
    <m/>
  </r>
  <r>
    <n v="2889"/>
    <n v="18669"/>
    <x v="1"/>
    <n v="95985.61"/>
    <x v="1"/>
    <n v="3"/>
    <x v="2"/>
    <d v="2024-01-20T00:00:00"/>
    <d v="2024-01-23T00:00:00"/>
  </r>
  <r>
    <n v="2890"/>
    <n v="14271"/>
    <x v="0"/>
    <n v="180077.06"/>
    <x v="1"/>
    <n v="20"/>
    <x v="0"/>
    <d v="2024-06-22T00:00:00"/>
    <d v="2024-07-12T00:00:00"/>
  </r>
  <r>
    <n v="2891"/>
    <n v="10238"/>
    <x v="3"/>
    <n v="34171.54"/>
    <x v="1"/>
    <n v="11"/>
    <x v="3"/>
    <d v="2024-10-09T00:00:00"/>
    <d v="2024-10-20T00:00:00"/>
  </r>
  <r>
    <n v="2892"/>
    <n v="18801"/>
    <x v="1"/>
    <n v="166064.87"/>
    <x v="0"/>
    <n v="4"/>
    <x v="0"/>
    <d v="2024-01-26T00:00:00"/>
    <d v="2024-01-30T00:00:00"/>
  </r>
  <r>
    <n v="2893"/>
    <n v="17002"/>
    <x v="0"/>
    <n v="61804.05"/>
    <x v="0"/>
    <n v="20"/>
    <x v="3"/>
    <d v="2024-06-08T00:00:00"/>
    <d v="2024-06-28T00:00:00"/>
  </r>
  <r>
    <n v="2894"/>
    <n v="17768"/>
    <x v="1"/>
    <n v="162674.29999999999"/>
    <x v="0"/>
    <n v="27"/>
    <x v="2"/>
    <d v="2024-01-10T00:00:00"/>
    <d v="2024-02-06T00:00:00"/>
  </r>
  <r>
    <n v="2895"/>
    <n v="15883"/>
    <x v="1"/>
    <n v="184452.88"/>
    <x v="0"/>
    <n v="26"/>
    <x v="0"/>
    <d v="2024-03-22T00:00:00"/>
    <d v="2024-04-17T00:00:00"/>
  </r>
  <r>
    <n v="2896"/>
    <n v="15785"/>
    <x v="3"/>
    <n v="88361.31"/>
    <x v="1"/>
    <n v="18"/>
    <x v="0"/>
    <d v="2024-09-12T00:00:00"/>
    <d v="2024-09-30T00:00:00"/>
  </r>
  <r>
    <n v="2897"/>
    <n v="15093"/>
    <x v="3"/>
    <n v="76184.88"/>
    <x v="0"/>
    <n v="11"/>
    <x v="3"/>
    <d v="2024-04-14T00:00:00"/>
    <d v="2024-04-25T00:00:00"/>
  </r>
  <r>
    <n v="2898"/>
    <n v="16438"/>
    <x v="3"/>
    <n v="161433.16"/>
    <x v="0"/>
    <n v="12"/>
    <x v="0"/>
    <d v="2024-05-19T00:00:00"/>
    <d v="2024-05-31T00:00:00"/>
  </r>
  <r>
    <n v="2899"/>
    <n v="16174"/>
    <x v="3"/>
    <n v="108249.16"/>
    <x v="0"/>
    <n v="12"/>
    <x v="3"/>
    <d v="2024-07-20T00:00:00"/>
    <d v="2024-08-01T00:00:00"/>
  </r>
  <r>
    <n v="2900"/>
    <n v="19346"/>
    <x v="0"/>
    <n v="138467.56"/>
    <x v="0"/>
    <n v="13"/>
    <x v="3"/>
    <d v="2024-12-09T00:00:00"/>
    <d v="2024-12-22T00:00:00"/>
  </r>
  <r>
    <n v="2901"/>
    <n v="19943"/>
    <x v="3"/>
    <n v="126451.7"/>
    <x v="0"/>
    <n v="41"/>
    <x v="3"/>
    <d v="2024-01-24T00:00:00"/>
    <d v="2024-03-05T00:00:00"/>
  </r>
  <r>
    <n v="2902"/>
    <n v="15445"/>
    <x v="2"/>
    <n v="34813.32"/>
    <x v="0"/>
    <n v="9"/>
    <x v="3"/>
    <d v="2024-02-15T00:00:00"/>
    <d v="2024-02-24T00:00:00"/>
  </r>
  <r>
    <n v="2903"/>
    <n v="13338"/>
    <x v="2"/>
    <n v="169734.12"/>
    <x v="0"/>
    <n v="25"/>
    <x v="2"/>
    <d v="2024-08-04T00:00:00"/>
    <d v="2024-08-29T00:00:00"/>
  </r>
  <r>
    <n v="2904"/>
    <n v="12333"/>
    <x v="3"/>
    <n v="43176.15"/>
    <x v="0"/>
    <n v="15"/>
    <x v="3"/>
    <d v="2024-02-24T00:00:00"/>
    <d v="2024-03-10T00:00:00"/>
  </r>
  <r>
    <n v="2905"/>
    <n v="14386"/>
    <x v="3"/>
    <n v="186795.02"/>
    <x v="2"/>
    <m/>
    <x v="1"/>
    <d v="2024-03-18T00:00:00"/>
    <m/>
  </r>
  <r>
    <n v="2906"/>
    <n v="14581"/>
    <x v="0"/>
    <n v="53861.4"/>
    <x v="0"/>
    <n v="37"/>
    <x v="0"/>
    <d v="2024-06-07T00:00:00"/>
    <d v="2024-07-14T00:00:00"/>
  </r>
  <r>
    <n v="2907"/>
    <n v="16698"/>
    <x v="2"/>
    <n v="148106.79"/>
    <x v="0"/>
    <n v="18"/>
    <x v="1"/>
    <d v="2024-12-09T00:00:00"/>
    <d v="2024-12-27T00:00:00"/>
  </r>
  <r>
    <n v="2908"/>
    <n v="18359"/>
    <x v="3"/>
    <n v="60507.8"/>
    <x v="0"/>
    <n v="6"/>
    <x v="2"/>
    <d v="2024-09-28T00:00:00"/>
    <d v="2024-10-04T00:00:00"/>
  </r>
  <r>
    <n v="2909"/>
    <n v="13542"/>
    <x v="3"/>
    <n v="66968.149999999994"/>
    <x v="0"/>
    <n v="4"/>
    <x v="1"/>
    <d v="2024-05-27T00:00:00"/>
    <d v="2024-05-31T00:00:00"/>
  </r>
  <r>
    <n v="2910"/>
    <n v="15886"/>
    <x v="1"/>
    <n v="65450.36"/>
    <x v="0"/>
    <n v="10"/>
    <x v="0"/>
    <d v="2024-02-07T00:00:00"/>
    <d v="2024-02-17T00:00:00"/>
  </r>
  <r>
    <n v="2911"/>
    <n v="18054"/>
    <x v="1"/>
    <n v="150838.99"/>
    <x v="1"/>
    <n v="21"/>
    <x v="1"/>
    <d v="2024-04-20T00:00:00"/>
    <d v="2024-05-11T00:00:00"/>
  </r>
  <r>
    <n v="2912"/>
    <n v="16914"/>
    <x v="3"/>
    <n v="113578.95"/>
    <x v="1"/>
    <n v="21"/>
    <x v="2"/>
    <d v="2024-01-15T00:00:00"/>
    <d v="2024-02-05T00:00:00"/>
  </r>
  <r>
    <n v="2913"/>
    <n v="17513"/>
    <x v="1"/>
    <n v="177175.73"/>
    <x v="0"/>
    <n v="20"/>
    <x v="3"/>
    <d v="2024-03-18T00:00:00"/>
    <d v="2024-04-07T00:00:00"/>
  </r>
  <r>
    <n v="2914"/>
    <n v="18269"/>
    <x v="3"/>
    <n v="64937.68"/>
    <x v="0"/>
    <n v="22"/>
    <x v="1"/>
    <d v="2024-03-16T00:00:00"/>
    <d v="2024-04-07T00:00:00"/>
  </r>
  <r>
    <n v="2915"/>
    <n v="11108"/>
    <x v="3"/>
    <n v="139938.54"/>
    <x v="2"/>
    <m/>
    <x v="2"/>
    <d v="2024-11-23T00:00:00"/>
    <m/>
  </r>
  <r>
    <n v="2916"/>
    <n v="19083"/>
    <x v="3"/>
    <n v="151824.98000000001"/>
    <x v="1"/>
    <n v="34"/>
    <x v="2"/>
    <d v="2024-10-01T00:00:00"/>
    <d v="2024-11-04T00:00:00"/>
  </r>
  <r>
    <n v="2917"/>
    <n v="14756"/>
    <x v="3"/>
    <n v="34539.01"/>
    <x v="0"/>
    <n v="6"/>
    <x v="0"/>
    <d v="2024-07-15T00:00:00"/>
    <d v="2024-07-21T00:00:00"/>
  </r>
  <r>
    <n v="2918"/>
    <n v="11224"/>
    <x v="3"/>
    <n v="83114.92"/>
    <x v="0"/>
    <n v="25"/>
    <x v="0"/>
    <d v="2024-08-06T00:00:00"/>
    <d v="2024-08-31T00:00:00"/>
  </r>
  <r>
    <n v="2919"/>
    <n v="17528"/>
    <x v="3"/>
    <n v="99149.41"/>
    <x v="0"/>
    <n v="16"/>
    <x v="1"/>
    <d v="2024-03-03T00:00:00"/>
    <d v="2024-03-19T00:00:00"/>
  </r>
  <r>
    <n v="2920"/>
    <n v="18756"/>
    <x v="3"/>
    <n v="74359.039999999994"/>
    <x v="0"/>
    <n v="27"/>
    <x v="3"/>
    <d v="2024-12-26T00:00:00"/>
    <d v="2025-01-22T00:00:00"/>
  </r>
  <r>
    <n v="2921"/>
    <n v="12859"/>
    <x v="3"/>
    <n v="67811.960000000006"/>
    <x v="0"/>
    <n v="26"/>
    <x v="2"/>
    <d v="2024-02-01T00:00:00"/>
    <d v="2024-02-27T00:00:00"/>
  </r>
  <r>
    <n v="2922"/>
    <n v="18493"/>
    <x v="3"/>
    <n v="138851.88"/>
    <x v="0"/>
    <n v="29"/>
    <x v="1"/>
    <d v="2024-08-20T00:00:00"/>
    <d v="2024-09-18T00:00:00"/>
  </r>
  <r>
    <n v="2923"/>
    <n v="18300"/>
    <x v="2"/>
    <n v="47093.95"/>
    <x v="0"/>
    <n v="34"/>
    <x v="2"/>
    <d v="2024-04-19T00:00:00"/>
    <d v="2024-05-23T00:00:00"/>
  </r>
  <r>
    <n v="2924"/>
    <n v="12412"/>
    <x v="3"/>
    <n v="143331.20000000001"/>
    <x v="0"/>
    <n v="19"/>
    <x v="2"/>
    <d v="2024-06-13T00:00:00"/>
    <d v="2024-07-02T00:00:00"/>
  </r>
  <r>
    <n v="2925"/>
    <n v="12647"/>
    <x v="3"/>
    <n v="187333.62"/>
    <x v="1"/>
    <n v="19"/>
    <x v="3"/>
    <d v="2024-07-12T00:00:00"/>
    <d v="2024-07-31T00:00:00"/>
  </r>
  <r>
    <n v="2926"/>
    <n v="13338"/>
    <x v="1"/>
    <n v="115213.52"/>
    <x v="1"/>
    <n v="39"/>
    <x v="3"/>
    <d v="2024-01-07T00:00:00"/>
    <d v="2024-02-15T00:00:00"/>
  </r>
  <r>
    <n v="2927"/>
    <n v="15804"/>
    <x v="2"/>
    <n v="124229.68"/>
    <x v="0"/>
    <n v="34"/>
    <x v="1"/>
    <d v="2024-05-18T00:00:00"/>
    <d v="2024-06-21T00:00:00"/>
  </r>
  <r>
    <n v="2928"/>
    <n v="17231"/>
    <x v="3"/>
    <n v="18441.88"/>
    <x v="1"/>
    <n v="28"/>
    <x v="3"/>
    <d v="2024-12-08T00:00:00"/>
    <d v="2025-01-05T00:00:00"/>
  </r>
  <r>
    <n v="2929"/>
    <n v="14523"/>
    <x v="1"/>
    <n v="173573"/>
    <x v="0"/>
    <n v="16"/>
    <x v="3"/>
    <d v="2024-10-13T00:00:00"/>
    <d v="2024-10-29T00:00:00"/>
  </r>
  <r>
    <n v="2930"/>
    <n v="13813"/>
    <x v="1"/>
    <n v="60662.32"/>
    <x v="1"/>
    <n v="14"/>
    <x v="1"/>
    <d v="2024-10-27T00:00:00"/>
    <d v="2024-11-10T00:00:00"/>
  </r>
  <r>
    <n v="2931"/>
    <n v="13645"/>
    <x v="1"/>
    <n v="124934.98"/>
    <x v="0"/>
    <n v="35"/>
    <x v="3"/>
    <d v="2024-02-25T00:00:00"/>
    <d v="2024-03-31T00:00:00"/>
  </r>
  <r>
    <n v="2932"/>
    <n v="13417"/>
    <x v="3"/>
    <n v="195926.87"/>
    <x v="0"/>
    <n v="5"/>
    <x v="0"/>
    <d v="2024-06-08T00:00:00"/>
    <d v="2024-06-13T00:00:00"/>
  </r>
  <r>
    <n v="2933"/>
    <n v="10011"/>
    <x v="1"/>
    <n v="121123.01"/>
    <x v="0"/>
    <n v="36"/>
    <x v="2"/>
    <d v="2024-05-28T00:00:00"/>
    <d v="2024-07-03T00:00:00"/>
  </r>
  <r>
    <n v="2934"/>
    <n v="16609"/>
    <x v="3"/>
    <n v="146318.35"/>
    <x v="0"/>
    <n v="20"/>
    <x v="2"/>
    <d v="2024-10-13T00:00:00"/>
    <d v="2024-11-02T00:00:00"/>
  </r>
  <r>
    <n v="2935"/>
    <n v="13145"/>
    <x v="1"/>
    <n v="91837.33"/>
    <x v="2"/>
    <m/>
    <x v="2"/>
    <d v="2024-09-13T00:00:00"/>
    <m/>
  </r>
  <r>
    <n v="2936"/>
    <n v="10874"/>
    <x v="1"/>
    <n v="16771.34"/>
    <x v="0"/>
    <n v="26"/>
    <x v="2"/>
    <d v="2024-05-18T00:00:00"/>
    <d v="2024-06-13T00:00:00"/>
  </r>
  <r>
    <n v="2937"/>
    <n v="17303"/>
    <x v="3"/>
    <n v="160531.87"/>
    <x v="0"/>
    <n v="41"/>
    <x v="1"/>
    <d v="2024-12-14T00:00:00"/>
    <d v="2025-01-24T00:00:00"/>
  </r>
  <r>
    <n v="2938"/>
    <n v="10883"/>
    <x v="0"/>
    <n v="11824.77"/>
    <x v="0"/>
    <n v="13"/>
    <x v="2"/>
    <d v="2024-11-19T00:00:00"/>
    <d v="2024-12-02T00:00:00"/>
  </r>
  <r>
    <n v="2939"/>
    <n v="14650"/>
    <x v="3"/>
    <n v="141628.28"/>
    <x v="0"/>
    <n v="13"/>
    <x v="2"/>
    <d v="2024-10-18T00:00:00"/>
    <d v="2024-10-31T00:00:00"/>
  </r>
  <r>
    <n v="2940"/>
    <n v="17710"/>
    <x v="0"/>
    <n v="9469.7099999999991"/>
    <x v="0"/>
    <n v="43"/>
    <x v="2"/>
    <d v="2024-11-30T00:00:00"/>
    <d v="2025-01-12T00:00:00"/>
  </r>
  <r>
    <n v="2941"/>
    <n v="16797"/>
    <x v="3"/>
    <n v="173149.52"/>
    <x v="0"/>
    <n v="26"/>
    <x v="2"/>
    <d v="2024-07-05T00:00:00"/>
    <d v="2024-07-31T00:00:00"/>
  </r>
  <r>
    <n v="2942"/>
    <n v="15439"/>
    <x v="3"/>
    <n v="35739.03"/>
    <x v="1"/>
    <n v="34"/>
    <x v="0"/>
    <d v="2024-11-18T00:00:00"/>
    <d v="2024-12-22T00:00:00"/>
  </r>
  <r>
    <n v="2943"/>
    <n v="17008"/>
    <x v="3"/>
    <n v="105282.94"/>
    <x v="1"/>
    <n v="38"/>
    <x v="2"/>
    <d v="2024-07-02T00:00:00"/>
    <d v="2024-08-09T00:00:00"/>
  </r>
  <r>
    <n v="2944"/>
    <n v="19771"/>
    <x v="2"/>
    <n v="121444.39"/>
    <x v="2"/>
    <m/>
    <x v="0"/>
    <d v="2024-11-02T00:00:00"/>
    <m/>
  </r>
  <r>
    <n v="2945"/>
    <n v="18544"/>
    <x v="3"/>
    <n v="94221.35"/>
    <x v="0"/>
    <n v="44"/>
    <x v="1"/>
    <d v="2024-09-18T00:00:00"/>
    <d v="2024-11-01T00:00:00"/>
  </r>
  <r>
    <n v="2946"/>
    <n v="18162"/>
    <x v="3"/>
    <n v="71448.88"/>
    <x v="1"/>
    <n v="10"/>
    <x v="3"/>
    <d v="2024-11-05T00:00:00"/>
    <d v="2024-11-15T00:00:00"/>
  </r>
  <r>
    <n v="2947"/>
    <n v="19698"/>
    <x v="3"/>
    <n v="96223.79"/>
    <x v="0"/>
    <n v="15"/>
    <x v="2"/>
    <d v="2024-12-09T00:00:00"/>
    <d v="2024-12-24T00:00:00"/>
  </r>
  <r>
    <n v="2948"/>
    <n v="13487"/>
    <x v="1"/>
    <n v="65726.070000000007"/>
    <x v="0"/>
    <n v="4"/>
    <x v="3"/>
    <d v="2024-05-24T00:00:00"/>
    <d v="2024-05-28T00:00:00"/>
  </r>
  <r>
    <n v="2949"/>
    <n v="17537"/>
    <x v="1"/>
    <n v="90433.86"/>
    <x v="0"/>
    <n v="6"/>
    <x v="3"/>
    <d v="2024-09-17T00:00:00"/>
    <d v="2024-09-23T00:00:00"/>
  </r>
  <r>
    <n v="2950"/>
    <n v="12390"/>
    <x v="3"/>
    <n v="74988.03"/>
    <x v="2"/>
    <m/>
    <x v="1"/>
    <d v="2024-01-02T00:00:00"/>
    <m/>
  </r>
  <r>
    <n v="2951"/>
    <n v="14030"/>
    <x v="3"/>
    <n v="115409.94"/>
    <x v="1"/>
    <n v="42"/>
    <x v="3"/>
    <d v="2024-11-09T00:00:00"/>
    <d v="2024-12-21T00:00:00"/>
  </r>
  <r>
    <n v="2952"/>
    <n v="17492"/>
    <x v="3"/>
    <n v="51395.21"/>
    <x v="2"/>
    <m/>
    <x v="0"/>
    <d v="2024-01-12T00:00:00"/>
    <m/>
  </r>
  <r>
    <n v="2953"/>
    <n v="13438"/>
    <x v="3"/>
    <n v="197788.03"/>
    <x v="1"/>
    <n v="39"/>
    <x v="3"/>
    <d v="2024-09-17T00:00:00"/>
    <d v="2024-10-26T00:00:00"/>
  </r>
  <r>
    <n v="2954"/>
    <n v="12383"/>
    <x v="3"/>
    <n v="102669.64"/>
    <x v="2"/>
    <m/>
    <x v="3"/>
    <d v="2024-12-27T00:00:00"/>
    <m/>
  </r>
  <r>
    <n v="2955"/>
    <n v="13367"/>
    <x v="1"/>
    <n v="42861.61"/>
    <x v="1"/>
    <n v="40"/>
    <x v="3"/>
    <d v="2024-06-17T00:00:00"/>
    <d v="2024-07-27T00:00:00"/>
  </r>
  <r>
    <n v="2956"/>
    <n v="16167"/>
    <x v="3"/>
    <n v="98028.02"/>
    <x v="0"/>
    <n v="17"/>
    <x v="2"/>
    <d v="2024-05-27T00:00:00"/>
    <d v="2024-06-13T00:00:00"/>
  </r>
  <r>
    <n v="2957"/>
    <n v="11465"/>
    <x v="3"/>
    <n v="173950.95"/>
    <x v="0"/>
    <n v="41"/>
    <x v="2"/>
    <d v="2024-07-18T00:00:00"/>
    <d v="2024-08-28T00:00:00"/>
  </r>
  <r>
    <n v="2958"/>
    <n v="12151"/>
    <x v="3"/>
    <n v="9252.32"/>
    <x v="0"/>
    <n v="24"/>
    <x v="0"/>
    <d v="2024-11-07T00:00:00"/>
    <d v="2024-12-01T00:00:00"/>
  </r>
  <r>
    <n v="2959"/>
    <n v="13483"/>
    <x v="2"/>
    <n v="137513.04999999999"/>
    <x v="0"/>
    <n v="30"/>
    <x v="0"/>
    <d v="2024-03-10T00:00:00"/>
    <d v="2024-04-09T00:00:00"/>
  </r>
  <r>
    <n v="2960"/>
    <n v="10573"/>
    <x v="2"/>
    <n v="111853.72"/>
    <x v="0"/>
    <n v="11"/>
    <x v="2"/>
    <d v="2024-11-07T00:00:00"/>
    <d v="2024-11-18T00:00:00"/>
  </r>
  <r>
    <n v="2961"/>
    <n v="10774"/>
    <x v="0"/>
    <n v="38063.81"/>
    <x v="0"/>
    <n v="6"/>
    <x v="0"/>
    <d v="2024-02-23T00:00:00"/>
    <d v="2024-02-29T00:00:00"/>
  </r>
  <r>
    <n v="2962"/>
    <n v="17030"/>
    <x v="3"/>
    <n v="164407.91"/>
    <x v="0"/>
    <n v="12"/>
    <x v="2"/>
    <d v="2024-09-15T00:00:00"/>
    <d v="2024-09-27T00:00:00"/>
  </r>
  <r>
    <n v="2963"/>
    <n v="14338"/>
    <x v="3"/>
    <n v="76932.5"/>
    <x v="2"/>
    <m/>
    <x v="1"/>
    <d v="2024-12-16T00:00:00"/>
    <m/>
  </r>
  <r>
    <n v="2964"/>
    <n v="18021"/>
    <x v="3"/>
    <n v="62291.4"/>
    <x v="2"/>
    <m/>
    <x v="3"/>
    <d v="2024-01-28T00:00:00"/>
    <m/>
  </r>
  <r>
    <n v="2965"/>
    <n v="13930"/>
    <x v="3"/>
    <n v="166484.41"/>
    <x v="0"/>
    <n v="35"/>
    <x v="3"/>
    <d v="2024-12-28T00:00:00"/>
    <d v="2025-02-01T00:00:00"/>
  </r>
  <r>
    <n v="2966"/>
    <n v="14960"/>
    <x v="1"/>
    <n v="129512.38"/>
    <x v="0"/>
    <n v="15"/>
    <x v="0"/>
    <d v="2024-04-29T00:00:00"/>
    <d v="2024-05-14T00:00:00"/>
  </r>
  <r>
    <n v="2967"/>
    <n v="12220"/>
    <x v="1"/>
    <n v="180160.52"/>
    <x v="0"/>
    <n v="42"/>
    <x v="2"/>
    <d v="2024-05-12T00:00:00"/>
    <d v="2024-06-23T00:00:00"/>
  </r>
  <r>
    <n v="2968"/>
    <n v="11439"/>
    <x v="0"/>
    <n v="127827.32"/>
    <x v="0"/>
    <n v="43"/>
    <x v="2"/>
    <d v="2024-03-30T00:00:00"/>
    <d v="2024-05-12T00:00:00"/>
  </r>
  <r>
    <n v="2969"/>
    <n v="16246"/>
    <x v="0"/>
    <n v="149459.44"/>
    <x v="1"/>
    <n v="11"/>
    <x v="0"/>
    <d v="2024-01-16T00:00:00"/>
    <d v="2024-01-27T00:00:00"/>
  </r>
  <r>
    <n v="2970"/>
    <n v="17424"/>
    <x v="3"/>
    <n v="168106.95"/>
    <x v="0"/>
    <n v="43"/>
    <x v="2"/>
    <d v="2024-10-13T00:00:00"/>
    <d v="2024-11-25T00:00:00"/>
  </r>
  <r>
    <n v="2971"/>
    <n v="18905"/>
    <x v="1"/>
    <n v="15674.23"/>
    <x v="0"/>
    <n v="12"/>
    <x v="1"/>
    <d v="2024-10-10T00:00:00"/>
    <d v="2024-10-22T00:00:00"/>
  </r>
  <r>
    <n v="2972"/>
    <n v="16700"/>
    <x v="3"/>
    <n v="156329.54999999999"/>
    <x v="1"/>
    <n v="12"/>
    <x v="3"/>
    <d v="2024-08-17T00:00:00"/>
    <d v="2024-08-29T00:00:00"/>
  </r>
  <r>
    <n v="2973"/>
    <n v="18767"/>
    <x v="3"/>
    <n v="124672.76"/>
    <x v="1"/>
    <n v="36"/>
    <x v="0"/>
    <d v="2024-05-16T00:00:00"/>
    <d v="2024-06-21T00:00:00"/>
  </r>
  <r>
    <n v="2974"/>
    <n v="16339"/>
    <x v="1"/>
    <n v="18554.02"/>
    <x v="0"/>
    <n v="20"/>
    <x v="0"/>
    <d v="2024-10-21T00:00:00"/>
    <d v="2024-11-10T00:00:00"/>
  </r>
  <r>
    <n v="2975"/>
    <n v="15084"/>
    <x v="3"/>
    <n v="104172.69"/>
    <x v="1"/>
    <n v="25"/>
    <x v="2"/>
    <d v="2024-08-14T00:00:00"/>
    <d v="2024-09-08T00:00:00"/>
  </r>
  <r>
    <n v="2976"/>
    <n v="15510"/>
    <x v="3"/>
    <n v="21079.33"/>
    <x v="0"/>
    <n v="2"/>
    <x v="0"/>
    <d v="2024-01-27T00:00:00"/>
    <d v="2024-01-29T00:00:00"/>
  </r>
  <r>
    <n v="2977"/>
    <n v="10069"/>
    <x v="3"/>
    <n v="148509.70000000001"/>
    <x v="0"/>
    <n v="13"/>
    <x v="1"/>
    <d v="2024-11-27T00:00:00"/>
    <d v="2024-12-10T00:00:00"/>
  </r>
  <r>
    <n v="2978"/>
    <n v="19109"/>
    <x v="1"/>
    <n v="111567.83"/>
    <x v="0"/>
    <n v="15"/>
    <x v="2"/>
    <d v="2024-04-26T00:00:00"/>
    <d v="2024-05-11T00:00:00"/>
  </r>
  <r>
    <n v="2979"/>
    <n v="18934"/>
    <x v="1"/>
    <n v="190946.84"/>
    <x v="0"/>
    <n v="4"/>
    <x v="2"/>
    <d v="2024-03-29T00:00:00"/>
    <d v="2024-04-02T00:00:00"/>
  </r>
  <r>
    <n v="2980"/>
    <n v="16728"/>
    <x v="3"/>
    <n v="40711.4"/>
    <x v="0"/>
    <n v="33"/>
    <x v="2"/>
    <d v="2024-04-16T00:00:00"/>
    <d v="2024-05-19T00:00:00"/>
  </r>
  <r>
    <n v="2981"/>
    <n v="14150"/>
    <x v="0"/>
    <n v="123176.52"/>
    <x v="0"/>
    <n v="17"/>
    <x v="2"/>
    <d v="2024-08-08T00:00:00"/>
    <d v="2024-08-25T00:00:00"/>
  </r>
  <r>
    <n v="2982"/>
    <n v="12533"/>
    <x v="3"/>
    <n v="46258.52"/>
    <x v="0"/>
    <n v="39"/>
    <x v="1"/>
    <d v="2024-08-10T00:00:00"/>
    <d v="2024-09-18T00:00:00"/>
  </r>
  <r>
    <n v="2983"/>
    <n v="17410"/>
    <x v="3"/>
    <n v="124742.67"/>
    <x v="1"/>
    <n v="11"/>
    <x v="2"/>
    <d v="2024-05-01T00:00:00"/>
    <d v="2024-05-12T00:00:00"/>
  </r>
  <r>
    <n v="2984"/>
    <n v="19568"/>
    <x v="1"/>
    <n v="145916.69"/>
    <x v="0"/>
    <n v="18"/>
    <x v="0"/>
    <d v="2024-12-19T00:00:00"/>
    <d v="2025-01-06T00:00:00"/>
  </r>
  <r>
    <n v="2985"/>
    <n v="18601"/>
    <x v="1"/>
    <n v="145849.34"/>
    <x v="0"/>
    <n v="41"/>
    <x v="1"/>
    <d v="2024-02-02T00:00:00"/>
    <d v="2024-03-14T00:00:00"/>
  </r>
  <r>
    <n v="2986"/>
    <n v="13007"/>
    <x v="2"/>
    <n v="163939.43"/>
    <x v="1"/>
    <n v="5"/>
    <x v="3"/>
    <d v="2024-03-31T00:00:00"/>
    <d v="2024-04-05T00:00:00"/>
  </r>
  <r>
    <n v="2987"/>
    <n v="18143"/>
    <x v="3"/>
    <n v="171442.29"/>
    <x v="0"/>
    <n v="16"/>
    <x v="3"/>
    <d v="2024-07-02T00:00:00"/>
    <d v="2024-07-18T00:00:00"/>
  </r>
  <r>
    <n v="2988"/>
    <n v="16870"/>
    <x v="1"/>
    <n v="20067.990000000002"/>
    <x v="2"/>
    <m/>
    <x v="0"/>
    <d v="2024-09-14T00:00:00"/>
    <m/>
  </r>
  <r>
    <n v="2989"/>
    <n v="15134"/>
    <x v="1"/>
    <n v="71937.100000000006"/>
    <x v="0"/>
    <n v="40"/>
    <x v="0"/>
    <d v="2024-01-13T00:00:00"/>
    <d v="2024-02-22T00:00:00"/>
  </r>
  <r>
    <n v="2990"/>
    <n v="14242"/>
    <x v="2"/>
    <n v="138988.89000000001"/>
    <x v="0"/>
    <n v="11"/>
    <x v="1"/>
    <d v="2024-01-24T00:00:00"/>
    <d v="2024-02-04T00:00:00"/>
  </r>
  <r>
    <n v="2991"/>
    <n v="15609"/>
    <x v="3"/>
    <n v="102224.33"/>
    <x v="0"/>
    <n v="8"/>
    <x v="3"/>
    <d v="2024-11-20T00:00:00"/>
    <d v="2024-11-28T00:00:00"/>
  </r>
  <r>
    <n v="2992"/>
    <n v="19871"/>
    <x v="1"/>
    <n v="42181.81"/>
    <x v="0"/>
    <n v="34"/>
    <x v="3"/>
    <d v="2024-02-03T00:00:00"/>
    <d v="2024-03-08T00:00:00"/>
  </r>
  <r>
    <n v="2993"/>
    <n v="17778"/>
    <x v="1"/>
    <n v="112778.37"/>
    <x v="0"/>
    <n v="18"/>
    <x v="3"/>
    <d v="2024-09-03T00:00:00"/>
    <d v="2024-09-21T00:00:00"/>
  </r>
  <r>
    <n v="2994"/>
    <n v="19906"/>
    <x v="3"/>
    <n v="84449.95"/>
    <x v="0"/>
    <n v="13"/>
    <x v="3"/>
    <d v="2024-12-08T00:00:00"/>
    <d v="2024-12-21T00:00:00"/>
  </r>
  <r>
    <n v="2995"/>
    <n v="11197"/>
    <x v="3"/>
    <n v="81057.460000000006"/>
    <x v="0"/>
    <n v="18"/>
    <x v="3"/>
    <d v="2024-01-19T00:00:00"/>
    <d v="2024-02-06T00:00:00"/>
  </r>
  <r>
    <n v="2996"/>
    <n v="12337"/>
    <x v="3"/>
    <n v="162901.97"/>
    <x v="0"/>
    <n v="17"/>
    <x v="2"/>
    <d v="2024-01-30T00:00:00"/>
    <d v="2024-02-16T00:00:00"/>
  </r>
  <r>
    <n v="2997"/>
    <n v="18086"/>
    <x v="1"/>
    <n v="84481.68"/>
    <x v="0"/>
    <n v="15"/>
    <x v="0"/>
    <d v="2024-02-18T00:00:00"/>
    <d v="2024-03-04T00:00:00"/>
  </r>
  <r>
    <n v="2998"/>
    <n v="13193"/>
    <x v="0"/>
    <n v="10158.629999999999"/>
    <x v="0"/>
    <n v="4"/>
    <x v="2"/>
    <d v="2024-06-28T00:00:00"/>
    <d v="2024-07-02T00:00:00"/>
  </r>
  <r>
    <n v="2999"/>
    <n v="18218"/>
    <x v="1"/>
    <n v="16322.35"/>
    <x v="0"/>
    <n v="31"/>
    <x v="3"/>
    <d v="2024-08-13T00:00:00"/>
    <d v="2024-09-13T00:00:00"/>
  </r>
  <r>
    <n v="3000"/>
    <n v="15220"/>
    <x v="1"/>
    <n v="171967.59"/>
    <x v="0"/>
    <n v="42"/>
    <x v="1"/>
    <d v="2024-03-18T00:00:00"/>
    <d v="2024-04-29T00:00:00"/>
  </r>
  <r>
    <n v="3001"/>
    <n v="12973"/>
    <x v="1"/>
    <n v="192317.16"/>
    <x v="0"/>
    <n v="36"/>
    <x v="1"/>
    <d v="2024-07-25T00:00:00"/>
    <d v="2024-08-30T00:00:00"/>
  </r>
  <r>
    <n v="3002"/>
    <n v="16531"/>
    <x v="3"/>
    <n v="139239.82"/>
    <x v="0"/>
    <n v="27"/>
    <x v="3"/>
    <d v="2024-02-04T00:00:00"/>
    <d v="2024-03-02T00:00:00"/>
  </r>
  <r>
    <n v="3003"/>
    <n v="13165"/>
    <x v="3"/>
    <n v="76051.820000000007"/>
    <x v="1"/>
    <n v="13"/>
    <x v="3"/>
    <d v="2024-09-06T00:00:00"/>
    <d v="2024-09-19T00:00:00"/>
  </r>
  <r>
    <n v="3004"/>
    <n v="11090"/>
    <x v="3"/>
    <n v="188027.06"/>
    <x v="0"/>
    <n v="32"/>
    <x v="1"/>
    <d v="2024-03-11T00:00:00"/>
    <d v="2024-04-12T00:00:00"/>
  </r>
  <r>
    <n v="3005"/>
    <n v="18441"/>
    <x v="3"/>
    <n v="134246.6"/>
    <x v="1"/>
    <n v="18"/>
    <x v="2"/>
    <d v="2024-12-29T00:00:00"/>
    <d v="2025-01-16T00:00:00"/>
  </r>
  <r>
    <n v="3006"/>
    <n v="10141"/>
    <x v="3"/>
    <n v="169645.04"/>
    <x v="0"/>
    <n v="38"/>
    <x v="2"/>
    <d v="2024-11-05T00:00:00"/>
    <d v="2024-12-13T00:00:00"/>
  </r>
  <r>
    <n v="3007"/>
    <n v="10266"/>
    <x v="1"/>
    <n v="154341.20000000001"/>
    <x v="0"/>
    <n v="9"/>
    <x v="3"/>
    <d v="2024-10-05T00:00:00"/>
    <d v="2024-10-14T00:00:00"/>
  </r>
  <r>
    <n v="3008"/>
    <n v="17719"/>
    <x v="3"/>
    <n v="78932.17"/>
    <x v="0"/>
    <n v="20"/>
    <x v="2"/>
    <d v="2024-05-31T00:00:00"/>
    <d v="2024-06-20T00:00:00"/>
  </r>
  <r>
    <n v="3009"/>
    <n v="14310"/>
    <x v="3"/>
    <n v="98346.93"/>
    <x v="1"/>
    <n v="27"/>
    <x v="1"/>
    <d v="2024-08-14T00:00:00"/>
    <d v="2024-09-10T00:00:00"/>
  </r>
  <r>
    <n v="3010"/>
    <n v="18680"/>
    <x v="3"/>
    <n v="41295.769999999997"/>
    <x v="0"/>
    <n v="5"/>
    <x v="2"/>
    <d v="2024-08-30T00:00:00"/>
    <d v="2024-09-04T00:00:00"/>
  </r>
  <r>
    <n v="3011"/>
    <n v="18687"/>
    <x v="3"/>
    <n v="61942.75"/>
    <x v="0"/>
    <n v="16"/>
    <x v="3"/>
    <d v="2024-01-10T00:00:00"/>
    <d v="2024-01-26T00:00:00"/>
  </r>
  <r>
    <n v="3012"/>
    <n v="10479"/>
    <x v="2"/>
    <n v="156734.5"/>
    <x v="0"/>
    <n v="15"/>
    <x v="1"/>
    <d v="2024-11-12T00:00:00"/>
    <d v="2024-11-27T00:00:00"/>
  </r>
  <r>
    <n v="3013"/>
    <n v="12690"/>
    <x v="0"/>
    <n v="179325.79"/>
    <x v="0"/>
    <n v="31"/>
    <x v="2"/>
    <d v="2024-02-17T00:00:00"/>
    <d v="2024-03-19T00:00:00"/>
  </r>
  <r>
    <n v="3014"/>
    <n v="15999"/>
    <x v="1"/>
    <n v="146269.78"/>
    <x v="0"/>
    <n v="43"/>
    <x v="0"/>
    <d v="2024-04-21T00:00:00"/>
    <d v="2024-06-03T00:00:00"/>
  </r>
  <r>
    <n v="3015"/>
    <n v="14936"/>
    <x v="3"/>
    <n v="95708.87"/>
    <x v="0"/>
    <n v="25"/>
    <x v="1"/>
    <d v="2024-07-22T00:00:00"/>
    <d v="2024-08-16T00:00:00"/>
  </r>
  <r>
    <n v="3016"/>
    <n v="12427"/>
    <x v="1"/>
    <n v="21869.31"/>
    <x v="0"/>
    <n v="44"/>
    <x v="1"/>
    <d v="2024-06-05T00:00:00"/>
    <d v="2024-07-19T00:00:00"/>
  </r>
  <r>
    <n v="3017"/>
    <n v="19035"/>
    <x v="0"/>
    <n v="16104.85"/>
    <x v="0"/>
    <n v="35"/>
    <x v="0"/>
    <d v="2024-12-08T00:00:00"/>
    <d v="2025-01-12T00:00:00"/>
  </r>
  <r>
    <n v="3018"/>
    <n v="18064"/>
    <x v="1"/>
    <n v="77993.490000000005"/>
    <x v="0"/>
    <n v="20"/>
    <x v="0"/>
    <d v="2024-01-26T00:00:00"/>
    <d v="2024-02-15T00:00:00"/>
  </r>
  <r>
    <n v="3019"/>
    <n v="13215"/>
    <x v="3"/>
    <n v="95445.24"/>
    <x v="1"/>
    <n v="4"/>
    <x v="1"/>
    <d v="2024-11-03T00:00:00"/>
    <d v="2024-11-07T00:00:00"/>
  </r>
  <r>
    <n v="3020"/>
    <n v="15981"/>
    <x v="1"/>
    <n v="123778.52"/>
    <x v="1"/>
    <n v="5"/>
    <x v="0"/>
    <d v="2024-06-14T00:00:00"/>
    <d v="2024-06-19T00:00:00"/>
  </r>
  <r>
    <n v="3021"/>
    <n v="13911"/>
    <x v="0"/>
    <n v="6265.46"/>
    <x v="0"/>
    <n v="12"/>
    <x v="3"/>
    <d v="2024-09-05T00:00:00"/>
    <d v="2024-09-17T00:00:00"/>
  </r>
  <r>
    <n v="3022"/>
    <n v="14077"/>
    <x v="1"/>
    <n v="197995.96"/>
    <x v="0"/>
    <n v="14"/>
    <x v="3"/>
    <d v="2024-09-18T00:00:00"/>
    <d v="2024-10-02T00:00:00"/>
  </r>
  <r>
    <n v="3023"/>
    <n v="12349"/>
    <x v="1"/>
    <n v="75968.08"/>
    <x v="1"/>
    <n v="19"/>
    <x v="3"/>
    <d v="2024-09-20T00:00:00"/>
    <d v="2024-10-09T00:00:00"/>
  </r>
  <r>
    <n v="3024"/>
    <n v="10649"/>
    <x v="3"/>
    <n v="170378.46"/>
    <x v="0"/>
    <n v="20"/>
    <x v="1"/>
    <d v="2024-01-17T00:00:00"/>
    <d v="2024-02-06T00:00:00"/>
  </r>
  <r>
    <n v="3025"/>
    <n v="15536"/>
    <x v="1"/>
    <n v="109318.51"/>
    <x v="0"/>
    <n v="34"/>
    <x v="0"/>
    <d v="2024-03-16T00:00:00"/>
    <d v="2024-04-19T00:00:00"/>
  </r>
  <r>
    <n v="3026"/>
    <n v="12856"/>
    <x v="3"/>
    <n v="30435.69"/>
    <x v="1"/>
    <n v="39"/>
    <x v="0"/>
    <d v="2024-09-10T00:00:00"/>
    <d v="2024-10-19T00:00:00"/>
  </r>
  <r>
    <n v="3027"/>
    <n v="15578"/>
    <x v="1"/>
    <n v="160525.28"/>
    <x v="0"/>
    <n v="4"/>
    <x v="2"/>
    <d v="2024-07-24T00:00:00"/>
    <d v="2024-07-28T00:00:00"/>
  </r>
  <r>
    <n v="3028"/>
    <n v="11725"/>
    <x v="3"/>
    <n v="143416.28"/>
    <x v="0"/>
    <n v="36"/>
    <x v="2"/>
    <d v="2024-02-03T00:00:00"/>
    <d v="2024-03-10T00:00:00"/>
  </r>
  <r>
    <n v="3029"/>
    <n v="18116"/>
    <x v="3"/>
    <n v="107850.04"/>
    <x v="1"/>
    <n v="2"/>
    <x v="0"/>
    <d v="2024-05-26T00:00:00"/>
    <d v="2024-05-28T00:00:00"/>
  </r>
  <r>
    <n v="3030"/>
    <n v="11354"/>
    <x v="3"/>
    <n v="105337.85"/>
    <x v="0"/>
    <n v="36"/>
    <x v="0"/>
    <d v="2024-11-21T00:00:00"/>
    <d v="2024-12-27T00:00:00"/>
  </r>
  <r>
    <n v="3031"/>
    <n v="11293"/>
    <x v="1"/>
    <n v="22058.52"/>
    <x v="1"/>
    <n v="37"/>
    <x v="0"/>
    <d v="2024-12-03T00:00:00"/>
    <d v="2025-01-09T00:00:00"/>
  </r>
  <r>
    <n v="3032"/>
    <n v="13258"/>
    <x v="3"/>
    <n v="132890.54"/>
    <x v="1"/>
    <n v="39"/>
    <x v="1"/>
    <d v="2024-08-15T00:00:00"/>
    <d v="2024-09-23T00:00:00"/>
  </r>
  <r>
    <n v="3033"/>
    <n v="12713"/>
    <x v="1"/>
    <n v="182692.81"/>
    <x v="2"/>
    <m/>
    <x v="0"/>
    <d v="2024-04-27T00:00:00"/>
    <m/>
  </r>
  <r>
    <n v="3034"/>
    <n v="18595"/>
    <x v="1"/>
    <n v="23182.76"/>
    <x v="0"/>
    <n v="26"/>
    <x v="2"/>
    <d v="2024-06-13T00:00:00"/>
    <d v="2024-07-09T00:00:00"/>
  </r>
  <r>
    <n v="3035"/>
    <n v="14032"/>
    <x v="3"/>
    <n v="56384.73"/>
    <x v="0"/>
    <n v="41"/>
    <x v="1"/>
    <d v="2024-02-07T00:00:00"/>
    <d v="2024-03-19T00:00:00"/>
  </r>
  <r>
    <n v="3036"/>
    <n v="11546"/>
    <x v="3"/>
    <n v="180950.05"/>
    <x v="0"/>
    <n v="14"/>
    <x v="0"/>
    <d v="2024-12-23T00:00:00"/>
    <d v="2025-01-06T00:00:00"/>
  </r>
  <r>
    <n v="3037"/>
    <n v="12606"/>
    <x v="3"/>
    <n v="60447.06"/>
    <x v="0"/>
    <n v="5"/>
    <x v="2"/>
    <d v="2024-10-22T00:00:00"/>
    <d v="2024-10-27T00:00:00"/>
  </r>
  <r>
    <n v="3038"/>
    <n v="12825"/>
    <x v="0"/>
    <n v="132519.01999999999"/>
    <x v="0"/>
    <n v="7"/>
    <x v="1"/>
    <d v="2024-05-16T00:00:00"/>
    <d v="2024-05-23T00:00:00"/>
  </r>
  <r>
    <n v="3039"/>
    <n v="14206"/>
    <x v="1"/>
    <n v="109289.54"/>
    <x v="0"/>
    <n v="12"/>
    <x v="0"/>
    <d v="2024-11-04T00:00:00"/>
    <d v="2024-11-16T00:00:00"/>
  </r>
  <r>
    <n v="3040"/>
    <n v="19004"/>
    <x v="3"/>
    <n v="121283.88"/>
    <x v="0"/>
    <n v="2"/>
    <x v="0"/>
    <d v="2024-09-02T00:00:00"/>
    <d v="2024-09-04T00:00:00"/>
  </r>
  <r>
    <n v="3041"/>
    <n v="13374"/>
    <x v="3"/>
    <n v="86078.84"/>
    <x v="0"/>
    <n v="9"/>
    <x v="0"/>
    <d v="2024-07-16T00:00:00"/>
    <d v="2024-07-25T00:00:00"/>
  </r>
  <r>
    <n v="3042"/>
    <n v="19121"/>
    <x v="1"/>
    <n v="63498.34"/>
    <x v="0"/>
    <n v="35"/>
    <x v="1"/>
    <d v="2024-03-06T00:00:00"/>
    <d v="2024-04-10T00:00:00"/>
  </r>
  <r>
    <n v="3043"/>
    <n v="17640"/>
    <x v="0"/>
    <n v="14464.02"/>
    <x v="1"/>
    <n v="41"/>
    <x v="2"/>
    <d v="2024-03-20T00:00:00"/>
    <d v="2024-04-30T00:00:00"/>
  </r>
  <r>
    <n v="3044"/>
    <n v="16934"/>
    <x v="0"/>
    <n v="150134.78"/>
    <x v="1"/>
    <n v="10"/>
    <x v="2"/>
    <d v="2024-02-21T00:00:00"/>
    <d v="2024-03-02T00:00:00"/>
  </r>
  <r>
    <n v="3045"/>
    <n v="16078"/>
    <x v="1"/>
    <n v="150488.23000000001"/>
    <x v="2"/>
    <m/>
    <x v="3"/>
    <d v="2024-05-08T00:00:00"/>
    <m/>
  </r>
  <r>
    <n v="3046"/>
    <n v="13323"/>
    <x v="3"/>
    <n v="135791.51999999999"/>
    <x v="0"/>
    <n v="40"/>
    <x v="0"/>
    <d v="2024-01-01T00:00:00"/>
    <d v="2024-02-10T00:00:00"/>
  </r>
  <r>
    <n v="3047"/>
    <n v="18366"/>
    <x v="3"/>
    <n v="130508.59"/>
    <x v="2"/>
    <m/>
    <x v="3"/>
    <d v="2024-06-15T00:00:00"/>
    <m/>
  </r>
  <r>
    <n v="3048"/>
    <n v="17105"/>
    <x v="3"/>
    <n v="52524.84"/>
    <x v="1"/>
    <n v="38"/>
    <x v="3"/>
    <d v="2024-01-16T00:00:00"/>
    <d v="2024-02-23T00:00:00"/>
  </r>
  <r>
    <n v="3049"/>
    <n v="11363"/>
    <x v="3"/>
    <n v="9357.26"/>
    <x v="0"/>
    <n v="43"/>
    <x v="2"/>
    <d v="2024-05-24T00:00:00"/>
    <d v="2024-07-06T00:00:00"/>
  </r>
  <r>
    <n v="3050"/>
    <n v="19229"/>
    <x v="3"/>
    <n v="162699.5"/>
    <x v="0"/>
    <n v="22"/>
    <x v="1"/>
    <d v="2024-04-21T00:00:00"/>
    <d v="2024-05-13T00:00:00"/>
  </r>
  <r>
    <n v="3051"/>
    <n v="17489"/>
    <x v="3"/>
    <n v="100772.01"/>
    <x v="0"/>
    <n v="21"/>
    <x v="1"/>
    <d v="2024-04-11T00:00:00"/>
    <d v="2024-05-02T00:00:00"/>
  </r>
  <r>
    <n v="3052"/>
    <n v="17951"/>
    <x v="3"/>
    <n v="64833.440000000002"/>
    <x v="0"/>
    <n v="39"/>
    <x v="2"/>
    <d v="2024-03-22T00:00:00"/>
    <d v="2024-04-30T00:00:00"/>
  </r>
  <r>
    <n v="3053"/>
    <n v="13011"/>
    <x v="2"/>
    <n v="24876.720000000001"/>
    <x v="0"/>
    <n v="2"/>
    <x v="1"/>
    <d v="2024-04-08T00:00:00"/>
    <d v="2024-04-10T00:00:00"/>
  </r>
  <r>
    <n v="3054"/>
    <n v="12090"/>
    <x v="1"/>
    <n v="17230.71"/>
    <x v="0"/>
    <n v="36"/>
    <x v="3"/>
    <d v="2024-06-07T00:00:00"/>
    <d v="2024-07-13T00:00:00"/>
  </r>
  <r>
    <n v="3055"/>
    <n v="18652"/>
    <x v="0"/>
    <n v="73029.009999999995"/>
    <x v="1"/>
    <n v="29"/>
    <x v="0"/>
    <d v="2024-02-09T00:00:00"/>
    <d v="2024-03-09T00:00:00"/>
  </r>
  <r>
    <n v="3056"/>
    <n v="10148"/>
    <x v="1"/>
    <n v="161923.73000000001"/>
    <x v="0"/>
    <n v="8"/>
    <x v="2"/>
    <d v="2024-06-03T00:00:00"/>
    <d v="2024-06-11T00:00:00"/>
  </r>
  <r>
    <n v="3057"/>
    <n v="14433"/>
    <x v="3"/>
    <n v="184151.13"/>
    <x v="0"/>
    <n v="44"/>
    <x v="0"/>
    <d v="2024-02-05T00:00:00"/>
    <d v="2024-03-20T00:00:00"/>
  </r>
  <r>
    <n v="3058"/>
    <n v="15098"/>
    <x v="1"/>
    <n v="179866.52"/>
    <x v="1"/>
    <n v="10"/>
    <x v="1"/>
    <d v="2024-09-03T00:00:00"/>
    <d v="2024-09-13T00:00:00"/>
  </r>
  <r>
    <n v="3059"/>
    <n v="11133"/>
    <x v="3"/>
    <n v="184400.16"/>
    <x v="0"/>
    <n v="2"/>
    <x v="0"/>
    <d v="2024-01-04T00:00:00"/>
    <d v="2024-01-06T00:00:00"/>
  </r>
  <r>
    <n v="3060"/>
    <n v="10353"/>
    <x v="1"/>
    <n v="182006.44"/>
    <x v="2"/>
    <m/>
    <x v="1"/>
    <d v="2024-10-07T00:00:00"/>
    <m/>
  </r>
  <r>
    <n v="3061"/>
    <n v="19299"/>
    <x v="3"/>
    <n v="107808.83"/>
    <x v="0"/>
    <n v="35"/>
    <x v="1"/>
    <d v="2024-12-16T00:00:00"/>
    <d v="2025-01-20T00:00:00"/>
  </r>
  <r>
    <n v="3062"/>
    <n v="12113"/>
    <x v="2"/>
    <n v="47786.05"/>
    <x v="2"/>
    <m/>
    <x v="3"/>
    <d v="2024-11-29T00:00:00"/>
    <m/>
  </r>
  <r>
    <n v="3063"/>
    <n v="17555"/>
    <x v="3"/>
    <n v="160619.07999999999"/>
    <x v="0"/>
    <n v="18"/>
    <x v="1"/>
    <d v="2024-09-05T00:00:00"/>
    <d v="2024-09-23T00:00:00"/>
  </r>
  <r>
    <n v="3064"/>
    <n v="16010"/>
    <x v="3"/>
    <n v="46674.03"/>
    <x v="0"/>
    <n v="33"/>
    <x v="3"/>
    <d v="2024-01-12T00:00:00"/>
    <d v="2024-02-14T00:00:00"/>
  </r>
  <r>
    <n v="3065"/>
    <n v="13685"/>
    <x v="2"/>
    <n v="57105.42"/>
    <x v="0"/>
    <n v="3"/>
    <x v="3"/>
    <d v="2024-10-09T00:00:00"/>
    <d v="2024-10-12T00:00:00"/>
  </r>
  <r>
    <n v="3066"/>
    <n v="13206"/>
    <x v="3"/>
    <n v="50484.59"/>
    <x v="1"/>
    <n v="37"/>
    <x v="3"/>
    <d v="2024-08-03T00:00:00"/>
    <d v="2024-09-09T00:00:00"/>
  </r>
  <r>
    <n v="3067"/>
    <n v="11109"/>
    <x v="1"/>
    <n v="105421.57"/>
    <x v="1"/>
    <n v="26"/>
    <x v="2"/>
    <d v="2024-11-14T00:00:00"/>
    <d v="2024-12-10T00:00:00"/>
  </r>
  <r>
    <n v="3068"/>
    <n v="18418"/>
    <x v="1"/>
    <n v="67756.36"/>
    <x v="0"/>
    <n v="44"/>
    <x v="2"/>
    <d v="2024-11-06T00:00:00"/>
    <d v="2024-12-20T00:00:00"/>
  </r>
  <r>
    <n v="3069"/>
    <n v="19204"/>
    <x v="0"/>
    <n v="35060.43"/>
    <x v="2"/>
    <m/>
    <x v="1"/>
    <d v="2024-03-22T00:00:00"/>
    <m/>
  </r>
  <r>
    <n v="3070"/>
    <n v="13106"/>
    <x v="2"/>
    <n v="93368.82"/>
    <x v="0"/>
    <n v="27"/>
    <x v="3"/>
    <d v="2024-01-14T00:00:00"/>
    <d v="2024-02-10T00:00:00"/>
  </r>
  <r>
    <n v="3071"/>
    <n v="13936"/>
    <x v="2"/>
    <n v="175411.91"/>
    <x v="0"/>
    <n v="22"/>
    <x v="2"/>
    <d v="2024-02-25T00:00:00"/>
    <d v="2024-03-18T00:00:00"/>
  </r>
  <r>
    <n v="3072"/>
    <n v="19658"/>
    <x v="3"/>
    <n v="116257.81"/>
    <x v="1"/>
    <n v="19"/>
    <x v="3"/>
    <d v="2024-12-07T00:00:00"/>
    <d v="2024-12-26T00:00:00"/>
  </r>
  <r>
    <n v="3073"/>
    <n v="18461"/>
    <x v="0"/>
    <n v="176275.44"/>
    <x v="0"/>
    <n v="30"/>
    <x v="0"/>
    <d v="2024-10-08T00:00:00"/>
    <d v="2024-11-07T00:00:00"/>
  </r>
  <r>
    <n v="3074"/>
    <n v="13806"/>
    <x v="1"/>
    <n v="43195.08"/>
    <x v="0"/>
    <n v="25"/>
    <x v="0"/>
    <d v="2024-07-17T00:00:00"/>
    <d v="2024-08-11T00:00:00"/>
  </r>
  <r>
    <n v="3075"/>
    <n v="16549"/>
    <x v="1"/>
    <n v="37559.910000000003"/>
    <x v="2"/>
    <m/>
    <x v="0"/>
    <d v="2024-12-13T00:00:00"/>
    <m/>
  </r>
  <r>
    <n v="3076"/>
    <n v="19723"/>
    <x v="3"/>
    <n v="117237.54"/>
    <x v="2"/>
    <m/>
    <x v="1"/>
    <d v="2024-06-14T00:00:00"/>
    <m/>
  </r>
  <r>
    <n v="3077"/>
    <n v="18495"/>
    <x v="1"/>
    <n v="95349.14"/>
    <x v="2"/>
    <m/>
    <x v="3"/>
    <d v="2024-10-18T00:00:00"/>
    <m/>
  </r>
  <r>
    <n v="3078"/>
    <n v="15148"/>
    <x v="2"/>
    <n v="133733.67000000001"/>
    <x v="2"/>
    <m/>
    <x v="0"/>
    <d v="2024-05-25T00:00:00"/>
    <m/>
  </r>
  <r>
    <n v="3079"/>
    <n v="11932"/>
    <x v="2"/>
    <n v="159952.22"/>
    <x v="0"/>
    <n v="24"/>
    <x v="2"/>
    <d v="2024-03-18T00:00:00"/>
    <d v="2024-04-11T00:00:00"/>
  </r>
  <r>
    <n v="3080"/>
    <n v="12040"/>
    <x v="3"/>
    <n v="151504.92000000001"/>
    <x v="1"/>
    <n v="34"/>
    <x v="0"/>
    <d v="2024-04-21T00:00:00"/>
    <d v="2024-05-25T00:00:00"/>
  </r>
  <r>
    <n v="3081"/>
    <n v="17934"/>
    <x v="3"/>
    <n v="188740.93"/>
    <x v="0"/>
    <n v="17"/>
    <x v="0"/>
    <d v="2024-01-23T00:00:00"/>
    <d v="2024-02-09T00:00:00"/>
  </r>
  <r>
    <n v="3082"/>
    <n v="18333"/>
    <x v="3"/>
    <n v="82660"/>
    <x v="2"/>
    <m/>
    <x v="0"/>
    <d v="2024-04-25T00:00:00"/>
    <m/>
  </r>
  <r>
    <n v="3083"/>
    <n v="16789"/>
    <x v="0"/>
    <n v="45245.41"/>
    <x v="0"/>
    <n v="29"/>
    <x v="1"/>
    <d v="2024-05-21T00:00:00"/>
    <d v="2024-06-19T00:00:00"/>
  </r>
  <r>
    <n v="3084"/>
    <n v="15775"/>
    <x v="1"/>
    <n v="112427.96"/>
    <x v="0"/>
    <n v="39"/>
    <x v="2"/>
    <d v="2024-07-15T00:00:00"/>
    <d v="2024-08-23T00:00:00"/>
  </r>
  <r>
    <n v="3085"/>
    <n v="19000"/>
    <x v="3"/>
    <n v="26594.91"/>
    <x v="0"/>
    <n v="7"/>
    <x v="3"/>
    <d v="2024-10-04T00:00:00"/>
    <d v="2024-10-11T00:00:00"/>
  </r>
  <r>
    <n v="3086"/>
    <n v="10947"/>
    <x v="3"/>
    <n v="61325.97"/>
    <x v="0"/>
    <n v="43"/>
    <x v="2"/>
    <d v="2024-01-28T00:00:00"/>
    <d v="2024-03-11T00:00:00"/>
  </r>
  <r>
    <n v="3087"/>
    <n v="10765"/>
    <x v="3"/>
    <n v="45538.17"/>
    <x v="0"/>
    <n v="30"/>
    <x v="3"/>
    <d v="2024-10-25T00:00:00"/>
    <d v="2024-11-24T00:00:00"/>
  </r>
  <r>
    <n v="3088"/>
    <n v="17172"/>
    <x v="3"/>
    <n v="82329.919999999998"/>
    <x v="1"/>
    <n v="35"/>
    <x v="1"/>
    <d v="2024-03-16T00:00:00"/>
    <d v="2024-04-20T00:00:00"/>
  </r>
  <r>
    <n v="3089"/>
    <n v="15015"/>
    <x v="2"/>
    <n v="26687.23"/>
    <x v="1"/>
    <n v="4"/>
    <x v="1"/>
    <d v="2024-01-18T00:00:00"/>
    <d v="2024-01-22T00:00:00"/>
  </r>
  <r>
    <n v="3090"/>
    <n v="19130"/>
    <x v="1"/>
    <n v="11209.14"/>
    <x v="0"/>
    <n v="7"/>
    <x v="1"/>
    <d v="2024-04-09T00:00:00"/>
    <d v="2024-04-16T00:00:00"/>
  </r>
  <r>
    <n v="3091"/>
    <n v="12496"/>
    <x v="3"/>
    <n v="133074.82999999999"/>
    <x v="1"/>
    <n v="39"/>
    <x v="1"/>
    <d v="2024-05-03T00:00:00"/>
    <d v="2024-06-11T00:00:00"/>
  </r>
  <r>
    <n v="3092"/>
    <n v="13562"/>
    <x v="1"/>
    <n v="123998.55"/>
    <x v="0"/>
    <n v="14"/>
    <x v="3"/>
    <d v="2024-12-30T00:00:00"/>
    <d v="2025-01-13T00:00:00"/>
  </r>
  <r>
    <n v="3093"/>
    <n v="11262"/>
    <x v="3"/>
    <n v="143129.99"/>
    <x v="0"/>
    <n v="37"/>
    <x v="0"/>
    <d v="2024-10-18T00:00:00"/>
    <d v="2024-11-24T00:00:00"/>
  </r>
  <r>
    <n v="3094"/>
    <n v="16393"/>
    <x v="2"/>
    <n v="133775.35999999999"/>
    <x v="0"/>
    <n v="16"/>
    <x v="3"/>
    <d v="2024-05-04T00:00:00"/>
    <d v="2024-05-20T00:00:00"/>
  </r>
  <r>
    <n v="3095"/>
    <n v="15050"/>
    <x v="3"/>
    <n v="27287.46"/>
    <x v="1"/>
    <n v="7"/>
    <x v="2"/>
    <d v="2024-01-07T00:00:00"/>
    <d v="2024-01-14T00:00:00"/>
  </r>
  <r>
    <n v="3096"/>
    <n v="15410"/>
    <x v="3"/>
    <n v="61760.38"/>
    <x v="1"/>
    <n v="34"/>
    <x v="1"/>
    <d v="2024-01-23T00:00:00"/>
    <d v="2024-02-26T00:00:00"/>
  </r>
  <r>
    <n v="3097"/>
    <n v="10542"/>
    <x v="3"/>
    <n v="30257.69"/>
    <x v="0"/>
    <n v="42"/>
    <x v="1"/>
    <d v="2024-06-10T00:00:00"/>
    <d v="2024-07-22T00:00:00"/>
  </r>
  <r>
    <n v="3098"/>
    <n v="16664"/>
    <x v="1"/>
    <n v="169379.62"/>
    <x v="0"/>
    <n v="13"/>
    <x v="2"/>
    <d v="2024-04-26T00:00:00"/>
    <d v="2024-05-09T00:00:00"/>
  </r>
  <r>
    <n v="3099"/>
    <n v="17723"/>
    <x v="1"/>
    <n v="150646.21"/>
    <x v="0"/>
    <n v="44"/>
    <x v="3"/>
    <d v="2024-12-17T00:00:00"/>
    <d v="2025-01-30T00:00:00"/>
  </r>
  <r>
    <n v="3100"/>
    <n v="12781"/>
    <x v="1"/>
    <n v="44297.77"/>
    <x v="0"/>
    <n v="14"/>
    <x v="0"/>
    <d v="2024-01-21T00:00:00"/>
    <d v="2024-02-04T00:00:00"/>
  </r>
  <r>
    <n v="3101"/>
    <n v="12612"/>
    <x v="3"/>
    <n v="71555.3"/>
    <x v="0"/>
    <n v="34"/>
    <x v="0"/>
    <d v="2024-09-08T00:00:00"/>
    <d v="2024-10-12T00:00:00"/>
  </r>
  <r>
    <n v="3102"/>
    <n v="11199"/>
    <x v="3"/>
    <n v="193489.92000000001"/>
    <x v="0"/>
    <n v="29"/>
    <x v="2"/>
    <d v="2024-11-21T00:00:00"/>
    <d v="2024-12-20T00:00:00"/>
  </r>
  <r>
    <n v="3103"/>
    <n v="17032"/>
    <x v="3"/>
    <n v="120861.07"/>
    <x v="0"/>
    <n v="37"/>
    <x v="0"/>
    <d v="2024-11-04T00:00:00"/>
    <d v="2024-12-11T00:00:00"/>
  </r>
  <r>
    <n v="3104"/>
    <n v="16323"/>
    <x v="1"/>
    <n v="161225.34"/>
    <x v="2"/>
    <m/>
    <x v="3"/>
    <d v="2024-03-24T00:00:00"/>
    <m/>
  </r>
  <r>
    <n v="3105"/>
    <n v="14688"/>
    <x v="3"/>
    <n v="56595.25"/>
    <x v="0"/>
    <n v="26"/>
    <x v="3"/>
    <d v="2024-12-27T00:00:00"/>
    <d v="2025-01-22T00:00:00"/>
  </r>
  <r>
    <n v="3106"/>
    <n v="14786"/>
    <x v="1"/>
    <n v="45960.32"/>
    <x v="0"/>
    <n v="18"/>
    <x v="2"/>
    <d v="2024-02-10T00:00:00"/>
    <d v="2024-02-28T00:00:00"/>
  </r>
  <r>
    <n v="3107"/>
    <n v="13681"/>
    <x v="0"/>
    <n v="157863.79999999999"/>
    <x v="0"/>
    <n v="38"/>
    <x v="3"/>
    <d v="2024-07-21T00:00:00"/>
    <d v="2024-08-28T00:00:00"/>
  </r>
  <r>
    <n v="3108"/>
    <n v="15229"/>
    <x v="0"/>
    <n v="138745.13"/>
    <x v="1"/>
    <n v="20"/>
    <x v="1"/>
    <d v="2024-05-07T00:00:00"/>
    <d v="2024-05-27T00:00:00"/>
  </r>
  <r>
    <n v="3109"/>
    <n v="13495"/>
    <x v="3"/>
    <n v="137790.70000000001"/>
    <x v="1"/>
    <n v="36"/>
    <x v="2"/>
    <d v="2024-05-21T00:00:00"/>
    <d v="2024-06-26T00:00:00"/>
  </r>
  <r>
    <n v="3110"/>
    <n v="18856"/>
    <x v="3"/>
    <n v="112763.74"/>
    <x v="1"/>
    <n v="44"/>
    <x v="3"/>
    <d v="2024-12-09T00:00:00"/>
    <d v="2025-01-22T00:00:00"/>
  </r>
  <r>
    <n v="3111"/>
    <n v="16078"/>
    <x v="3"/>
    <n v="114897.78"/>
    <x v="0"/>
    <n v="35"/>
    <x v="2"/>
    <d v="2024-04-12T00:00:00"/>
    <d v="2024-05-17T00:00:00"/>
  </r>
  <r>
    <n v="3112"/>
    <n v="13162"/>
    <x v="1"/>
    <n v="148461.01"/>
    <x v="1"/>
    <n v="7"/>
    <x v="0"/>
    <d v="2024-04-16T00:00:00"/>
    <d v="2024-04-23T00:00:00"/>
  </r>
  <r>
    <n v="3113"/>
    <n v="11416"/>
    <x v="0"/>
    <n v="57650.48"/>
    <x v="0"/>
    <n v="20"/>
    <x v="3"/>
    <d v="2024-01-17T00:00:00"/>
    <d v="2024-02-06T00:00:00"/>
  </r>
  <r>
    <n v="3114"/>
    <n v="13108"/>
    <x v="3"/>
    <n v="73789.850000000006"/>
    <x v="0"/>
    <n v="2"/>
    <x v="1"/>
    <d v="2024-01-25T00:00:00"/>
    <d v="2024-01-27T00:00:00"/>
  </r>
  <r>
    <n v="3115"/>
    <n v="18708"/>
    <x v="3"/>
    <n v="174969.17"/>
    <x v="0"/>
    <n v="8"/>
    <x v="3"/>
    <d v="2024-03-04T00:00:00"/>
    <d v="2024-03-12T00:00:00"/>
  </r>
  <r>
    <n v="3116"/>
    <n v="19041"/>
    <x v="0"/>
    <n v="65228.71"/>
    <x v="0"/>
    <n v="35"/>
    <x v="2"/>
    <d v="2024-12-07T00:00:00"/>
    <d v="2025-01-11T00:00:00"/>
  </r>
  <r>
    <n v="3117"/>
    <n v="17829"/>
    <x v="0"/>
    <n v="111530.37"/>
    <x v="2"/>
    <m/>
    <x v="2"/>
    <d v="2024-08-24T00:00:00"/>
    <m/>
  </r>
  <r>
    <n v="3118"/>
    <n v="10907"/>
    <x v="3"/>
    <n v="142014.70000000001"/>
    <x v="1"/>
    <n v="34"/>
    <x v="3"/>
    <d v="2024-06-24T00:00:00"/>
    <d v="2024-07-28T00:00:00"/>
  </r>
  <r>
    <n v="3119"/>
    <n v="18507"/>
    <x v="1"/>
    <n v="199985.34"/>
    <x v="0"/>
    <n v="27"/>
    <x v="1"/>
    <d v="2024-10-17T00:00:00"/>
    <d v="2024-11-13T00:00:00"/>
  </r>
  <r>
    <n v="3120"/>
    <n v="17573"/>
    <x v="3"/>
    <n v="89881.81"/>
    <x v="0"/>
    <n v="42"/>
    <x v="1"/>
    <d v="2024-10-19T00:00:00"/>
    <d v="2024-11-30T00:00:00"/>
  </r>
  <r>
    <n v="3121"/>
    <n v="19699"/>
    <x v="3"/>
    <n v="88478.11"/>
    <x v="0"/>
    <n v="43"/>
    <x v="1"/>
    <d v="2024-11-06T00:00:00"/>
    <d v="2024-12-19T00:00:00"/>
  </r>
  <r>
    <n v="3122"/>
    <n v="19710"/>
    <x v="2"/>
    <n v="169304.73"/>
    <x v="0"/>
    <n v="28"/>
    <x v="2"/>
    <d v="2024-06-04T00:00:00"/>
    <d v="2024-07-02T00:00:00"/>
  </r>
  <r>
    <n v="3123"/>
    <n v="11934"/>
    <x v="0"/>
    <n v="162073.10999999999"/>
    <x v="0"/>
    <n v="39"/>
    <x v="3"/>
    <d v="2024-02-22T00:00:00"/>
    <d v="2024-04-01T00:00:00"/>
  </r>
  <r>
    <n v="3124"/>
    <n v="15951"/>
    <x v="1"/>
    <n v="147559.79999999999"/>
    <x v="2"/>
    <m/>
    <x v="0"/>
    <d v="2024-03-13T00:00:00"/>
    <m/>
  </r>
  <r>
    <n v="3125"/>
    <n v="14344"/>
    <x v="3"/>
    <n v="95329.78"/>
    <x v="2"/>
    <m/>
    <x v="2"/>
    <d v="2024-07-01T00:00:00"/>
    <m/>
  </r>
  <r>
    <n v="3126"/>
    <n v="17426"/>
    <x v="0"/>
    <n v="68168.13"/>
    <x v="0"/>
    <n v="21"/>
    <x v="1"/>
    <d v="2024-07-07T00:00:00"/>
    <d v="2024-07-28T00:00:00"/>
  </r>
  <r>
    <n v="3127"/>
    <n v="19993"/>
    <x v="3"/>
    <n v="123702.44"/>
    <x v="1"/>
    <n v="25"/>
    <x v="3"/>
    <d v="2024-01-13T00:00:00"/>
    <d v="2024-02-07T00:00:00"/>
  </r>
  <r>
    <n v="3128"/>
    <n v="16334"/>
    <x v="3"/>
    <n v="175863.54"/>
    <x v="0"/>
    <n v="22"/>
    <x v="1"/>
    <d v="2024-02-16T00:00:00"/>
    <d v="2024-03-09T00:00:00"/>
  </r>
  <r>
    <n v="3129"/>
    <n v="12622"/>
    <x v="1"/>
    <n v="177336.6"/>
    <x v="0"/>
    <n v="27"/>
    <x v="0"/>
    <d v="2024-06-08T00:00:00"/>
    <d v="2024-07-05T00:00:00"/>
  </r>
  <r>
    <n v="3130"/>
    <n v="19048"/>
    <x v="3"/>
    <n v="26157.18"/>
    <x v="0"/>
    <n v="21"/>
    <x v="1"/>
    <d v="2024-10-10T00:00:00"/>
    <d v="2024-10-31T00:00:00"/>
  </r>
  <r>
    <n v="3131"/>
    <n v="15565"/>
    <x v="1"/>
    <n v="88528.31"/>
    <x v="0"/>
    <n v="7"/>
    <x v="1"/>
    <d v="2024-02-22T00:00:00"/>
    <d v="2024-02-29T00:00:00"/>
  </r>
  <r>
    <n v="3132"/>
    <n v="11525"/>
    <x v="1"/>
    <n v="95620.78"/>
    <x v="1"/>
    <n v="4"/>
    <x v="0"/>
    <d v="2024-10-13T00:00:00"/>
    <d v="2024-10-17T00:00:00"/>
  </r>
  <r>
    <n v="3133"/>
    <n v="11416"/>
    <x v="3"/>
    <n v="195635"/>
    <x v="0"/>
    <n v="11"/>
    <x v="3"/>
    <d v="2024-01-08T00:00:00"/>
    <d v="2024-01-19T00:00:00"/>
  </r>
  <r>
    <n v="3134"/>
    <n v="11794"/>
    <x v="3"/>
    <n v="137209.60999999999"/>
    <x v="0"/>
    <n v="13"/>
    <x v="2"/>
    <d v="2024-03-12T00:00:00"/>
    <d v="2024-03-25T00:00:00"/>
  </r>
  <r>
    <n v="3135"/>
    <n v="12720"/>
    <x v="3"/>
    <n v="84413.05"/>
    <x v="0"/>
    <n v="34"/>
    <x v="3"/>
    <d v="2024-04-07T00:00:00"/>
    <d v="2024-05-11T00:00:00"/>
  </r>
  <r>
    <n v="3136"/>
    <n v="16826"/>
    <x v="3"/>
    <n v="10081.290000000001"/>
    <x v="2"/>
    <m/>
    <x v="0"/>
    <d v="2024-03-27T00:00:00"/>
    <m/>
  </r>
  <r>
    <n v="3137"/>
    <n v="16795"/>
    <x v="1"/>
    <n v="115250.11"/>
    <x v="0"/>
    <n v="17"/>
    <x v="1"/>
    <d v="2024-11-25T00:00:00"/>
    <d v="2024-12-12T00:00:00"/>
  </r>
  <r>
    <n v="3138"/>
    <n v="13676"/>
    <x v="0"/>
    <n v="23734.82"/>
    <x v="1"/>
    <n v="18"/>
    <x v="3"/>
    <d v="2024-04-10T00:00:00"/>
    <d v="2024-04-28T00:00:00"/>
  </r>
  <r>
    <n v="3139"/>
    <n v="15076"/>
    <x v="3"/>
    <n v="167717.74"/>
    <x v="1"/>
    <n v="11"/>
    <x v="2"/>
    <d v="2024-10-07T00:00:00"/>
    <d v="2024-10-18T00:00:00"/>
  </r>
  <r>
    <n v="3140"/>
    <n v="16369"/>
    <x v="3"/>
    <n v="151741.14000000001"/>
    <x v="0"/>
    <n v="13"/>
    <x v="0"/>
    <d v="2024-10-15T00:00:00"/>
    <d v="2024-10-28T00:00:00"/>
  </r>
  <r>
    <n v="3141"/>
    <n v="18544"/>
    <x v="1"/>
    <n v="94799.29"/>
    <x v="0"/>
    <n v="20"/>
    <x v="3"/>
    <d v="2024-08-24T00:00:00"/>
    <d v="2024-09-13T00:00:00"/>
  </r>
  <r>
    <n v="3142"/>
    <n v="19619"/>
    <x v="0"/>
    <n v="88696.1"/>
    <x v="1"/>
    <n v="41"/>
    <x v="2"/>
    <d v="2024-07-14T00:00:00"/>
    <d v="2024-08-24T00:00:00"/>
  </r>
  <r>
    <n v="3143"/>
    <n v="15826"/>
    <x v="3"/>
    <n v="179981.1"/>
    <x v="0"/>
    <n v="24"/>
    <x v="0"/>
    <d v="2024-04-06T00:00:00"/>
    <d v="2024-04-30T00:00:00"/>
  </r>
  <r>
    <n v="3144"/>
    <n v="12192"/>
    <x v="3"/>
    <n v="61249.38"/>
    <x v="2"/>
    <m/>
    <x v="2"/>
    <d v="2024-04-05T00:00:00"/>
    <m/>
  </r>
  <r>
    <n v="3145"/>
    <n v="19969"/>
    <x v="1"/>
    <n v="53558.89"/>
    <x v="0"/>
    <n v="11"/>
    <x v="0"/>
    <d v="2024-09-17T00:00:00"/>
    <d v="2024-09-28T00:00:00"/>
  </r>
  <r>
    <n v="3146"/>
    <n v="13536"/>
    <x v="3"/>
    <n v="188143.5"/>
    <x v="0"/>
    <n v="11"/>
    <x v="1"/>
    <d v="2024-04-30T00:00:00"/>
    <d v="2024-05-11T00:00:00"/>
  </r>
  <r>
    <n v="3147"/>
    <n v="17299"/>
    <x v="3"/>
    <n v="162802.94"/>
    <x v="1"/>
    <n v="11"/>
    <x v="3"/>
    <d v="2024-09-29T00:00:00"/>
    <d v="2024-10-10T00:00:00"/>
  </r>
  <r>
    <n v="3148"/>
    <n v="19308"/>
    <x v="1"/>
    <n v="165021.99"/>
    <x v="1"/>
    <n v="40"/>
    <x v="2"/>
    <d v="2024-11-27T00:00:00"/>
    <d v="2025-01-06T00:00:00"/>
  </r>
  <r>
    <n v="3149"/>
    <n v="12320"/>
    <x v="1"/>
    <n v="43062.79"/>
    <x v="2"/>
    <m/>
    <x v="0"/>
    <d v="2024-02-21T00:00:00"/>
    <m/>
  </r>
  <r>
    <n v="3150"/>
    <n v="17871"/>
    <x v="1"/>
    <n v="32942.720000000001"/>
    <x v="0"/>
    <n v="5"/>
    <x v="2"/>
    <d v="2024-11-13T00:00:00"/>
    <d v="2024-11-18T00:00:00"/>
  </r>
  <r>
    <n v="3151"/>
    <n v="10533"/>
    <x v="1"/>
    <n v="10075.76"/>
    <x v="2"/>
    <m/>
    <x v="2"/>
    <d v="2024-06-11T00:00:00"/>
    <m/>
  </r>
  <r>
    <n v="3152"/>
    <n v="19409"/>
    <x v="1"/>
    <n v="51223.09"/>
    <x v="1"/>
    <n v="44"/>
    <x v="3"/>
    <d v="2024-07-08T00:00:00"/>
    <d v="2024-08-21T00:00:00"/>
  </r>
  <r>
    <n v="3153"/>
    <n v="15351"/>
    <x v="3"/>
    <n v="155967.15"/>
    <x v="1"/>
    <n v="20"/>
    <x v="1"/>
    <d v="2024-10-03T00:00:00"/>
    <d v="2024-10-23T00:00:00"/>
  </r>
  <r>
    <n v="3154"/>
    <n v="11979"/>
    <x v="3"/>
    <n v="51807.49"/>
    <x v="0"/>
    <n v="6"/>
    <x v="2"/>
    <d v="2024-03-25T00:00:00"/>
    <d v="2024-03-31T00:00:00"/>
  </r>
  <r>
    <n v="3155"/>
    <n v="12076"/>
    <x v="3"/>
    <n v="147175.14000000001"/>
    <x v="0"/>
    <n v="31"/>
    <x v="0"/>
    <d v="2024-07-12T00:00:00"/>
    <d v="2024-08-12T00:00:00"/>
  </r>
  <r>
    <n v="3156"/>
    <n v="18723"/>
    <x v="3"/>
    <n v="54122.11"/>
    <x v="2"/>
    <m/>
    <x v="0"/>
    <d v="2024-06-29T00:00:00"/>
    <m/>
  </r>
  <r>
    <n v="3157"/>
    <n v="14235"/>
    <x v="1"/>
    <n v="82082.039999999994"/>
    <x v="0"/>
    <n v="41"/>
    <x v="1"/>
    <d v="2024-01-21T00:00:00"/>
    <d v="2024-03-02T00:00:00"/>
  </r>
  <r>
    <n v="3158"/>
    <n v="16241"/>
    <x v="0"/>
    <n v="196716.65"/>
    <x v="0"/>
    <n v="35"/>
    <x v="0"/>
    <d v="2024-07-21T00:00:00"/>
    <d v="2024-08-25T00:00:00"/>
  </r>
  <r>
    <n v="3159"/>
    <n v="14114"/>
    <x v="2"/>
    <n v="52738.29"/>
    <x v="0"/>
    <n v="3"/>
    <x v="1"/>
    <d v="2024-07-20T00:00:00"/>
    <d v="2024-07-23T00:00:00"/>
  </r>
  <r>
    <n v="3160"/>
    <n v="12584"/>
    <x v="1"/>
    <n v="78392.27"/>
    <x v="0"/>
    <n v="25"/>
    <x v="0"/>
    <d v="2024-05-30T00:00:00"/>
    <d v="2024-06-24T00:00:00"/>
  </r>
  <r>
    <n v="3161"/>
    <n v="19740"/>
    <x v="3"/>
    <n v="63712"/>
    <x v="0"/>
    <n v="15"/>
    <x v="3"/>
    <d v="2024-06-07T00:00:00"/>
    <d v="2024-06-22T00:00:00"/>
  </r>
  <r>
    <n v="3162"/>
    <n v="11488"/>
    <x v="3"/>
    <n v="26376.87"/>
    <x v="0"/>
    <n v="42"/>
    <x v="2"/>
    <d v="2024-11-05T00:00:00"/>
    <d v="2024-12-17T00:00:00"/>
  </r>
  <r>
    <n v="3163"/>
    <n v="13659"/>
    <x v="0"/>
    <n v="100529.36"/>
    <x v="1"/>
    <n v="43"/>
    <x v="3"/>
    <d v="2024-01-26T00:00:00"/>
    <d v="2024-03-09T00:00:00"/>
  </r>
  <r>
    <n v="3164"/>
    <n v="16402"/>
    <x v="1"/>
    <n v="78844.679999999993"/>
    <x v="0"/>
    <n v="14"/>
    <x v="2"/>
    <d v="2024-11-04T00:00:00"/>
    <d v="2024-11-18T00:00:00"/>
  </r>
  <r>
    <n v="3165"/>
    <n v="18047"/>
    <x v="1"/>
    <n v="140502.98000000001"/>
    <x v="0"/>
    <n v="30"/>
    <x v="2"/>
    <d v="2024-03-06T00:00:00"/>
    <d v="2024-04-05T00:00:00"/>
  </r>
  <r>
    <n v="3166"/>
    <n v="10227"/>
    <x v="1"/>
    <n v="164430.94"/>
    <x v="0"/>
    <n v="2"/>
    <x v="2"/>
    <d v="2024-09-19T00:00:00"/>
    <d v="2024-09-21T00:00:00"/>
  </r>
  <r>
    <n v="3167"/>
    <n v="14471"/>
    <x v="1"/>
    <n v="111128.69"/>
    <x v="0"/>
    <n v="35"/>
    <x v="3"/>
    <d v="2024-06-15T00:00:00"/>
    <d v="2024-07-20T00:00:00"/>
  </r>
  <r>
    <n v="3168"/>
    <n v="15242"/>
    <x v="0"/>
    <n v="11278.3"/>
    <x v="0"/>
    <n v="5"/>
    <x v="2"/>
    <d v="2024-10-14T00:00:00"/>
    <d v="2024-10-19T00:00:00"/>
  </r>
  <r>
    <n v="3169"/>
    <n v="17623"/>
    <x v="3"/>
    <n v="125689.86"/>
    <x v="1"/>
    <n v="29"/>
    <x v="3"/>
    <d v="2024-06-02T00:00:00"/>
    <d v="2024-07-01T00:00:00"/>
  </r>
  <r>
    <n v="3170"/>
    <n v="14352"/>
    <x v="1"/>
    <n v="15801.19"/>
    <x v="0"/>
    <n v="20"/>
    <x v="1"/>
    <d v="2024-12-08T00:00:00"/>
    <d v="2024-12-28T00:00:00"/>
  </r>
  <r>
    <n v="3171"/>
    <n v="14928"/>
    <x v="0"/>
    <n v="125189.48"/>
    <x v="2"/>
    <m/>
    <x v="0"/>
    <d v="2024-07-24T00:00:00"/>
    <m/>
  </r>
  <r>
    <n v="3172"/>
    <n v="17315"/>
    <x v="3"/>
    <n v="138580.84"/>
    <x v="0"/>
    <n v="37"/>
    <x v="0"/>
    <d v="2024-06-01T00:00:00"/>
    <d v="2024-07-08T00:00:00"/>
  </r>
  <r>
    <n v="3173"/>
    <n v="10698"/>
    <x v="1"/>
    <n v="43564.69"/>
    <x v="0"/>
    <n v="44"/>
    <x v="2"/>
    <d v="2024-07-02T00:00:00"/>
    <d v="2024-08-15T00:00:00"/>
  </r>
  <r>
    <n v="3174"/>
    <n v="10437"/>
    <x v="3"/>
    <n v="164772.5"/>
    <x v="0"/>
    <n v="14"/>
    <x v="3"/>
    <d v="2024-06-07T00:00:00"/>
    <d v="2024-06-21T00:00:00"/>
  </r>
  <r>
    <n v="3175"/>
    <n v="15819"/>
    <x v="2"/>
    <n v="182661.6"/>
    <x v="0"/>
    <n v="43"/>
    <x v="0"/>
    <d v="2024-07-12T00:00:00"/>
    <d v="2024-08-24T00:00:00"/>
  </r>
  <r>
    <n v="3176"/>
    <n v="16180"/>
    <x v="3"/>
    <n v="163551.96"/>
    <x v="1"/>
    <n v="6"/>
    <x v="3"/>
    <d v="2024-01-02T00:00:00"/>
    <d v="2024-01-08T00:00:00"/>
  </r>
  <r>
    <n v="3177"/>
    <n v="19876"/>
    <x v="1"/>
    <n v="64496.29"/>
    <x v="1"/>
    <n v="34"/>
    <x v="3"/>
    <d v="2024-08-02T00:00:00"/>
    <d v="2024-09-05T00:00:00"/>
  </r>
  <r>
    <n v="3178"/>
    <n v="12153"/>
    <x v="3"/>
    <n v="119395.39"/>
    <x v="0"/>
    <n v="15"/>
    <x v="2"/>
    <d v="2024-06-23T00:00:00"/>
    <d v="2024-07-08T00:00:00"/>
  </r>
  <r>
    <n v="3179"/>
    <n v="16038"/>
    <x v="1"/>
    <n v="183388.95"/>
    <x v="0"/>
    <n v="17"/>
    <x v="0"/>
    <d v="2024-03-15T00:00:00"/>
    <d v="2024-04-01T00:00:00"/>
  </r>
  <r>
    <n v="3180"/>
    <n v="16008"/>
    <x v="3"/>
    <n v="67529.62"/>
    <x v="0"/>
    <n v="33"/>
    <x v="2"/>
    <d v="2024-10-11T00:00:00"/>
    <d v="2024-11-13T00:00:00"/>
  </r>
  <r>
    <n v="3181"/>
    <n v="16375"/>
    <x v="3"/>
    <n v="164905.43"/>
    <x v="0"/>
    <n v="28"/>
    <x v="2"/>
    <d v="2024-05-06T00:00:00"/>
    <d v="2024-06-03T00:00:00"/>
  </r>
  <r>
    <n v="3182"/>
    <n v="15136"/>
    <x v="3"/>
    <n v="6847.65"/>
    <x v="2"/>
    <m/>
    <x v="0"/>
    <d v="2024-02-18T00:00:00"/>
    <m/>
  </r>
  <r>
    <n v="3183"/>
    <n v="15278"/>
    <x v="2"/>
    <n v="5711.11"/>
    <x v="0"/>
    <n v="4"/>
    <x v="0"/>
    <d v="2024-02-01T00:00:00"/>
    <d v="2024-02-05T00:00:00"/>
  </r>
  <r>
    <n v="3184"/>
    <n v="10959"/>
    <x v="3"/>
    <n v="153143.76999999999"/>
    <x v="1"/>
    <n v="5"/>
    <x v="1"/>
    <d v="2024-06-06T00:00:00"/>
    <d v="2024-06-11T00:00:00"/>
  </r>
  <r>
    <n v="3185"/>
    <n v="18469"/>
    <x v="3"/>
    <n v="153482.28"/>
    <x v="0"/>
    <n v="8"/>
    <x v="1"/>
    <d v="2024-01-15T00:00:00"/>
    <d v="2024-01-23T00:00:00"/>
  </r>
  <r>
    <n v="3186"/>
    <n v="14220"/>
    <x v="1"/>
    <n v="158850.54999999999"/>
    <x v="0"/>
    <n v="14"/>
    <x v="3"/>
    <d v="2024-11-13T00:00:00"/>
    <d v="2024-11-27T00:00:00"/>
  </r>
  <r>
    <n v="3187"/>
    <n v="13756"/>
    <x v="1"/>
    <n v="186355.23"/>
    <x v="0"/>
    <n v="42"/>
    <x v="0"/>
    <d v="2024-11-29T00:00:00"/>
    <d v="2025-01-10T00:00:00"/>
  </r>
  <r>
    <n v="3188"/>
    <n v="17587"/>
    <x v="2"/>
    <n v="27991.73"/>
    <x v="0"/>
    <n v="4"/>
    <x v="1"/>
    <d v="2024-08-30T00:00:00"/>
    <d v="2024-09-03T00:00:00"/>
  </r>
  <r>
    <n v="3189"/>
    <n v="19535"/>
    <x v="3"/>
    <n v="50237.07"/>
    <x v="1"/>
    <n v="18"/>
    <x v="3"/>
    <d v="2024-01-17T00:00:00"/>
    <d v="2024-02-04T00:00:00"/>
  </r>
  <r>
    <n v="3190"/>
    <n v="14770"/>
    <x v="1"/>
    <n v="181226.36"/>
    <x v="0"/>
    <n v="11"/>
    <x v="3"/>
    <d v="2024-01-22T00:00:00"/>
    <d v="2024-02-02T00:00:00"/>
  </r>
  <r>
    <n v="3191"/>
    <n v="18906"/>
    <x v="3"/>
    <n v="39561.06"/>
    <x v="1"/>
    <n v="2"/>
    <x v="3"/>
    <d v="2024-08-31T00:00:00"/>
    <d v="2024-09-02T00:00:00"/>
  </r>
  <r>
    <n v="3192"/>
    <n v="19697"/>
    <x v="3"/>
    <n v="138034.71"/>
    <x v="0"/>
    <n v="29"/>
    <x v="1"/>
    <d v="2024-03-21T00:00:00"/>
    <d v="2024-04-19T00:00:00"/>
  </r>
  <r>
    <n v="3193"/>
    <n v="13921"/>
    <x v="1"/>
    <n v="108440.29"/>
    <x v="2"/>
    <m/>
    <x v="0"/>
    <d v="2024-05-23T00:00:00"/>
    <m/>
  </r>
  <r>
    <n v="3194"/>
    <n v="12714"/>
    <x v="1"/>
    <n v="21222.77"/>
    <x v="0"/>
    <n v="8"/>
    <x v="2"/>
    <d v="2024-01-08T00:00:00"/>
    <d v="2024-01-16T00:00:00"/>
  </r>
  <r>
    <n v="3195"/>
    <n v="11347"/>
    <x v="1"/>
    <n v="60626.41"/>
    <x v="1"/>
    <n v="40"/>
    <x v="3"/>
    <d v="2024-06-15T00:00:00"/>
    <d v="2024-07-25T00:00:00"/>
  </r>
  <r>
    <n v="3196"/>
    <n v="15008"/>
    <x v="3"/>
    <n v="106472.58"/>
    <x v="1"/>
    <n v="4"/>
    <x v="1"/>
    <d v="2024-10-13T00:00:00"/>
    <d v="2024-10-17T00:00:00"/>
  </r>
  <r>
    <n v="3197"/>
    <n v="16085"/>
    <x v="3"/>
    <n v="171208.27"/>
    <x v="2"/>
    <m/>
    <x v="1"/>
    <d v="2024-09-24T00:00:00"/>
    <m/>
  </r>
  <r>
    <n v="3198"/>
    <n v="18169"/>
    <x v="3"/>
    <n v="142970.01"/>
    <x v="0"/>
    <n v="10"/>
    <x v="2"/>
    <d v="2024-10-15T00:00:00"/>
    <d v="2024-10-25T00:00:00"/>
  </r>
  <r>
    <n v="3199"/>
    <n v="14868"/>
    <x v="2"/>
    <n v="126267.22"/>
    <x v="1"/>
    <n v="41"/>
    <x v="2"/>
    <d v="2024-07-04T00:00:00"/>
    <d v="2024-08-14T00:00:00"/>
  </r>
  <r>
    <n v="3200"/>
    <n v="13960"/>
    <x v="3"/>
    <n v="101726.41"/>
    <x v="0"/>
    <n v="36"/>
    <x v="1"/>
    <d v="2024-01-12T00:00:00"/>
    <d v="2024-02-17T00:00:00"/>
  </r>
  <r>
    <n v="3201"/>
    <n v="19944"/>
    <x v="3"/>
    <n v="63243.38"/>
    <x v="0"/>
    <n v="27"/>
    <x v="0"/>
    <d v="2024-10-07T00:00:00"/>
    <d v="2024-11-03T00:00:00"/>
  </r>
  <r>
    <n v="3202"/>
    <n v="12505"/>
    <x v="3"/>
    <n v="28252.76"/>
    <x v="0"/>
    <n v="6"/>
    <x v="2"/>
    <d v="2024-10-30T00:00:00"/>
    <d v="2024-11-05T00:00:00"/>
  </r>
  <r>
    <n v="3203"/>
    <n v="15096"/>
    <x v="1"/>
    <n v="84769.83"/>
    <x v="0"/>
    <n v="14"/>
    <x v="1"/>
    <d v="2024-03-23T00:00:00"/>
    <d v="2024-04-06T00:00:00"/>
  </r>
  <r>
    <n v="3204"/>
    <n v="17375"/>
    <x v="3"/>
    <n v="10561.11"/>
    <x v="2"/>
    <m/>
    <x v="2"/>
    <d v="2024-02-24T00:00:00"/>
    <m/>
  </r>
  <r>
    <n v="3205"/>
    <n v="11737"/>
    <x v="2"/>
    <n v="46155.9"/>
    <x v="0"/>
    <n v="41"/>
    <x v="0"/>
    <d v="2024-05-10T00:00:00"/>
    <d v="2024-06-20T00:00:00"/>
  </r>
  <r>
    <n v="3206"/>
    <n v="11108"/>
    <x v="3"/>
    <n v="89334.26"/>
    <x v="0"/>
    <n v="40"/>
    <x v="3"/>
    <d v="2024-05-04T00:00:00"/>
    <d v="2024-06-13T00:00:00"/>
  </r>
  <r>
    <n v="3207"/>
    <n v="12679"/>
    <x v="0"/>
    <n v="86628.01"/>
    <x v="0"/>
    <n v="11"/>
    <x v="2"/>
    <d v="2024-11-20T00:00:00"/>
    <d v="2024-12-01T00:00:00"/>
  </r>
  <r>
    <n v="3208"/>
    <n v="11037"/>
    <x v="3"/>
    <n v="13637.61"/>
    <x v="0"/>
    <n v="43"/>
    <x v="0"/>
    <d v="2024-02-20T00:00:00"/>
    <d v="2024-04-03T00:00:00"/>
  </r>
  <r>
    <n v="3209"/>
    <n v="15760"/>
    <x v="1"/>
    <n v="119866.73"/>
    <x v="0"/>
    <n v="24"/>
    <x v="1"/>
    <d v="2024-01-27T00:00:00"/>
    <d v="2024-02-20T00:00:00"/>
  </r>
  <r>
    <n v="3210"/>
    <n v="19103"/>
    <x v="2"/>
    <n v="112188.43"/>
    <x v="0"/>
    <n v="12"/>
    <x v="2"/>
    <d v="2024-06-13T00:00:00"/>
    <d v="2024-06-25T00:00:00"/>
  </r>
  <r>
    <n v="3211"/>
    <n v="12096"/>
    <x v="3"/>
    <n v="20230.34"/>
    <x v="0"/>
    <n v="13"/>
    <x v="2"/>
    <d v="2024-10-07T00:00:00"/>
    <d v="2024-10-20T00:00:00"/>
  </r>
  <r>
    <n v="3212"/>
    <n v="10358"/>
    <x v="2"/>
    <n v="188916.8"/>
    <x v="0"/>
    <n v="14"/>
    <x v="1"/>
    <d v="2024-02-02T00:00:00"/>
    <d v="2024-02-16T00:00:00"/>
  </r>
  <r>
    <n v="3213"/>
    <n v="15953"/>
    <x v="3"/>
    <n v="24379.64"/>
    <x v="2"/>
    <m/>
    <x v="3"/>
    <d v="2024-03-02T00:00:00"/>
    <m/>
  </r>
  <r>
    <n v="3214"/>
    <n v="11076"/>
    <x v="2"/>
    <n v="171692.66"/>
    <x v="1"/>
    <n v="17"/>
    <x v="1"/>
    <d v="2024-05-24T00:00:00"/>
    <d v="2024-06-10T00:00:00"/>
  </r>
  <r>
    <n v="3215"/>
    <n v="17236"/>
    <x v="1"/>
    <n v="5060.3999999999996"/>
    <x v="2"/>
    <m/>
    <x v="2"/>
    <d v="2024-06-19T00:00:00"/>
    <m/>
  </r>
  <r>
    <n v="3216"/>
    <n v="15671"/>
    <x v="3"/>
    <n v="177044.81"/>
    <x v="0"/>
    <n v="11"/>
    <x v="1"/>
    <d v="2024-10-12T00:00:00"/>
    <d v="2024-10-23T00:00:00"/>
  </r>
  <r>
    <n v="3217"/>
    <n v="15815"/>
    <x v="3"/>
    <n v="8845.35"/>
    <x v="0"/>
    <n v="30"/>
    <x v="0"/>
    <d v="2024-10-23T00:00:00"/>
    <d v="2024-11-22T00:00:00"/>
  </r>
  <r>
    <n v="3218"/>
    <n v="15764"/>
    <x v="3"/>
    <n v="152773.35"/>
    <x v="0"/>
    <n v="10"/>
    <x v="1"/>
    <d v="2024-04-26T00:00:00"/>
    <d v="2024-05-06T00:00:00"/>
  </r>
  <r>
    <n v="3219"/>
    <n v="14974"/>
    <x v="3"/>
    <n v="75529.710000000006"/>
    <x v="0"/>
    <n v="34"/>
    <x v="2"/>
    <d v="2024-01-04T00:00:00"/>
    <d v="2024-02-07T00:00:00"/>
  </r>
  <r>
    <n v="3220"/>
    <n v="13527"/>
    <x v="3"/>
    <n v="148952.28"/>
    <x v="0"/>
    <n v="25"/>
    <x v="1"/>
    <d v="2024-03-06T00:00:00"/>
    <d v="2024-03-31T00:00:00"/>
  </r>
  <r>
    <n v="3221"/>
    <n v="12302"/>
    <x v="3"/>
    <n v="83340.320000000007"/>
    <x v="0"/>
    <n v="36"/>
    <x v="3"/>
    <d v="2024-02-29T00:00:00"/>
    <d v="2024-04-05T00:00:00"/>
  </r>
  <r>
    <n v="3222"/>
    <n v="19796"/>
    <x v="3"/>
    <n v="18827.04"/>
    <x v="0"/>
    <n v="12"/>
    <x v="1"/>
    <d v="2024-10-13T00:00:00"/>
    <d v="2024-10-25T00:00:00"/>
  </r>
  <r>
    <n v="3223"/>
    <n v="11075"/>
    <x v="1"/>
    <n v="154663.81"/>
    <x v="0"/>
    <n v="40"/>
    <x v="3"/>
    <d v="2024-12-10T00:00:00"/>
    <d v="2025-01-19T00:00:00"/>
  </r>
  <r>
    <n v="3224"/>
    <n v="14048"/>
    <x v="3"/>
    <n v="18894.27"/>
    <x v="1"/>
    <n v="14"/>
    <x v="0"/>
    <d v="2024-08-16T00:00:00"/>
    <d v="2024-08-30T00:00:00"/>
  </r>
  <r>
    <n v="3225"/>
    <n v="10328"/>
    <x v="3"/>
    <n v="184813.49"/>
    <x v="0"/>
    <n v="24"/>
    <x v="3"/>
    <d v="2024-04-09T00:00:00"/>
    <d v="2024-05-03T00:00:00"/>
  </r>
  <r>
    <n v="3226"/>
    <n v="13477"/>
    <x v="1"/>
    <n v="14939.94"/>
    <x v="0"/>
    <n v="26"/>
    <x v="1"/>
    <d v="2024-04-28T00:00:00"/>
    <d v="2024-05-24T00:00:00"/>
  </r>
  <r>
    <n v="3227"/>
    <n v="17124"/>
    <x v="3"/>
    <n v="98468.43"/>
    <x v="0"/>
    <n v="17"/>
    <x v="2"/>
    <d v="2024-03-09T00:00:00"/>
    <d v="2024-03-26T00:00:00"/>
  </r>
  <r>
    <n v="3228"/>
    <n v="11002"/>
    <x v="3"/>
    <n v="145991.71"/>
    <x v="0"/>
    <n v="22"/>
    <x v="3"/>
    <d v="2024-05-31T00:00:00"/>
    <d v="2024-06-22T00:00:00"/>
  </r>
  <r>
    <n v="3229"/>
    <n v="18768"/>
    <x v="3"/>
    <n v="81683.06"/>
    <x v="0"/>
    <n v="11"/>
    <x v="0"/>
    <d v="2024-10-06T00:00:00"/>
    <d v="2024-10-17T00:00:00"/>
  </r>
  <r>
    <n v="3230"/>
    <n v="18518"/>
    <x v="2"/>
    <n v="47360.53"/>
    <x v="0"/>
    <n v="42"/>
    <x v="3"/>
    <d v="2024-08-08T00:00:00"/>
    <d v="2024-09-19T00:00:00"/>
  </r>
  <r>
    <n v="3231"/>
    <n v="16386"/>
    <x v="0"/>
    <n v="153022.74"/>
    <x v="0"/>
    <n v="41"/>
    <x v="3"/>
    <d v="2024-08-10T00:00:00"/>
    <d v="2024-09-20T00:00:00"/>
  </r>
  <r>
    <n v="3232"/>
    <n v="19719"/>
    <x v="3"/>
    <n v="157937.47"/>
    <x v="1"/>
    <n v="20"/>
    <x v="3"/>
    <d v="2024-06-13T00:00:00"/>
    <d v="2024-07-03T00:00:00"/>
  </r>
  <r>
    <n v="3233"/>
    <n v="12821"/>
    <x v="1"/>
    <n v="184925.52"/>
    <x v="1"/>
    <n v="36"/>
    <x v="0"/>
    <d v="2024-07-29T00:00:00"/>
    <d v="2024-09-03T00:00:00"/>
  </r>
  <r>
    <n v="3234"/>
    <n v="19657"/>
    <x v="1"/>
    <n v="78352.2"/>
    <x v="0"/>
    <n v="29"/>
    <x v="1"/>
    <d v="2024-10-05T00:00:00"/>
    <d v="2024-11-03T00:00:00"/>
  </r>
  <r>
    <n v="3235"/>
    <n v="12380"/>
    <x v="1"/>
    <n v="103719.09"/>
    <x v="0"/>
    <n v="42"/>
    <x v="3"/>
    <d v="2024-03-03T00:00:00"/>
    <d v="2024-04-14T00:00:00"/>
  </r>
  <r>
    <n v="3236"/>
    <n v="18686"/>
    <x v="1"/>
    <n v="75810.05"/>
    <x v="0"/>
    <n v="3"/>
    <x v="3"/>
    <d v="2024-09-18T00:00:00"/>
    <d v="2024-09-21T00:00:00"/>
  </r>
  <r>
    <n v="3237"/>
    <n v="19330"/>
    <x v="1"/>
    <n v="55130.96"/>
    <x v="1"/>
    <n v="31"/>
    <x v="2"/>
    <d v="2024-01-06T00:00:00"/>
    <d v="2024-02-06T00:00:00"/>
  </r>
  <r>
    <n v="3238"/>
    <n v="12416"/>
    <x v="3"/>
    <n v="151451.43"/>
    <x v="0"/>
    <n v="41"/>
    <x v="0"/>
    <d v="2024-09-04T00:00:00"/>
    <d v="2024-10-15T00:00:00"/>
  </r>
  <r>
    <n v="3239"/>
    <n v="19548"/>
    <x v="3"/>
    <n v="71232.11"/>
    <x v="0"/>
    <n v="41"/>
    <x v="3"/>
    <d v="2024-08-16T00:00:00"/>
    <d v="2024-09-26T00:00:00"/>
  </r>
  <r>
    <n v="3240"/>
    <n v="19345"/>
    <x v="3"/>
    <n v="88489.14"/>
    <x v="0"/>
    <n v="6"/>
    <x v="0"/>
    <d v="2024-10-12T00:00:00"/>
    <d v="2024-10-18T00:00:00"/>
  </r>
  <r>
    <n v="3241"/>
    <n v="13249"/>
    <x v="0"/>
    <n v="83716.36"/>
    <x v="0"/>
    <n v="39"/>
    <x v="3"/>
    <d v="2024-09-13T00:00:00"/>
    <d v="2024-10-22T00:00:00"/>
  </r>
  <r>
    <n v="3242"/>
    <n v="12142"/>
    <x v="1"/>
    <n v="143968.94"/>
    <x v="1"/>
    <n v="43"/>
    <x v="1"/>
    <d v="2024-03-03T00:00:00"/>
    <d v="2024-04-15T00:00:00"/>
  </r>
  <r>
    <n v="3243"/>
    <n v="13388"/>
    <x v="0"/>
    <n v="183970.15"/>
    <x v="0"/>
    <n v="16"/>
    <x v="1"/>
    <d v="2024-01-28T00:00:00"/>
    <d v="2024-02-13T00:00:00"/>
  </r>
  <r>
    <n v="3244"/>
    <n v="19316"/>
    <x v="2"/>
    <n v="135017.43"/>
    <x v="0"/>
    <n v="37"/>
    <x v="3"/>
    <d v="2024-12-10T00:00:00"/>
    <d v="2025-01-16T00:00:00"/>
  </r>
  <r>
    <n v="3245"/>
    <n v="15315"/>
    <x v="3"/>
    <n v="96958.61"/>
    <x v="0"/>
    <n v="4"/>
    <x v="1"/>
    <d v="2024-02-22T00:00:00"/>
    <d v="2024-02-26T00:00:00"/>
  </r>
  <r>
    <n v="3246"/>
    <n v="18993"/>
    <x v="1"/>
    <n v="156945"/>
    <x v="0"/>
    <n v="25"/>
    <x v="3"/>
    <d v="2024-09-08T00:00:00"/>
    <d v="2024-10-03T00:00:00"/>
  </r>
  <r>
    <n v="3247"/>
    <n v="10207"/>
    <x v="1"/>
    <n v="129989.41"/>
    <x v="1"/>
    <n v="42"/>
    <x v="1"/>
    <d v="2024-02-07T00:00:00"/>
    <d v="2024-03-20T00:00:00"/>
  </r>
  <r>
    <n v="3248"/>
    <n v="18664"/>
    <x v="2"/>
    <n v="16819.02"/>
    <x v="1"/>
    <n v="42"/>
    <x v="2"/>
    <d v="2024-11-03T00:00:00"/>
    <d v="2024-12-15T00:00:00"/>
  </r>
  <r>
    <n v="3249"/>
    <n v="11638"/>
    <x v="2"/>
    <n v="23654.400000000001"/>
    <x v="0"/>
    <n v="13"/>
    <x v="2"/>
    <d v="2024-11-29T00:00:00"/>
    <d v="2024-12-12T00:00:00"/>
  </r>
  <r>
    <n v="3250"/>
    <n v="15127"/>
    <x v="1"/>
    <n v="12393.8"/>
    <x v="0"/>
    <n v="9"/>
    <x v="2"/>
    <d v="2024-05-18T00:00:00"/>
    <d v="2024-05-27T00:00:00"/>
  </r>
  <r>
    <n v="3251"/>
    <n v="18327"/>
    <x v="3"/>
    <n v="94079.18"/>
    <x v="0"/>
    <n v="15"/>
    <x v="0"/>
    <d v="2024-02-22T00:00:00"/>
    <d v="2024-03-08T00:00:00"/>
  </r>
  <r>
    <n v="3252"/>
    <n v="14356"/>
    <x v="1"/>
    <n v="166041.42000000001"/>
    <x v="0"/>
    <n v="19"/>
    <x v="0"/>
    <d v="2024-04-03T00:00:00"/>
    <d v="2024-04-22T00:00:00"/>
  </r>
  <r>
    <n v="3253"/>
    <n v="19362"/>
    <x v="3"/>
    <n v="66051.22"/>
    <x v="0"/>
    <n v="21"/>
    <x v="2"/>
    <d v="2024-04-03T00:00:00"/>
    <d v="2024-04-24T00:00:00"/>
  </r>
  <r>
    <n v="3254"/>
    <n v="18649"/>
    <x v="1"/>
    <n v="79911.240000000005"/>
    <x v="0"/>
    <n v="24"/>
    <x v="0"/>
    <d v="2024-09-19T00:00:00"/>
    <d v="2024-10-13T00:00:00"/>
  </r>
  <r>
    <n v="3255"/>
    <n v="16024"/>
    <x v="2"/>
    <n v="182348.04"/>
    <x v="0"/>
    <n v="6"/>
    <x v="1"/>
    <d v="2024-11-18T00:00:00"/>
    <d v="2024-11-24T00:00:00"/>
  </r>
  <r>
    <n v="3256"/>
    <n v="17605"/>
    <x v="3"/>
    <n v="168196.17"/>
    <x v="0"/>
    <n v="2"/>
    <x v="3"/>
    <d v="2024-05-16T00:00:00"/>
    <d v="2024-05-18T00:00:00"/>
  </r>
  <r>
    <n v="3257"/>
    <n v="11436"/>
    <x v="1"/>
    <n v="134684.38"/>
    <x v="0"/>
    <n v="3"/>
    <x v="3"/>
    <d v="2024-09-12T00:00:00"/>
    <d v="2024-09-15T00:00:00"/>
  </r>
  <r>
    <n v="3258"/>
    <n v="16375"/>
    <x v="3"/>
    <n v="57026.74"/>
    <x v="1"/>
    <n v="17"/>
    <x v="3"/>
    <d v="2024-02-06T00:00:00"/>
    <d v="2024-02-23T00:00:00"/>
  </r>
  <r>
    <n v="3259"/>
    <n v="18698"/>
    <x v="3"/>
    <n v="27823.09"/>
    <x v="0"/>
    <n v="6"/>
    <x v="2"/>
    <d v="2024-05-21T00:00:00"/>
    <d v="2024-05-27T00:00:00"/>
  </r>
  <r>
    <n v="3260"/>
    <n v="16247"/>
    <x v="3"/>
    <n v="8131.47"/>
    <x v="1"/>
    <n v="23"/>
    <x v="0"/>
    <d v="2024-05-26T00:00:00"/>
    <d v="2024-06-18T00:00:00"/>
  </r>
  <r>
    <n v="3261"/>
    <n v="18637"/>
    <x v="1"/>
    <n v="25867.08"/>
    <x v="0"/>
    <n v="2"/>
    <x v="1"/>
    <d v="2024-01-08T00:00:00"/>
    <d v="2024-01-10T00:00:00"/>
  </r>
  <r>
    <n v="3262"/>
    <n v="12781"/>
    <x v="2"/>
    <n v="62056.31"/>
    <x v="0"/>
    <n v="13"/>
    <x v="1"/>
    <d v="2024-09-07T00:00:00"/>
    <d v="2024-09-20T00:00:00"/>
  </r>
  <r>
    <n v="3263"/>
    <n v="10443"/>
    <x v="2"/>
    <n v="112599.06"/>
    <x v="1"/>
    <n v="20"/>
    <x v="2"/>
    <d v="2024-05-14T00:00:00"/>
    <d v="2024-06-03T00:00:00"/>
  </r>
  <r>
    <n v="3264"/>
    <n v="10117"/>
    <x v="3"/>
    <n v="17480.02"/>
    <x v="0"/>
    <n v="23"/>
    <x v="1"/>
    <d v="2024-02-28T00:00:00"/>
    <d v="2024-03-22T00:00:00"/>
  </r>
  <r>
    <n v="3265"/>
    <n v="19732"/>
    <x v="0"/>
    <n v="31564.42"/>
    <x v="1"/>
    <n v="43"/>
    <x v="1"/>
    <d v="2024-05-02T00:00:00"/>
    <d v="2024-06-14T00:00:00"/>
  </r>
  <r>
    <n v="3266"/>
    <n v="10566"/>
    <x v="1"/>
    <n v="40310.74"/>
    <x v="0"/>
    <n v="18"/>
    <x v="1"/>
    <d v="2024-09-19T00:00:00"/>
    <d v="2024-10-07T00:00:00"/>
  </r>
  <r>
    <n v="3267"/>
    <n v="13602"/>
    <x v="3"/>
    <n v="128236.51"/>
    <x v="0"/>
    <n v="14"/>
    <x v="1"/>
    <d v="2024-04-29T00:00:00"/>
    <d v="2024-05-13T00:00:00"/>
  </r>
  <r>
    <n v="3268"/>
    <n v="11936"/>
    <x v="3"/>
    <n v="125079.01"/>
    <x v="0"/>
    <n v="40"/>
    <x v="0"/>
    <d v="2024-09-15T00:00:00"/>
    <d v="2024-10-25T00:00:00"/>
  </r>
  <r>
    <n v="3269"/>
    <n v="14183"/>
    <x v="3"/>
    <n v="112399.32"/>
    <x v="0"/>
    <n v="29"/>
    <x v="1"/>
    <d v="2024-11-18T00:00:00"/>
    <d v="2024-12-17T00:00:00"/>
  </r>
  <r>
    <n v="3270"/>
    <n v="17926"/>
    <x v="2"/>
    <n v="53847.78"/>
    <x v="0"/>
    <n v="4"/>
    <x v="3"/>
    <d v="2024-01-18T00:00:00"/>
    <d v="2024-01-22T00:00:00"/>
  </r>
  <r>
    <n v="3271"/>
    <n v="19844"/>
    <x v="1"/>
    <n v="77368.34"/>
    <x v="0"/>
    <n v="6"/>
    <x v="2"/>
    <d v="2024-10-27T00:00:00"/>
    <d v="2024-11-02T00:00:00"/>
  </r>
  <r>
    <n v="3272"/>
    <n v="14571"/>
    <x v="1"/>
    <n v="23854.49"/>
    <x v="0"/>
    <n v="37"/>
    <x v="0"/>
    <d v="2024-12-18T00:00:00"/>
    <d v="2025-01-24T00:00:00"/>
  </r>
  <r>
    <n v="3273"/>
    <n v="15801"/>
    <x v="3"/>
    <n v="49159.82"/>
    <x v="0"/>
    <n v="16"/>
    <x v="1"/>
    <d v="2024-04-01T00:00:00"/>
    <d v="2024-04-17T00:00:00"/>
  </r>
  <r>
    <n v="3274"/>
    <n v="14390"/>
    <x v="1"/>
    <n v="180052.52"/>
    <x v="0"/>
    <n v="18"/>
    <x v="0"/>
    <d v="2024-06-12T00:00:00"/>
    <d v="2024-06-30T00:00:00"/>
  </r>
  <r>
    <n v="3275"/>
    <n v="14815"/>
    <x v="3"/>
    <n v="196039.89"/>
    <x v="0"/>
    <n v="30"/>
    <x v="1"/>
    <d v="2024-05-23T00:00:00"/>
    <d v="2024-06-22T00:00:00"/>
  </r>
  <r>
    <n v="3276"/>
    <n v="15500"/>
    <x v="3"/>
    <n v="131293.62"/>
    <x v="0"/>
    <n v="5"/>
    <x v="3"/>
    <d v="2024-11-30T00:00:00"/>
    <d v="2024-12-05T00:00:00"/>
  </r>
  <r>
    <n v="3277"/>
    <n v="15402"/>
    <x v="1"/>
    <n v="183780.54"/>
    <x v="0"/>
    <n v="33"/>
    <x v="2"/>
    <d v="2024-11-10T00:00:00"/>
    <d v="2024-12-13T00:00:00"/>
  </r>
  <r>
    <n v="3278"/>
    <n v="16987"/>
    <x v="3"/>
    <n v="130334.67"/>
    <x v="1"/>
    <n v="44"/>
    <x v="1"/>
    <d v="2024-08-25T00:00:00"/>
    <d v="2024-10-08T00:00:00"/>
  </r>
  <r>
    <n v="3279"/>
    <n v="14781"/>
    <x v="0"/>
    <n v="11473.31"/>
    <x v="1"/>
    <n v="39"/>
    <x v="1"/>
    <d v="2024-06-22T00:00:00"/>
    <d v="2024-07-31T00:00:00"/>
  </r>
  <r>
    <n v="3280"/>
    <n v="12686"/>
    <x v="3"/>
    <n v="199368.7"/>
    <x v="0"/>
    <n v="5"/>
    <x v="1"/>
    <d v="2024-03-23T00:00:00"/>
    <d v="2024-03-28T00:00:00"/>
  </r>
  <r>
    <n v="3281"/>
    <n v="11203"/>
    <x v="1"/>
    <n v="24295.7"/>
    <x v="2"/>
    <m/>
    <x v="1"/>
    <d v="2024-06-05T00:00:00"/>
    <m/>
  </r>
  <r>
    <n v="3282"/>
    <n v="15056"/>
    <x v="3"/>
    <n v="138115.15"/>
    <x v="0"/>
    <n v="21"/>
    <x v="2"/>
    <d v="2024-04-18T00:00:00"/>
    <d v="2024-05-09T00:00:00"/>
  </r>
  <r>
    <n v="3283"/>
    <n v="17057"/>
    <x v="1"/>
    <n v="54303.06"/>
    <x v="2"/>
    <m/>
    <x v="2"/>
    <d v="2024-06-26T00:00:00"/>
    <m/>
  </r>
  <r>
    <n v="3284"/>
    <n v="18597"/>
    <x v="3"/>
    <n v="81436.320000000007"/>
    <x v="1"/>
    <n v="43"/>
    <x v="3"/>
    <d v="2024-09-06T00:00:00"/>
    <d v="2024-10-19T00:00:00"/>
  </r>
  <r>
    <n v="3285"/>
    <n v="15713"/>
    <x v="3"/>
    <n v="130957.17"/>
    <x v="1"/>
    <n v="38"/>
    <x v="2"/>
    <d v="2024-09-09T00:00:00"/>
    <d v="2024-10-17T00:00:00"/>
  </r>
  <r>
    <n v="3286"/>
    <n v="15183"/>
    <x v="2"/>
    <n v="90115.03"/>
    <x v="0"/>
    <n v="13"/>
    <x v="1"/>
    <d v="2024-02-24T00:00:00"/>
    <d v="2024-03-08T00:00:00"/>
  </r>
  <r>
    <n v="3287"/>
    <n v="14214"/>
    <x v="3"/>
    <n v="53856.480000000003"/>
    <x v="0"/>
    <n v="26"/>
    <x v="3"/>
    <d v="2024-06-03T00:00:00"/>
    <d v="2024-06-29T00:00:00"/>
  </r>
  <r>
    <n v="3288"/>
    <n v="14079"/>
    <x v="0"/>
    <n v="70217.009999999995"/>
    <x v="0"/>
    <n v="31"/>
    <x v="3"/>
    <d v="2024-03-31T00:00:00"/>
    <d v="2024-05-01T00:00:00"/>
  </r>
  <r>
    <n v="3289"/>
    <n v="10312"/>
    <x v="2"/>
    <n v="71601.88"/>
    <x v="1"/>
    <n v="16"/>
    <x v="3"/>
    <d v="2024-12-04T00:00:00"/>
    <d v="2024-12-20T00:00:00"/>
  </r>
  <r>
    <n v="3290"/>
    <n v="18354"/>
    <x v="3"/>
    <n v="192068.16"/>
    <x v="0"/>
    <n v="37"/>
    <x v="1"/>
    <d v="2024-05-05T00:00:00"/>
    <d v="2024-06-11T00:00:00"/>
  </r>
  <r>
    <n v="3291"/>
    <n v="11528"/>
    <x v="3"/>
    <n v="160729.54"/>
    <x v="1"/>
    <n v="9"/>
    <x v="0"/>
    <d v="2024-12-02T00:00:00"/>
    <d v="2024-12-11T00:00:00"/>
  </r>
  <r>
    <n v="3292"/>
    <n v="15496"/>
    <x v="1"/>
    <n v="94417.01"/>
    <x v="0"/>
    <n v="29"/>
    <x v="1"/>
    <d v="2024-06-17T00:00:00"/>
    <d v="2024-07-16T00:00:00"/>
  </r>
  <r>
    <n v="3293"/>
    <n v="19757"/>
    <x v="2"/>
    <n v="43965.08"/>
    <x v="1"/>
    <n v="23"/>
    <x v="2"/>
    <d v="2024-05-18T00:00:00"/>
    <d v="2024-06-10T00:00:00"/>
  </r>
  <r>
    <n v="3294"/>
    <n v="14768"/>
    <x v="2"/>
    <n v="163148.14000000001"/>
    <x v="0"/>
    <n v="39"/>
    <x v="2"/>
    <d v="2024-01-05T00:00:00"/>
    <d v="2024-02-13T00:00:00"/>
  </r>
  <r>
    <n v="3295"/>
    <n v="17567"/>
    <x v="1"/>
    <n v="35650.58"/>
    <x v="0"/>
    <n v="17"/>
    <x v="1"/>
    <d v="2024-03-06T00:00:00"/>
    <d v="2024-03-23T00:00:00"/>
  </r>
  <r>
    <n v="3296"/>
    <n v="10398"/>
    <x v="1"/>
    <n v="46040.13"/>
    <x v="0"/>
    <n v="6"/>
    <x v="1"/>
    <d v="2024-04-20T00:00:00"/>
    <d v="2024-04-26T00:00:00"/>
  </r>
  <r>
    <n v="3297"/>
    <n v="16630"/>
    <x v="3"/>
    <n v="76372.61"/>
    <x v="0"/>
    <n v="35"/>
    <x v="3"/>
    <d v="2024-07-02T00:00:00"/>
    <d v="2024-08-06T00:00:00"/>
  </r>
  <r>
    <n v="3298"/>
    <n v="11047"/>
    <x v="2"/>
    <n v="176667.9"/>
    <x v="0"/>
    <n v="39"/>
    <x v="1"/>
    <d v="2024-09-24T00:00:00"/>
    <d v="2024-11-02T00:00:00"/>
  </r>
  <r>
    <n v="3299"/>
    <n v="11942"/>
    <x v="2"/>
    <n v="30698.400000000001"/>
    <x v="1"/>
    <n v="12"/>
    <x v="3"/>
    <d v="2024-06-18T00:00:00"/>
    <d v="2024-06-30T00:00:00"/>
  </r>
  <r>
    <n v="3300"/>
    <n v="10239"/>
    <x v="3"/>
    <n v="28835.67"/>
    <x v="0"/>
    <n v="3"/>
    <x v="2"/>
    <d v="2024-12-27T00:00:00"/>
    <d v="2024-12-30T00:00:00"/>
  </r>
  <r>
    <n v="3301"/>
    <n v="16464"/>
    <x v="3"/>
    <n v="101325.12"/>
    <x v="0"/>
    <n v="26"/>
    <x v="3"/>
    <d v="2024-08-31T00:00:00"/>
    <d v="2024-09-26T00:00:00"/>
  </r>
  <r>
    <n v="3302"/>
    <n v="10671"/>
    <x v="3"/>
    <n v="58900.06"/>
    <x v="1"/>
    <n v="26"/>
    <x v="1"/>
    <d v="2024-11-26T00:00:00"/>
    <d v="2024-12-22T00:00:00"/>
  </r>
  <r>
    <n v="3303"/>
    <n v="12619"/>
    <x v="3"/>
    <n v="115901.95"/>
    <x v="0"/>
    <n v="2"/>
    <x v="2"/>
    <d v="2024-05-17T00:00:00"/>
    <d v="2024-05-19T00:00:00"/>
  </r>
  <r>
    <n v="3304"/>
    <n v="17919"/>
    <x v="0"/>
    <n v="93069.15"/>
    <x v="2"/>
    <m/>
    <x v="0"/>
    <d v="2024-01-28T00:00:00"/>
    <m/>
  </r>
  <r>
    <n v="3305"/>
    <n v="12461"/>
    <x v="3"/>
    <n v="89817.03"/>
    <x v="2"/>
    <m/>
    <x v="3"/>
    <d v="2024-01-07T00:00:00"/>
    <m/>
  </r>
  <r>
    <n v="3306"/>
    <n v="18593"/>
    <x v="3"/>
    <n v="26834.73"/>
    <x v="0"/>
    <n v="41"/>
    <x v="2"/>
    <d v="2024-11-28T00:00:00"/>
    <d v="2025-01-08T00:00:00"/>
  </r>
  <r>
    <n v="3307"/>
    <n v="12106"/>
    <x v="3"/>
    <n v="32504.69"/>
    <x v="0"/>
    <n v="5"/>
    <x v="3"/>
    <d v="2024-11-12T00:00:00"/>
    <d v="2024-11-17T00:00:00"/>
  </r>
  <r>
    <n v="3308"/>
    <n v="14148"/>
    <x v="2"/>
    <n v="165110.32"/>
    <x v="0"/>
    <n v="6"/>
    <x v="2"/>
    <d v="2024-02-20T00:00:00"/>
    <d v="2024-02-26T00:00:00"/>
  </r>
  <r>
    <n v="3309"/>
    <n v="11087"/>
    <x v="1"/>
    <n v="177747.13"/>
    <x v="1"/>
    <n v="6"/>
    <x v="2"/>
    <d v="2024-05-15T00:00:00"/>
    <d v="2024-05-21T00:00:00"/>
  </r>
  <r>
    <n v="3310"/>
    <n v="16776"/>
    <x v="3"/>
    <n v="50763.29"/>
    <x v="0"/>
    <n v="17"/>
    <x v="3"/>
    <d v="2024-06-26T00:00:00"/>
    <d v="2024-07-13T00:00:00"/>
  </r>
  <r>
    <n v="3311"/>
    <n v="19334"/>
    <x v="3"/>
    <n v="27124.799999999999"/>
    <x v="0"/>
    <n v="19"/>
    <x v="0"/>
    <d v="2024-05-08T00:00:00"/>
    <d v="2024-05-27T00:00:00"/>
  </r>
  <r>
    <n v="3312"/>
    <n v="14381"/>
    <x v="2"/>
    <n v="15416.25"/>
    <x v="1"/>
    <n v="44"/>
    <x v="2"/>
    <d v="2024-07-15T00:00:00"/>
    <d v="2024-08-28T00:00:00"/>
  </r>
  <r>
    <n v="3313"/>
    <n v="15124"/>
    <x v="0"/>
    <n v="123618.03"/>
    <x v="0"/>
    <n v="18"/>
    <x v="2"/>
    <d v="2024-09-23T00:00:00"/>
    <d v="2024-10-11T00:00:00"/>
  </r>
  <r>
    <n v="3314"/>
    <n v="17559"/>
    <x v="3"/>
    <n v="144493.88"/>
    <x v="1"/>
    <n v="36"/>
    <x v="2"/>
    <d v="2024-04-16T00:00:00"/>
    <d v="2024-05-22T00:00:00"/>
  </r>
  <r>
    <n v="3315"/>
    <n v="10141"/>
    <x v="3"/>
    <n v="77697.95"/>
    <x v="1"/>
    <n v="19"/>
    <x v="0"/>
    <d v="2024-02-17T00:00:00"/>
    <d v="2024-03-07T00:00:00"/>
  </r>
  <r>
    <n v="3316"/>
    <n v="10396"/>
    <x v="3"/>
    <n v="137536.79"/>
    <x v="0"/>
    <n v="5"/>
    <x v="0"/>
    <d v="2024-05-17T00:00:00"/>
    <d v="2024-05-22T00:00:00"/>
  </r>
  <r>
    <n v="3317"/>
    <n v="15137"/>
    <x v="3"/>
    <n v="144026.97"/>
    <x v="1"/>
    <n v="32"/>
    <x v="1"/>
    <d v="2024-04-12T00:00:00"/>
    <d v="2024-05-14T00:00:00"/>
  </r>
  <r>
    <n v="3318"/>
    <n v="17281"/>
    <x v="1"/>
    <n v="187391.74"/>
    <x v="1"/>
    <n v="32"/>
    <x v="3"/>
    <d v="2024-02-16T00:00:00"/>
    <d v="2024-03-19T00:00:00"/>
  </r>
  <r>
    <n v="3319"/>
    <n v="11555"/>
    <x v="2"/>
    <n v="17650.36"/>
    <x v="0"/>
    <n v="10"/>
    <x v="0"/>
    <d v="2024-06-01T00:00:00"/>
    <d v="2024-06-11T00:00:00"/>
  </r>
  <r>
    <n v="3320"/>
    <n v="17054"/>
    <x v="3"/>
    <n v="42496.89"/>
    <x v="0"/>
    <n v="32"/>
    <x v="3"/>
    <d v="2024-01-06T00:00:00"/>
    <d v="2024-02-07T00:00:00"/>
  </r>
  <r>
    <n v="3321"/>
    <n v="15894"/>
    <x v="0"/>
    <n v="18362.57"/>
    <x v="0"/>
    <n v="6"/>
    <x v="1"/>
    <d v="2024-01-11T00:00:00"/>
    <d v="2024-01-17T00:00:00"/>
  </r>
  <r>
    <n v="3322"/>
    <n v="11028"/>
    <x v="3"/>
    <n v="174258.82"/>
    <x v="0"/>
    <n v="37"/>
    <x v="3"/>
    <d v="2024-01-17T00:00:00"/>
    <d v="2024-02-23T00:00:00"/>
  </r>
  <r>
    <n v="3323"/>
    <n v="15051"/>
    <x v="1"/>
    <n v="159554.5"/>
    <x v="2"/>
    <m/>
    <x v="0"/>
    <d v="2024-05-22T00:00:00"/>
    <m/>
  </r>
  <r>
    <n v="3324"/>
    <n v="10670"/>
    <x v="1"/>
    <n v="117055.2"/>
    <x v="0"/>
    <n v="43"/>
    <x v="3"/>
    <d v="2024-09-28T00:00:00"/>
    <d v="2024-11-10T00:00:00"/>
  </r>
  <r>
    <n v="3325"/>
    <n v="14594"/>
    <x v="3"/>
    <n v="21314.36"/>
    <x v="0"/>
    <n v="42"/>
    <x v="0"/>
    <d v="2024-11-07T00:00:00"/>
    <d v="2024-12-19T00:00:00"/>
  </r>
  <r>
    <n v="3326"/>
    <n v="11855"/>
    <x v="3"/>
    <n v="58295.91"/>
    <x v="0"/>
    <n v="17"/>
    <x v="3"/>
    <d v="2024-03-06T00:00:00"/>
    <d v="2024-03-23T00:00:00"/>
  </r>
  <r>
    <n v="3327"/>
    <n v="13429"/>
    <x v="1"/>
    <n v="63055.37"/>
    <x v="0"/>
    <n v="21"/>
    <x v="0"/>
    <d v="2024-12-04T00:00:00"/>
    <d v="2024-12-25T00:00:00"/>
  </r>
  <r>
    <n v="3328"/>
    <n v="15276"/>
    <x v="3"/>
    <n v="114344.92"/>
    <x v="2"/>
    <m/>
    <x v="0"/>
    <d v="2024-11-26T00:00:00"/>
    <m/>
  </r>
  <r>
    <n v="3329"/>
    <n v="16986"/>
    <x v="3"/>
    <n v="55318.559999999998"/>
    <x v="1"/>
    <n v="27"/>
    <x v="3"/>
    <d v="2024-09-12T00:00:00"/>
    <d v="2024-10-09T00:00:00"/>
  </r>
  <r>
    <n v="3330"/>
    <n v="19880"/>
    <x v="1"/>
    <n v="19227.169999999998"/>
    <x v="0"/>
    <n v="32"/>
    <x v="1"/>
    <d v="2024-05-06T00:00:00"/>
    <d v="2024-06-07T00:00:00"/>
  </r>
  <r>
    <n v="3331"/>
    <n v="14431"/>
    <x v="2"/>
    <n v="147498.65"/>
    <x v="0"/>
    <n v="16"/>
    <x v="2"/>
    <d v="2024-05-10T00:00:00"/>
    <d v="2024-05-26T00:00:00"/>
  </r>
  <r>
    <n v="3332"/>
    <n v="10569"/>
    <x v="3"/>
    <n v="63320.639999999999"/>
    <x v="0"/>
    <n v="42"/>
    <x v="1"/>
    <d v="2024-01-18T00:00:00"/>
    <d v="2024-02-29T00:00:00"/>
  </r>
  <r>
    <n v="3333"/>
    <n v="16456"/>
    <x v="0"/>
    <n v="93212.96"/>
    <x v="0"/>
    <n v="39"/>
    <x v="3"/>
    <d v="2024-07-25T00:00:00"/>
    <d v="2024-09-02T00:00:00"/>
  </r>
  <r>
    <n v="3334"/>
    <n v="11146"/>
    <x v="3"/>
    <n v="29894.99"/>
    <x v="0"/>
    <n v="39"/>
    <x v="1"/>
    <d v="2024-03-29T00:00:00"/>
    <d v="2024-05-07T00:00:00"/>
  </r>
  <r>
    <n v="3335"/>
    <n v="19056"/>
    <x v="1"/>
    <n v="161496.92000000001"/>
    <x v="0"/>
    <n v="44"/>
    <x v="0"/>
    <d v="2024-08-30T00:00:00"/>
    <d v="2024-10-13T00:00:00"/>
  </r>
  <r>
    <n v="3336"/>
    <n v="16514"/>
    <x v="1"/>
    <n v="115278.72"/>
    <x v="2"/>
    <m/>
    <x v="2"/>
    <d v="2024-12-15T00:00:00"/>
    <m/>
  </r>
  <r>
    <n v="3337"/>
    <n v="14900"/>
    <x v="0"/>
    <n v="180809.2"/>
    <x v="0"/>
    <n v="36"/>
    <x v="3"/>
    <d v="2024-01-17T00:00:00"/>
    <d v="2024-02-22T00:00:00"/>
  </r>
  <r>
    <n v="3338"/>
    <n v="10027"/>
    <x v="3"/>
    <n v="101616.95"/>
    <x v="1"/>
    <n v="24"/>
    <x v="3"/>
    <d v="2024-08-10T00:00:00"/>
    <d v="2024-09-03T00:00:00"/>
  </r>
  <r>
    <n v="3339"/>
    <n v="15349"/>
    <x v="1"/>
    <n v="188578.01"/>
    <x v="0"/>
    <n v="40"/>
    <x v="3"/>
    <d v="2024-12-28T00:00:00"/>
    <d v="2025-02-06T00:00:00"/>
  </r>
  <r>
    <n v="3340"/>
    <n v="11029"/>
    <x v="1"/>
    <n v="178914.3"/>
    <x v="0"/>
    <n v="26"/>
    <x v="2"/>
    <d v="2024-07-28T00:00:00"/>
    <d v="2024-08-23T00:00:00"/>
  </r>
  <r>
    <n v="3341"/>
    <n v="16616"/>
    <x v="3"/>
    <n v="117409.67"/>
    <x v="1"/>
    <n v="23"/>
    <x v="0"/>
    <d v="2024-04-08T00:00:00"/>
    <d v="2024-05-01T00:00:00"/>
  </r>
  <r>
    <n v="3342"/>
    <n v="11996"/>
    <x v="3"/>
    <n v="187109.22"/>
    <x v="0"/>
    <n v="9"/>
    <x v="3"/>
    <d v="2024-01-13T00:00:00"/>
    <d v="2024-01-22T00:00:00"/>
  </r>
  <r>
    <n v="3343"/>
    <n v="11341"/>
    <x v="3"/>
    <n v="68002.31"/>
    <x v="1"/>
    <n v="10"/>
    <x v="1"/>
    <d v="2024-11-14T00:00:00"/>
    <d v="2024-11-24T00:00:00"/>
  </r>
  <r>
    <n v="3344"/>
    <n v="19440"/>
    <x v="3"/>
    <n v="76300.22"/>
    <x v="0"/>
    <n v="16"/>
    <x v="3"/>
    <d v="2024-09-26T00:00:00"/>
    <d v="2024-10-12T00:00:00"/>
  </r>
  <r>
    <n v="3345"/>
    <n v="12087"/>
    <x v="0"/>
    <n v="13868.2"/>
    <x v="0"/>
    <n v="21"/>
    <x v="3"/>
    <d v="2024-07-05T00:00:00"/>
    <d v="2024-07-26T00:00:00"/>
  </r>
  <r>
    <n v="3346"/>
    <n v="18872"/>
    <x v="3"/>
    <n v="119894.18"/>
    <x v="1"/>
    <n v="36"/>
    <x v="3"/>
    <d v="2024-09-30T00:00:00"/>
    <d v="2024-11-05T00:00:00"/>
  </r>
  <r>
    <n v="3347"/>
    <n v="10374"/>
    <x v="3"/>
    <n v="145775.17000000001"/>
    <x v="0"/>
    <n v="38"/>
    <x v="3"/>
    <d v="2024-05-12T00:00:00"/>
    <d v="2024-06-19T00:00:00"/>
  </r>
  <r>
    <n v="3348"/>
    <n v="13045"/>
    <x v="1"/>
    <n v="155836.24"/>
    <x v="1"/>
    <n v="4"/>
    <x v="0"/>
    <d v="2024-01-14T00:00:00"/>
    <d v="2024-01-18T00:00:00"/>
  </r>
  <r>
    <n v="3349"/>
    <n v="16275"/>
    <x v="3"/>
    <n v="34214.18"/>
    <x v="2"/>
    <m/>
    <x v="1"/>
    <d v="2024-10-07T00:00:00"/>
    <m/>
  </r>
  <r>
    <n v="3350"/>
    <n v="15949"/>
    <x v="1"/>
    <n v="91611.02"/>
    <x v="0"/>
    <n v="35"/>
    <x v="0"/>
    <d v="2024-02-13T00:00:00"/>
    <d v="2024-03-19T00:00:00"/>
  </r>
  <r>
    <n v="3351"/>
    <n v="10805"/>
    <x v="3"/>
    <n v="39488.33"/>
    <x v="0"/>
    <n v="37"/>
    <x v="1"/>
    <d v="2024-10-21T00:00:00"/>
    <d v="2024-11-27T00:00:00"/>
  </r>
  <r>
    <n v="3352"/>
    <n v="16352"/>
    <x v="2"/>
    <n v="134114.82999999999"/>
    <x v="0"/>
    <n v="36"/>
    <x v="3"/>
    <d v="2024-04-13T00:00:00"/>
    <d v="2024-05-19T00:00:00"/>
  </r>
  <r>
    <n v="3353"/>
    <n v="16470"/>
    <x v="0"/>
    <n v="35799.54"/>
    <x v="0"/>
    <n v="10"/>
    <x v="2"/>
    <d v="2024-03-02T00:00:00"/>
    <d v="2024-03-12T00:00:00"/>
  </r>
  <r>
    <n v="3354"/>
    <n v="16646"/>
    <x v="0"/>
    <n v="181311.92"/>
    <x v="1"/>
    <n v="31"/>
    <x v="0"/>
    <d v="2024-02-22T00:00:00"/>
    <d v="2024-03-24T00:00:00"/>
  </r>
  <r>
    <n v="3355"/>
    <n v="10278"/>
    <x v="3"/>
    <n v="49973.760000000002"/>
    <x v="0"/>
    <n v="27"/>
    <x v="2"/>
    <d v="2024-11-04T00:00:00"/>
    <d v="2024-12-01T00:00:00"/>
  </r>
  <r>
    <n v="3356"/>
    <n v="11405"/>
    <x v="1"/>
    <n v="61823.44"/>
    <x v="0"/>
    <n v="13"/>
    <x v="0"/>
    <d v="2024-04-27T00:00:00"/>
    <d v="2024-05-10T00:00:00"/>
  </r>
  <r>
    <n v="3357"/>
    <n v="18979"/>
    <x v="3"/>
    <n v="170926.73"/>
    <x v="1"/>
    <n v="25"/>
    <x v="3"/>
    <d v="2024-11-16T00:00:00"/>
    <d v="2024-12-11T00:00:00"/>
  </r>
  <r>
    <n v="3358"/>
    <n v="17150"/>
    <x v="3"/>
    <n v="94401.18"/>
    <x v="0"/>
    <n v="42"/>
    <x v="0"/>
    <d v="2024-05-10T00:00:00"/>
    <d v="2024-06-21T00:00:00"/>
  </r>
  <r>
    <n v="3359"/>
    <n v="11332"/>
    <x v="3"/>
    <n v="9679.2099999999991"/>
    <x v="1"/>
    <n v="20"/>
    <x v="3"/>
    <d v="2024-10-25T00:00:00"/>
    <d v="2024-11-14T00:00:00"/>
  </r>
  <r>
    <n v="3360"/>
    <n v="18065"/>
    <x v="1"/>
    <n v="101444.32"/>
    <x v="0"/>
    <n v="17"/>
    <x v="0"/>
    <d v="2024-11-01T00:00:00"/>
    <d v="2024-11-18T00:00:00"/>
  </r>
  <r>
    <n v="3361"/>
    <n v="13147"/>
    <x v="3"/>
    <n v="21485.95"/>
    <x v="2"/>
    <m/>
    <x v="3"/>
    <d v="2024-07-17T00:00:00"/>
    <m/>
  </r>
  <r>
    <n v="3362"/>
    <n v="17992"/>
    <x v="1"/>
    <n v="197142.22"/>
    <x v="0"/>
    <n v="24"/>
    <x v="3"/>
    <d v="2024-02-05T00:00:00"/>
    <d v="2024-02-29T00:00:00"/>
  </r>
  <r>
    <n v="3363"/>
    <n v="13449"/>
    <x v="3"/>
    <n v="119681.76"/>
    <x v="0"/>
    <n v="34"/>
    <x v="1"/>
    <d v="2024-10-05T00:00:00"/>
    <d v="2024-11-08T00:00:00"/>
  </r>
  <r>
    <n v="3364"/>
    <n v="10432"/>
    <x v="3"/>
    <n v="55023.86"/>
    <x v="0"/>
    <n v="43"/>
    <x v="3"/>
    <d v="2024-08-03T00:00:00"/>
    <d v="2024-09-15T00:00:00"/>
  </r>
  <r>
    <n v="3365"/>
    <n v="18026"/>
    <x v="1"/>
    <n v="114924.95"/>
    <x v="0"/>
    <n v="31"/>
    <x v="1"/>
    <d v="2024-03-14T00:00:00"/>
    <d v="2024-04-14T00:00:00"/>
  </r>
  <r>
    <n v="3366"/>
    <n v="11009"/>
    <x v="3"/>
    <n v="19989.09"/>
    <x v="2"/>
    <m/>
    <x v="3"/>
    <d v="2024-11-01T00:00:00"/>
    <m/>
  </r>
  <r>
    <n v="3367"/>
    <n v="17279"/>
    <x v="1"/>
    <n v="160978.79999999999"/>
    <x v="0"/>
    <n v="11"/>
    <x v="2"/>
    <d v="2024-02-24T00:00:00"/>
    <d v="2024-03-06T00:00:00"/>
  </r>
  <r>
    <n v="3368"/>
    <n v="15191"/>
    <x v="3"/>
    <n v="185438.97"/>
    <x v="1"/>
    <n v="37"/>
    <x v="3"/>
    <d v="2024-01-12T00:00:00"/>
    <d v="2024-02-18T00:00:00"/>
  </r>
  <r>
    <n v="3369"/>
    <n v="18508"/>
    <x v="0"/>
    <n v="175516.66"/>
    <x v="0"/>
    <n v="32"/>
    <x v="2"/>
    <d v="2024-03-23T00:00:00"/>
    <d v="2024-04-24T00:00:00"/>
  </r>
  <r>
    <n v="3370"/>
    <n v="15307"/>
    <x v="1"/>
    <n v="71642.73"/>
    <x v="0"/>
    <n v="44"/>
    <x v="2"/>
    <d v="2024-02-01T00:00:00"/>
    <d v="2024-03-16T00:00:00"/>
  </r>
  <r>
    <n v="3371"/>
    <n v="14216"/>
    <x v="3"/>
    <n v="68524.78"/>
    <x v="0"/>
    <n v="23"/>
    <x v="3"/>
    <d v="2024-03-26T00:00:00"/>
    <d v="2024-04-18T00:00:00"/>
  </r>
  <r>
    <n v="3372"/>
    <n v="11365"/>
    <x v="3"/>
    <n v="11842.08"/>
    <x v="0"/>
    <n v="44"/>
    <x v="2"/>
    <d v="2024-08-19T00:00:00"/>
    <d v="2024-10-02T00:00:00"/>
  </r>
  <r>
    <n v="3373"/>
    <n v="16796"/>
    <x v="1"/>
    <n v="132023.07"/>
    <x v="0"/>
    <n v="44"/>
    <x v="1"/>
    <d v="2024-10-01T00:00:00"/>
    <d v="2024-11-14T00:00:00"/>
  </r>
  <r>
    <n v="3374"/>
    <n v="19127"/>
    <x v="0"/>
    <n v="109306.43"/>
    <x v="0"/>
    <n v="39"/>
    <x v="0"/>
    <d v="2024-07-19T00:00:00"/>
    <d v="2024-08-27T00:00:00"/>
  </r>
  <r>
    <n v="3375"/>
    <n v="13518"/>
    <x v="3"/>
    <n v="94572.54"/>
    <x v="2"/>
    <m/>
    <x v="3"/>
    <d v="2024-02-20T00:00:00"/>
    <m/>
  </r>
  <r>
    <n v="3376"/>
    <n v="12768"/>
    <x v="3"/>
    <n v="181988.04"/>
    <x v="0"/>
    <n v="24"/>
    <x v="2"/>
    <d v="2024-11-15T00:00:00"/>
    <d v="2024-12-09T00:00:00"/>
  </r>
  <r>
    <n v="3377"/>
    <n v="10495"/>
    <x v="0"/>
    <n v="37736.39"/>
    <x v="0"/>
    <n v="36"/>
    <x v="3"/>
    <d v="2024-09-12T00:00:00"/>
    <d v="2024-10-18T00:00:00"/>
  </r>
  <r>
    <n v="3378"/>
    <n v="13592"/>
    <x v="1"/>
    <n v="6884.92"/>
    <x v="0"/>
    <n v="38"/>
    <x v="1"/>
    <d v="2024-08-28T00:00:00"/>
    <d v="2024-10-05T00:00:00"/>
  </r>
  <r>
    <n v="3379"/>
    <n v="12232"/>
    <x v="3"/>
    <n v="19296.71"/>
    <x v="0"/>
    <n v="33"/>
    <x v="3"/>
    <d v="2024-07-23T00:00:00"/>
    <d v="2024-08-25T00:00:00"/>
  </r>
  <r>
    <n v="3380"/>
    <n v="18048"/>
    <x v="3"/>
    <n v="48557.43"/>
    <x v="2"/>
    <m/>
    <x v="3"/>
    <d v="2024-07-14T00:00:00"/>
    <m/>
  </r>
  <r>
    <n v="3381"/>
    <n v="12935"/>
    <x v="3"/>
    <n v="11490.68"/>
    <x v="0"/>
    <n v="13"/>
    <x v="2"/>
    <d v="2024-08-31T00:00:00"/>
    <d v="2024-09-13T00:00:00"/>
  </r>
  <r>
    <n v="3382"/>
    <n v="16719"/>
    <x v="1"/>
    <n v="103054.52"/>
    <x v="0"/>
    <n v="36"/>
    <x v="1"/>
    <d v="2024-11-15T00:00:00"/>
    <d v="2024-12-21T00:00:00"/>
  </r>
  <r>
    <n v="3383"/>
    <n v="14445"/>
    <x v="3"/>
    <n v="66247.64"/>
    <x v="0"/>
    <n v="42"/>
    <x v="0"/>
    <d v="2024-01-01T00:00:00"/>
    <d v="2024-02-12T00:00:00"/>
  </r>
  <r>
    <n v="3384"/>
    <n v="12367"/>
    <x v="2"/>
    <n v="40194.19"/>
    <x v="0"/>
    <n v="4"/>
    <x v="0"/>
    <d v="2024-03-29T00:00:00"/>
    <d v="2024-04-02T00:00:00"/>
  </r>
  <r>
    <n v="3385"/>
    <n v="16555"/>
    <x v="3"/>
    <n v="151266.39000000001"/>
    <x v="0"/>
    <n v="35"/>
    <x v="2"/>
    <d v="2024-10-08T00:00:00"/>
    <d v="2024-11-12T00:00:00"/>
  </r>
  <r>
    <n v="3386"/>
    <n v="10905"/>
    <x v="3"/>
    <n v="44868.01"/>
    <x v="0"/>
    <n v="39"/>
    <x v="3"/>
    <d v="2024-05-18T00:00:00"/>
    <d v="2024-06-26T00:00:00"/>
  </r>
  <r>
    <n v="3387"/>
    <n v="18168"/>
    <x v="1"/>
    <n v="139082.99"/>
    <x v="0"/>
    <n v="25"/>
    <x v="2"/>
    <d v="2024-03-27T00:00:00"/>
    <d v="2024-04-21T00:00:00"/>
  </r>
  <r>
    <n v="3388"/>
    <n v="17900"/>
    <x v="2"/>
    <n v="73106.66"/>
    <x v="0"/>
    <n v="39"/>
    <x v="2"/>
    <d v="2024-01-02T00:00:00"/>
    <d v="2024-02-10T00:00:00"/>
  </r>
  <r>
    <n v="3389"/>
    <n v="14597"/>
    <x v="0"/>
    <n v="104806.41"/>
    <x v="1"/>
    <n v="18"/>
    <x v="2"/>
    <d v="2024-12-14T00:00:00"/>
    <d v="2025-01-01T00:00:00"/>
  </r>
  <r>
    <n v="3390"/>
    <n v="17653"/>
    <x v="3"/>
    <n v="187104.07"/>
    <x v="0"/>
    <n v="41"/>
    <x v="3"/>
    <d v="2024-06-16T00:00:00"/>
    <d v="2024-07-27T00:00:00"/>
  </r>
  <r>
    <n v="3391"/>
    <n v="15009"/>
    <x v="1"/>
    <n v="12283.57"/>
    <x v="1"/>
    <n v="2"/>
    <x v="1"/>
    <d v="2024-04-28T00:00:00"/>
    <d v="2024-04-30T00:00:00"/>
  </r>
  <r>
    <n v="3392"/>
    <n v="17235"/>
    <x v="1"/>
    <n v="102551.58"/>
    <x v="0"/>
    <n v="9"/>
    <x v="2"/>
    <d v="2024-03-20T00:00:00"/>
    <d v="2024-03-29T00:00:00"/>
  </r>
  <r>
    <n v="3393"/>
    <n v="19707"/>
    <x v="3"/>
    <n v="171612.48"/>
    <x v="1"/>
    <n v="16"/>
    <x v="3"/>
    <d v="2024-04-20T00:00:00"/>
    <d v="2024-05-06T00:00:00"/>
  </r>
  <r>
    <n v="3394"/>
    <n v="17208"/>
    <x v="3"/>
    <n v="119654.98"/>
    <x v="0"/>
    <n v="26"/>
    <x v="1"/>
    <d v="2024-06-13T00:00:00"/>
    <d v="2024-07-09T00:00:00"/>
  </r>
  <r>
    <n v="3395"/>
    <n v="17958"/>
    <x v="3"/>
    <n v="58989.75"/>
    <x v="0"/>
    <n v="9"/>
    <x v="2"/>
    <d v="2024-08-06T00:00:00"/>
    <d v="2024-08-15T00:00:00"/>
  </r>
  <r>
    <n v="3396"/>
    <n v="15288"/>
    <x v="3"/>
    <n v="82547.820000000007"/>
    <x v="0"/>
    <n v="33"/>
    <x v="0"/>
    <d v="2024-01-05T00:00:00"/>
    <d v="2024-02-07T00:00:00"/>
  </r>
  <r>
    <n v="3397"/>
    <n v="17813"/>
    <x v="2"/>
    <n v="137651.79999999999"/>
    <x v="0"/>
    <n v="14"/>
    <x v="1"/>
    <d v="2024-08-02T00:00:00"/>
    <d v="2024-08-16T00:00:00"/>
  </r>
  <r>
    <n v="3398"/>
    <n v="16136"/>
    <x v="3"/>
    <n v="178708.32"/>
    <x v="0"/>
    <n v="16"/>
    <x v="2"/>
    <d v="2024-07-13T00:00:00"/>
    <d v="2024-07-29T00:00:00"/>
  </r>
  <r>
    <n v="3399"/>
    <n v="18303"/>
    <x v="2"/>
    <n v="13007.94"/>
    <x v="0"/>
    <n v="7"/>
    <x v="1"/>
    <d v="2024-10-08T00:00:00"/>
    <d v="2024-10-15T00:00:00"/>
  </r>
  <r>
    <n v="3400"/>
    <n v="16606"/>
    <x v="1"/>
    <n v="18950.07"/>
    <x v="0"/>
    <n v="34"/>
    <x v="1"/>
    <d v="2024-01-06T00:00:00"/>
    <d v="2024-02-09T00:00:00"/>
  </r>
  <r>
    <n v="3401"/>
    <n v="19864"/>
    <x v="1"/>
    <n v="68385.05"/>
    <x v="0"/>
    <n v="8"/>
    <x v="1"/>
    <d v="2024-10-26T00:00:00"/>
    <d v="2024-11-03T00:00:00"/>
  </r>
  <r>
    <n v="3402"/>
    <n v="12302"/>
    <x v="1"/>
    <n v="50392.04"/>
    <x v="0"/>
    <n v="34"/>
    <x v="1"/>
    <d v="2024-02-27T00:00:00"/>
    <d v="2024-04-01T00:00:00"/>
  </r>
  <r>
    <n v="3403"/>
    <n v="19842"/>
    <x v="3"/>
    <n v="56661.52"/>
    <x v="1"/>
    <n v="30"/>
    <x v="1"/>
    <d v="2024-12-02T00:00:00"/>
    <d v="2025-01-01T00:00:00"/>
  </r>
  <r>
    <n v="3404"/>
    <n v="17325"/>
    <x v="3"/>
    <n v="48147.65"/>
    <x v="0"/>
    <n v="39"/>
    <x v="1"/>
    <d v="2024-10-28T00:00:00"/>
    <d v="2024-12-06T00:00:00"/>
  </r>
  <r>
    <n v="3405"/>
    <n v="14395"/>
    <x v="3"/>
    <n v="43185.88"/>
    <x v="0"/>
    <n v="38"/>
    <x v="2"/>
    <d v="2024-04-11T00:00:00"/>
    <d v="2024-05-19T00:00:00"/>
  </r>
  <r>
    <n v="3406"/>
    <n v="13995"/>
    <x v="1"/>
    <n v="30471.67"/>
    <x v="0"/>
    <n v="33"/>
    <x v="0"/>
    <d v="2024-02-17T00:00:00"/>
    <d v="2024-03-21T00:00:00"/>
  </r>
  <r>
    <n v="3407"/>
    <n v="18498"/>
    <x v="3"/>
    <n v="187121.06"/>
    <x v="0"/>
    <n v="4"/>
    <x v="3"/>
    <d v="2024-10-02T00:00:00"/>
    <d v="2024-10-06T00:00:00"/>
  </r>
  <r>
    <n v="3408"/>
    <n v="18312"/>
    <x v="1"/>
    <n v="33116.949999999997"/>
    <x v="0"/>
    <n v="21"/>
    <x v="1"/>
    <d v="2024-06-11T00:00:00"/>
    <d v="2024-07-02T00:00:00"/>
  </r>
  <r>
    <n v="3409"/>
    <n v="17769"/>
    <x v="3"/>
    <n v="44858.74"/>
    <x v="1"/>
    <n v="15"/>
    <x v="3"/>
    <d v="2024-11-27T00:00:00"/>
    <d v="2024-12-12T00:00:00"/>
  </r>
  <r>
    <n v="3410"/>
    <n v="19469"/>
    <x v="3"/>
    <n v="53021.82"/>
    <x v="0"/>
    <n v="29"/>
    <x v="2"/>
    <d v="2024-07-14T00:00:00"/>
    <d v="2024-08-12T00:00:00"/>
  </r>
  <r>
    <n v="3411"/>
    <n v="11427"/>
    <x v="3"/>
    <n v="186937.9"/>
    <x v="0"/>
    <n v="39"/>
    <x v="1"/>
    <d v="2024-12-30T00:00:00"/>
    <d v="2025-02-07T00:00:00"/>
  </r>
  <r>
    <n v="3412"/>
    <n v="15613"/>
    <x v="2"/>
    <n v="152364.26"/>
    <x v="0"/>
    <n v="5"/>
    <x v="0"/>
    <d v="2024-11-19T00:00:00"/>
    <d v="2024-11-24T00:00:00"/>
  </r>
  <r>
    <n v="3413"/>
    <n v="13102"/>
    <x v="1"/>
    <n v="158991.39000000001"/>
    <x v="0"/>
    <n v="16"/>
    <x v="3"/>
    <d v="2024-05-11T00:00:00"/>
    <d v="2024-05-27T00:00:00"/>
  </r>
  <r>
    <n v="3414"/>
    <n v="19377"/>
    <x v="3"/>
    <n v="25427.86"/>
    <x v="1"/>
    <n v="18"/>
    <x v="1"/>
    <d v="2024-03-06T00:00:00"/>
    <d v="2024-03-24T00:00:00"/>
  </r>
  <r>
    <n v="3415"/>
    <n v="11455"/>
    <x v="1"/>
    <n v="168080.43"/>
    <x v="1"/>
    <n v="38"/>
    <x v="2"/>
    <d v="2024-03-23T00:00:00"/>
    <d v="2024-04-30T00:00:00"/>
  </r>
  <r>
    <n v="3416"/>
    <n v="19371"/>
    <x v="3"/>
    <n v="84597.65"/>
    <x v="0"/>
    <n v="25"/>
    <x v="0"/>
    <d v="2024-09-21T00:00:00"/>
    <d v="2024-10-16T00:00:00"/>
  </r>
  <r>
    <n v="3417"/>
    <n v="11346"/>
    <x v="2"/>
    <n v="56250.49"/>
    <x v="0"/>
    <n v="39"/>
    <x v="3"/>
    <d v="2024-08-16T00:00:00"/>
    <d v="2024-09-24T00:00:00"/>
  </r>
  <r>
    <n v="3418"/>
    <n v="18820"/>
    <x v="1"/>
    <n v="117271.27"/>
    <x v="0"/>
    <n v="43"/>
    <x v="3"/>
    <d v="2024-09-29T00:00:00"/>
    <d v="2024-11-11T00:00:00"/>
  </r>
  <r>
    <n v="3419"/>
    <n v="11214"/>
    <x v="3"/>
    <n v="165325.67000000001"/>
    <x v="0"/>
    <n v="42"/>
    <x v="1"/>
    <d v="2024-08-06T00:00:00"/>
    <d v="2024-09-17T00:00:00"/>
  </r>
  <r>
    <n v="3420"/>
    <n v="11961"/>
    <x v="1"/>
    <n v="156837.17000000001"/>
    <x v="0"/>
    <n v="37"/>
    <x v="0"/>
    <d v="2024-08-12T00:00:00"/>
    <d v="2024-09-18T00:00:00"/>
  </r>
  <r>
    <n v="3421"/>
    <n v="12995"/>
    <x v="3"/>
    <n v="178549.51"/>
    <x v="1"/>
    <n v="42"/>
    <x v="0"/>
    <d v="2024-04-22T00:00:00"/>
    <d v="2024-06-03T00:00:00"/>
  </r>
  <r>
    <n v="3422"/>
    <n v="14612"/>
    <x v="2"/>
    <n v="185985.78"/>
    <x v="0"/>
    <n v="9"/>
    <x v="0"/>
    <d v="2024-05-19T00:00:00"/>
    <d v="2024-05-28T00:00:00"/>
  </r>
  <r>
    <n v="3423"/>
    <n v="19739"/>
    <x v="3"/>
    <n v="51433.8"/>
    <x v="0"/>
    <n v="4"/>
    <x v="0"/>
    <d v="2024-07-03T00:00:00"/>
    <d v="2024-07-07T00:00:00"/>
  </r>
  <r>
    <n v="3424"/>
    <n v="15690"/>
    <x v="1"/>
    <n v="87652.29"/>
    <x v="0"/>
    <n v="31"/>
    <x v="2"/>
    <d v="2024-06-21T00:00:00"/>
    <d v="2024-07-22T00:00:00"/>
  </r>
  <r>
    <n v="3425"/>
    <n v="12858"/>
    <x v="3"/>
    <n v="7852.57"/>
    <x v="1"/>
    <n v="23"/>
    <x v="0"/>
    <d v="2024-01-11T00:00:00"/>
    <d v="2024-02-03T00:00:00"/>
  </r>
  <r>
    <n v="3426"/>
    <n v="10761"/>
    <x v="1"/>
    <n v="176467.72"/>
    <x v="0"/>
    <n v="34"/>
    <x v="3"/>
    <d v="2024-06-07T00:00:00"/>
    <d v="2024-07-11T00:00:00"/>
  </r>
  <r>
    <n v="3427"/>
    <n v="15458"/>
    <x v="1"/>
    <n v="35141.57"/>
    <x v="1"/>
    <n v="26"/>
    <x v="3"/>
    <d v="2024-07-23T00:00:00"/>
    <d v="2024-08-18T00:00:00"/>
  </r>
  <r>
    <n v="3428"/>
    <n v="18047"/>
    <x v="1"/>
    <n v="172987.59"/>
    <x v="0"/>
    <n v="31"/>
    <x v="2"/>
    <d v="2024-08-17T00:00:00"/>
    <d v="2024-09-17T00:00:00"/>
  </r>
  <r>
    <n v="3429"/>
    <n v="14902"/>
    <x v="1"/>
    <n v="69230.53"/>
    <x v="0"/>
    <n v="38"/>
    <x v="3"/>
    <d v="2024-01-26T00:00:00"/>
    <d v="2024-03-04T00:00:00"/>
  </r>
  <r>
    <n v="3430"/>
    <n v="18105"/>
    <x v="0"/>
    <n v="76786.05"/>
    <x v="1"/>
    <n v="4"/>
    <x v="3"/>
    <d v="2024-11-14T00:00:00"/>
    <d v="2024-11-18T00:00:00"/>
  </r>
  <r>
    <n v="3431"/>
    <n v="11496"/>
    <x v="3"/>
    <n v="12630.79"/>
    <x v="1"/>
    <n v="5"/>
    <x v="0"/>
    <d v="2024-06-07T00:00:00"/>
    <d v="2024-06-12T00:00:00"/>
  </r>
  <r>
    <n v="3432"/>
    <n v="19435"/>
    <x v="3"/>
    <n v="68741.36"/>
    <x v="0"/>
    <n v="30"/>
    <x v="3"/>
    <d v="2024-10-04T00:00:00"/>
    <d v="2024-11-03T00:00:00"/>
  </r>
  <r>
    <n v="3433"/>
    <n v="14582"/>
    <x v="3"/>
    <n v="178230.92"/>
    <x v="0"/>
    <n v="33"/>
    <x v="2"/>
    <d v="2024-05-27T00:00:00"/>
    <d v="2024-06-29T00:00:00"/>
  </r>
  <r>
    <n v="3434"/>
    <n v="12043"/>
    <x v="2"/>
    <n v="9981.74"/>
    <x v="1"/>
    <n v="24"/>
    <x v="0"/>
    <d v="2024-09-22T00:00:00"/>
    <d v="2024-10-16T00:00:00"/>
  </r>
  <r>
    <n v="3435"/>
    <n v="13376"/>
    <x v="3"/>
    <n v="84233.86"/>
    <x v="0"/>
    <n v="20"/>
    <x v="1"/>
    <d v="2024-03-23T00:00:00"/>
    <d v="2024-04-12T00:00:00"/>
  </r>
  <r>
    <n v="3436"/>
    <n v="18708"/>
    <x v="1"/>
    <n v="11122.93"/>
    <x v="0"/>
    <n v="16"/>
    <x v="0"/>
    <d v="2024-01-26T00:00:00"/>
    <d v="2024-02-11T00:00:00"/>
  </r>
  <r>
    <n v="3437"/>
    <n v="10834"/>
    <x v="1"/>
    <n v="77330.070000000007"/>
    <x v="2"/>
    <m/>
    <x v="2"/>
    <d v="2024-03-11T00:00:00"/>
    <m/>
  </r>
  <r>
    <n v="3438"/>
    <n v="10623"/>
    <x v="3"/>
    <n v="38664.92"/>
    <x v="0"/>
    <n v="24"/>
    <x v="0"/>
    <d v="2024-02-06T00:00:00"/>
    <d v="2024-03-01T00:00:00"/>
  </r>
  <r>
    <n v="3439"/>
    <n v="11047"/>
    <x v="3"/>
    <n v="54182.59"/>
    <x v="0"/>
    <n v="41"/>
    <x v="0"/>
    <d v="2024-05-12T00:00:00"/>
    <d v="2024-06-22T00:00:00"/>
  </r>
  <r>
    <n v="3440"/>
    <n v="11564"/>
    <x v="3"/>
    <n v="176131.68"/>
    <x v="0"/>
    <n v="38"/>
    <x v="2"/>
    <d v="2024-05-05T00:00:00"/>
    <d v="2024-06-12T00:00:00"/>
  </r>
  <r>
    <n v="3441"/>
    <n v="13982"/>
    <x v="3"/>
    <n v="90029.6"/>
    <x v="0"/>
    <n v="2"/>
    <x v="0"/>
    <d v="2024-04-24T00:00:00"/>
    <d v="2024-04-26T00:00:00"/>
  </r>
  <r>
    <n v="3442"/>
    <n v="15440"/>
    <x v="3"/>
    <n v="58390.61"/>
    <x v="0"/>
    <n v="20"/>
    <x v="2"/>
    <d v="2024-04-01T00:00:00"/>
    <d v="2024-04-21T00:00:00"/>
  </r>
  <r>
    <n v="3443"/>
    <n v="10496"/>
    <x v="3"/>
    <n v="119920.98"/>
    <x v="0"/>
    <n v="38"/>
    <x v="2"/>
    <d v="2024-08-29T00:00:00"/>
    <d v="2024-10-06T00:00:00"/>
  </r>
  <r>
    <n v="3444"/>
    <n v="10542"/>
    <x v="0"/>
    <n v="32710.86"/>
    <x v="0"/>
    <n v="36"/>
    <x v="1"/>
    <d v="2024-07-18T00:00:00"/>
    <d v="2024-08-23T00:00:00"/>
  </r>
  <r>
    <n v="3445"/>
    <n v="10915"/>
    <x v="2"/>
    <n v="55581.36"/>
    <x v="0"/>
    <n v="31"/>
    <x v="3"/>
    <d v="2024-07-25T00:00:00"/>
    <d v="2024-08-25T00:00:00"/>
  </r>
  <r>
    <n v="3446"/>
    <n v="11801"/>
    <x v="3"/>
    <n v="111518.35"/>
    <x v="0"/>
    <n v="18"/>
    <x v="3"/>
    <d v="2024-04-26T00:00:00"/>
    <d v="2024-05-14T00:00:00"/>
  </r>
  <r>
    <n v="3447"/>
    <n v="10081"/>
    <x v="3"/>
    <n v="51316.99"/>
    <x v="0"/>
    <n v="40"/>
    <x v="0"/>
    <d v="2024-08-06T00:00:00"/>
    <d v="2024-09-15T00:00:00"/>
  </r>
  <r>
    <n v="3448"/>
    <n v="11179"/>
    <x v="3"/>
    <n v="137429.91"/>
    <x v="2"/>
    <m/>
    <x v="0"/>
    <d v="2024-10-31T00:00:00"/>
    <m/>
  </r>
  <r>
    <n v="3449"/>
    <n v="18357"/>
    <x v="1"/>
    <n v="100840.8"/>
    <x v="0"/>
    <n v="14"/>
    <x v="1"/>
    <d v="2024-08-30T00:00:00"/>
    <d v="2024-09-13T00:00:00"/>
  </r>
  <r>
    <n v="3450"/>
    <n v="12071"/>
    <x v="0"/>
    <n v="155537.87"/>
    <x v="2"/>
    <m/>
    <x v="1"/>
    <d v="2024-10-18T00:00:00"/>
    <m/>
  </r>
  <r>
    <n v="3451"/>
    <n v="18998"/>
    <x v="3"/>
    <n v="189907.68"/>
    <x v="0"/>
    <n v="24"/>
    <x v="1"/>
    <d v="2024-10-08T00:00:00"/>
    <d v="2024-11-01T00:00:00"/>
  </r>
  <r>
    <n v="3452"/>
    <n v="17030"/>
    <x v="3"/>
    <n v="27581.95"/>
    <x v="1"/>
    <n v="44"/>
    <x v="2"/>
    <d v="2024-10-27T00:00:00"/>
    <d v="2024-12-10T00:00:00"/>
  </r>
  <r>
    <n v="3453"/>
    <n v="10331"/>
    <x v="1"/>
    <n v="70259.679999999993"/>
    <x v="0"/>
    <n v="34"/>
    <x v="1"/>
    <d v="2024-11-12T00:00:00"/>
    <d v="2024-12-16T00:00:00"/>
  </r>
  <r>
    <n v="3454"/>
    <n v="17145"/>
    <x v="1"/>
    <n v="67312.070000000007"/>
    <x v="0"/>
    <n v="28"/>
    <x v="1"/>
    <d v="2024-06-20T00:00:00"/>
    <d v="2024-07-18T00:00:00"/>
  </r>
  <r>
    <n v="3455"/>
    <n v="19726"/>
    <x v="3"/>
    <n v="34480.67"/>
    <x v="1"/>
    <n v="36"/>
    <x v="0"/>
    <d v="2024-03-16T00:00:00"/>
    <d v="2024-04-21T00:00:00"/>
  </r>
  <r>
    <n v="3456"/>
    <n v="16979"/>
    <x v="1"/>
    <n v="163009.10999999999"/>
    <x v="1"/>
    <n v="13"/>
    <x v="1"/>
    <d v="2024-07-27T00:00:00"/>
    <d v="2024-08-09T00:00:00"/>
  </r>
  <r>
    <n v="3457"/>
    <n v="18372"/>
    <x v="3"/>
    <n v="153176.35"/>
    <x v="0"/>
    <n v="10"/>
    <x v="2"/>
    <d v="2024-11-09T00:00:00"/>
    <d v="2024-11-19T00:00:00"/>
  </r>
  <r>
    <n v="3458"/>
    <n v="19508"/>
    <x v="3"/>
    <n v="99462.97"/>
    <x v="1"/>
    <n v="35"/>
    <x v="2"/>
    <d v="2024-04-14T00:00:00"/>
    <d v="2024-05-19T00:00:00"/>
  </r>
  <r>
    <n v="3459"/>
    <n v="16112"/>
    <x v="1"/>
    <n v="109865.3"/>
    <x v="0"/>
    <n v="15"/>
    <x v="0"/>
    <d v="2024-01-26T00:00:00"/>
    <d v="2024-02-10T00:00:00"/>
  </r>
  <r>
    <n v="3460"/>
    <n v="19298"/>
    <x v="0"/>
    <n v="16611.11"/>
    <x v="1"/>
    <n v="38"/>
    <x v="1"/>
    <d v="2024-12-16T00:00:00"/>
    <d v="2025-01-23T00:00:00"/>
  </r>
  <r>
    <n v="3461"/>
    <n v="11589"/>
    <x v="3"/>
    <n v="113323.93"/>
    <x v="0"/>
    <n v="4"/>
    <x v="1"/>
    <d v="2024-03-19T00:00:00"/>
    <d v="2024-03-23T00:00:00"/>
  </r>
  <r>
    <n v="3462"/>
    <n v="12486"/>
    <x v="2"/>
    <n v="159311.6"/>
    <x v="0"/>
    <n v="22"/>
    <x v="2"/>
    <d v="2024-05-07T00:00:00"/>
    <d v="2024-05-29T00:00:00"/>
  </r>
  <r>
    <n v="3463"/>
    <n v="15834"/>
    <x v="3"/>
    <n v="116896.38"/>
    <x v="0"/>
    <n v="8"/>
    <x v="1"/>
    <d v="2024-05-16T00:00:00"/>
    <d v="2024-05-24T00:00:00"/>
  </r>
  <r>
    <n v="3464"/>
    <n v="12590"/>
    <x v="1"/>
    <n v="56734.74"/>
    <x v="0"/>
    <n v="34"/>
    <x v="1"/>
    <d v="2024-11-29T00:00:00"/>
    <d v="2025-01-02T00:00:00"/>
  </r>
  <r>
    <n v="3465"/>
    <n v="18679"/>
    <x v="3"/>
    <n v="135171.91"/>
    <x v="1"/>
    <n v="36"/>
    <x v="1"/>
    <d v="2024-02-05T00:00:00"/>
    <d v="2024-03-12T00:00:00"/>
  </r>
  <r>
    <n v="3466"/>
    <n v="18803"/>
    <x v="0"/>
    <n v="75490.240000000005"/>
    <x v="0"/>
    <n v="12"/>
    <x v="3"/>
    <d v="2024-02-28T00:00:00"/>
    <d v="2024-03-11T00:00:00"/>
  </r>
  <r>
    <n v="3467"/>
    <n v="13420"/>
    <x v="2"/>
    <n v="111250.29"/>
    <x v="0"/>
    <n v="33"/>
    <x v="0"/>
    <d v="2024-08-17T00:00:00"/>
    <d v="2024-09-19T00:00:00"/>
  </r>
  <r>
    <n v="3468"/>
    <n v="15208"/>
    <x v="3"/>
    <n v="100075.25"/>
    <x v="0"/>
    <n v="23"/>
    <x v="3"/>
    <d v="2024-05-03T00:00:00"/>
    <d v="2024-05-26T00:00:00"/>
  </r>
  <r>
    <n v="3469"/>
    <n v="19589"/>
    <x v="2"/>
    <n v="79329.13"/>
    <x v="0"/>
    <n v="43"/>
    <x v="0"/>
    <d v="2024-03-28T00:00:00"/>
    <d v="2024-05-10T00:00:00"/>
  </r>
  <r>
    <n v="3470"/>
    <n v="17214"/>
    <x v="0"/>
    <n v="145181.21"/>
    <x v="0"/>
    <n v="20"/>
    <x v="2"/>
    <d v="2024-12-02T00:00:00"/>
    <d v="2024-12-22T00:00:00"/>
  </r>
  <r>
    <n v="3471"/>
    <n v="11456"/>
    <x v="1"/>
    <n v="177355.84"/>
    <x v="0"/>
    <n v="37"/>
    <x v="1"/>
    <d v="2024-05-20T00:00:00"/>
    <d v="2024-06-26T00:00:00"/>
  </r>
  <r>
    <n v="3472"/>
    <n v="19529"/>
    <x v="3"/>
    <n v="6016.44"/>
    <x v="2"/>
    <m/>
    <x v="0"/>
    <d v="2024-09-29T00:00:00"/>
    <m/>
  </r>
  <r>
    <n v="3473"/>
    <n v="14497"/>
    <x v="0"/>
    <n v="187055.22"/>
    <x v="0"/>
    <n v="12"/>
    <x v="3"/>
    <d v="2024-02-20T00:00:00"/>
    <d v="2024-03-03T00:00:00"/>
  </r>
  <r>
    <n v="3474"/>
    <n v="12867"/>
    <x v="0"/>
    <n v="104745.45"/>
    <x v="0"/>
    <n v="42"/>
    <x v="1"/>
    <d v="2024-02-24T00:00:00"/>
    <d v="2024-04-06T00:00:00"/>
  </r>
  <r>
    <n v="3475"/>
    <n v="14583"/>
    <x v="3"/>
    <n v="141642.72"/>
    <x v="1"/>
    <n v="14"/>
    <x v="2"/>
    <d v="2024-12-02T00:00:00"/>
    <d v="2024-12-16T00:00:00"/>
  </r>
  <r>
    <n v="3476"/>
    <n v="15254"/>
    <x v="2"/>
    <n v="171846.79"/>
    <x v="0"/>
    <n v="29"/>
    <x v="0"/>
    <d v="2024-05-29T00:00:00"/>
    <d v="2024-06-27T00:00:00"/>
  </r>
  <r>
    <n v="3477"/>
    <n v="16345"/>
    <x v="3"/>
    <n v="96085.22"/>
    <x v="2"/>
    <m/>
    <x v="0"/>
    <d v="2024-06-01T00:00:00"/>
    <m/>
  </r>
  <r>
    <n v="3478"/>
    <n v="16571"/>
    <x v="3"/>
    <n v="167819.94"/>
    <x v="1"/>
    <n v="14"/>
    <x v="0"/>
    <d v="2024-08-06T00:00:00"/>
    <d v="2024-08-20T00:00:00"/>
  </r>
  <r>
    <n v="3479"/>
    <n v="17083"/>
    <x v="1"/>
    <n v="39635.86"/>
    <x v="0"/>
    <n v="44"/>
    <x v="1"/>
    <d v="2024-08-06T00:00:00"/>
    <d v="2024-09-19T00:00:00"/>
  </r>
  <r>
    <n v="3480"/>
    <n v="15298"/>
    <x v="1"/>
    <n v="36037.67"/>
    <x v="0"/>
    <n v="34"/>
    <x v="3"/>
    <d v="2024-12-07T00:00:00"/>
    <d v="2025-01-10T00:00:00"/>
  </r>
  <r>
    <n v="3481"/>
    <n v="10078"/>
    <x v="1"/>
    <n v="133206.92000000001"/>
    <x v="0"/>
    <n v="9"/>
    <x v="3"/>
    <d v="2024-09-14T00:00:00"/>
    <d v="2024-09-23T00:00:00"/>
  </r>
  <r>
    <n v="3482"/>
    <n v="15652"/>
    <x v="3"/>
    <n v="174677.89"/>
    <x v="0"/>
    <n v="33"/>
    <x v="0"/>
    <d v="2024-02-14T00:00:00"/>
    <d v="2024-03-18T00:00:00"/>
  </r>
  <r>
    <n v="3483"/>
    <n v="10377"/>
    <x v="2"/>
    <n v="179023.1"/>
    <x v="1"/>
    <n v="38"/>
    <x v="2"/>
    <d v="2024-09-25T00:00:00"/>
    <d v="2024-11-02T00:00:00"/>
  </r>
  <r>
    <n v="3484"/>
    <n v="10164"/>
    <x v="3"/>
    <n v="130529.39"/>
    <x v="0"/>
    <n v="5"/>
    <x v="2"/>
    <d v="2024-11-06T00:00:00"/>
    <d v="2024-11-11T00:00:00"/>
  </r>
  <r>
    <n v="3485"/>
    <n v="17967"/>
    <x v="3"/>
    <n v="107470.39999999999"/>
    <x v="0"/>
    <n v="19"/>
    <x v="3"/>
    <d v="2024-06-08T00:00:00"/>
    <d v="2024-06-27T00:00:00"/>
  </r>
  <r>
    <n v="3486"/>
    <n v="19912"/>
    <x v="3"/>
    <n v="69621.649999999994"/>
    <x v="0"/>
    <n v="24"/>
    <x v="2"/>
    <d v="2024-10-04T00:00:00"/>
    <d v="2024-10-28T00:00:00"/>
  </r>
  <r>
    <n v="3487"/>
    <n v="15941"/>
    <x v="1"/>
    <n v="196100.08"/>
    <x v="0"/>
    <n v="30"/>
    <x v="3"/>
    <d v="2024-12-10T00:00:00"/>
    <d v="2025-01-09T00:00:00"/>
  </r>
  <r>
    <n v="3488"/>
    <n v="18346"/>
    <x v="2"/>
    <n v="67340.66"/>
    <x v="0"/>
    <n v="3"/>
    <x v="0"/>
    <d v="2024-02-24T00:00:00"/>
    <d v="2024-02-27T00:00:00"/>
  </r>
  <r>
    <n v="3489"/>
    <n v="11146"/>
    <x v="1"/>
    <n v="150116.29"/>
    <x v="1"/>
    <n v="14"/>
    <x v="3"/>
    <d v="2024-05-24T00:00:00"/>
    <d v="2024-06-07T00:00:00"/>
  </r>
  <r>
    <n v="3490"/>
    <n v="19255"/>
    <x v="0"/>
    <n v="108736.45"/>
    <x v="0"/>
    <n v="17"/>
    <x v="3"/>
    <d v="2024-08-22T00:00:00"/>
    <d v="2024-09-08T00:00:00"/>
  </r>
  <r>
    <n v="3491"/>
    <n v="12216"/>
    <x v="3"/>
    <n v="123659.91"/>
    <x v="0"/>
    <n v="9"/>
    <x v="0"/>
    <d v="2024-06-27T00:00:00"/>
    <d v="2024-07-06T00:00:00"/>
  </r>
  <r>
    <n v="3492"/>
    <n v="15449"/>
    <x v="1"/>
    <n v="81728.710000000006"/>
    <x v="0"/>
    <n v="20"/>
    <x v="2"/>
    <d v="2024-07-26T00:00:00"/>
    <d v="2024-08-15T00:00:00"/>
  </r>
  <r>
    <n v="3493"/>
    <n v="11463"/>
    <x v="3"/>
    <n v="193140.51"/>
    <x v="1"/>
    <n v="33"/>
    <x v="3"/>
    <d v="2024-05-15T00:00:00"/>
    <d v="2024-06-17T00:00:00"/>
  </r>
  <r>
    <n v="3494"/>
    <n v="13470"/>
    <x v="3"/>
    <n v="116478.05"/>
    <x v="0"/>
    <n v="4"/>
    <x v="3"/>
    <d v="2024-12-18T00:00:00"/>
    <d v="2024-12-22T00:00:00"/>
  </r>
  <r>
    <n v="3495"/>
    <n v="11516"/>
    <x v="3"/>
    <n v="187868.59"/>
    <x v="1"/>
    <n v="33"/>
    <x v="0"/>
    <d v="2024-10-01T00:00:00"/>
    <d v="2024-11-03T00:00:00"/>
  </r>
  <r>
    <n v="3496"/>
    <n v="14423"/>
    <x v="1"/>
    <n v="6480.33"/>
    <x v="0"/>
    <n v="42"/>
    <x v="2"/>
    <d v="2024-11-18T00:00:00"/>
    <d v="2024-12-30T00:00:00"/>
  </r>
  <r>
    <n v="3497"/>
    <n v="11526"/>
    <x v="1"/>
    <n v="116670.76"/>
    <x v="2"/>
    <m/>
    <x v="3"/>
    <d v="2024-07-01T00:00:00"/>
    <m/>
  </r>
  <r>
    <n v="3498"/>
    <n v="10788"/>
    <x v="1"/>
    <n v="144851.44"/>
    <x v="0"/>
    <n v="26"/>
    <x v="0"/>
    <d v="2024-03-01T00:00:00"/>
    <d v="2024-03-27T00:00:00"/>
  </r>
  <r>
    <n v="3499"/>
    <n v="16520"/>
    <x v="3"/>
    <n v="150290.63"/>
    <x v="0"/>
    <n v="18"/>
    <x v="3"/>
    <d v="2024-03-03T00:00:00"/>
    <d v="2024-03-21T00:00:00"/>
  </r>
  <r>
    <n v="3500"/>
    <n v="17421"/>
    <x v="3"/>
    <n v="181470.49"/>
    <x v="0"/>
    <n v="26"/>
    <x v="1"/>
    <d v="2024-12-26T00:00:00"/>
    <d v="2025-01-21T00:00:00"/>
  </r>
  <r>
    <n v="3501"/>
    <n v="16577"/>
    <x v="1"/>
    <n v="5858.31"/>
    <x v="0"/>
    <n v="34"/>
    <x v="0"/>
    <d v="2024-08-02T00:00:00"/>
    <d v="2024-09-05T00:00:00"/>
  </r>
  <r>
    <n v="3502"/>
    <n v="12548"/>
    <x v="3"/>
    <n v="5064.38"/>
    <x v="0"/>
    <n v="32"/>
    <x v="2"/>
    <d v="2024-12-25T00:00:00"/>
    <d v="2025-01-26T00:00:00"/>
  </r>
  <r>
    <n v="3503"/>
    <n v="17252"/>
    <x v="0"/>
    <n v="97091.37"/>
    <x v="0"/>
    <n v="37"/>
    <x v="2"/>
    <d v="2024-05-18T00:00:00"/>
    <d v="2024-06-24T00:00:00"/>
  </r>
  <r>
    <n v="3504"/>
    <n v="14608"/>
    <x v="1"/>
    <n v="10712.27"/>
    <x v="0"/>
    <n v="24"/>
    <x v="2"/>
    <d v="2024-05-13T00:00:00"/>
    <d v="2024-06-06T00:00:00"/>
  </r>
  <r>
    <n v="3505"/>
    <n v="18707"/>
    <x v="3"/>
    <n v="195033.85"/>
    <x v="0"/>
    <n v="26"/>
    <x v="2"/>
    <d v="2024-02-03T00:00:00"/>
    <d v="2024-02-29T00:00:00"/>
  </r>
  <r>
    <n v="3506"/>
    <n v="16640"/>
    <x v="2"/>
    <n v="48302.71"/>
    <x v="2"/>
    <m/>
    <x v="3"/>
    <d v="2024-07-11T00:00:00"/>
    <m/>
  </r>
  <r>
    <n v="3507"/>
    <n v="16745"/>
    <x v="1"/>
    <n v="97169.62"/>
    <x v="0"/>
    <n v="14"/>
    <x v="3"/>
    <d v="2024-12-20T00:00:00"/>
    <d v="2025-01-03T00:00:00"/>
  </r>
  <r>
    <n v="3508"/>
    <n v="13062"/>
    <x v="3"/>
    <n v="16921.84"/>
    <x v="1"/>
    <n v="44"/>
    <x v="2"/>
    <d v="2024-11-15T00:00:00"/>
    <d v="2024-12-29T00:00:00"/>
  </r>
  <r>
    <n v="3509"/>
    <n v="15281"/>
    <x v="1"/>
    <n v="106799.44"/>
    <x v="0"/>
    <n v="30"/>
    <x v="2"/>
    <d v="2024-03-27T00:00:00"/>
    <d v="2024-04-26T00:00:00"/>
  </r>
  <r>
    <n v="3510"/>
    <n v="14762"/>
    <x v="3"/>
    <n v="79091.44"/>
    <x v="0"/>
    <n v="17"/>
    <x v="2"/>
    <d v="2024-07-28T00:00:00"/>
    <d v="2024-08-14T00:00:00"/>
  </r>
  <r>
    <n v="3511"/>
    <n v="19759"/>
    <x v="0"/>
    <n v="13708.71"/>
    <x v="0"/>
    <n v="39"/>
    <x v="3"/>
    <d v="2024-03-21T00:00:00"/>
    <d v="2024-04-29T00:00:00"/>
  </r>
  <r>
    <n v="3512"/>
    <n v="19640"/>
    <x v="0"/>
    <n v="70349.23"/>
    <x v="0"/>
    <n v="28"/>
    <x v="2"/>
    <d v="2024-11-17T00:00:00"/>
    <d v="2024-12-15T00:00:00"/>
  </r>
  <r>
    <n v="3513"/>
    <n v="10966"/>
    <x v="2"/>
    <n v="81330.02"/>
    <x v="2"/>
    <m/>
    <x v="2"/>
    <d v="2024-12-04T00:00:00"/>
    <m/>
  </r>
  <r>
    <n v="3514"/>
    <n v="16076"/>
    <x v="1"/>
    <n v="198034.69"/>
    <x v="0"/>
    <n v="12"/>
    <x v="1"/>
    <d v="2024-07-08T00:00:00"/>
    <d v="2024-07-20T00:00:00"/>
  </r>
  <r>
    <n v="3515"/>
    <n v="15694"/>
    <x v="3"/>
    <n v="45537.75"/>
    <x v="1"/>
    <n v="38"/>
    <x v="1"/>
    <d v="2024-12-13T00:00:00"/>
    <d v="2025-01-20T00:00:00"/>
  </r>
  <r>
    <n v="3516"/>
    <n v="18555"/>
    <x v="1"/>
    <n v="111232.02"/>
    <x v="2"/>
    <m/>
    <x v="2"/>
    <d v="2024-08-20T00:00:00"/>
    <m/>
  </r>
  <r>
    <n v="3517"/>
    <n v="10107"/>
    <x v="3"/>
    <n v="197526.53"/>
    <x v="0"/>
    <n v="27"/>
    <x v="0"/>
    <d v="2024-06-17T00:00:00"/>
    <d v="2024-07-14T00:00:00"/>
  </r>
  <r>
    <n v="3518"/>
    <n v="17181"/>
    <x v="1"/>
    <n v="159443.75"/>
    <x v="2"/>
    <m/>
    <x v="2"/>
    <d v="2024-09-07T00:00:00"/>
    <m/>
  </r>
  <r>
    <n v="3519"/>
    <n v="18814"/>
    <x v="1"/>
    <n v="198706.66"/>
    <x v="0"/>
    <n v="34"/>
    <x v="1"/>
    <d v="2024-06-16T00:00:00"/>
    <d v="2024-07-20T00:00:00"/>
  </r>
  <r>
    <n v="3520"/>
    <n v="14416"/>
    <x v="3"/>
    <n v="193818.17"/>
    <x v="2"/>
    <m/>
    <x v="0"/>
    <d v="2024-08-18T00:00:00"/>
    <m/>
  </r>
  <r>
    <n v="3521"/>
    <n v="10509"/>
    <x v="3"/>
    <n v="100460.21"/>
    <x v="1"/>
    <n v="3"/>
    <x v="0"/>
    <d v="2024-05-29T00:00:00"/>
    <d v="2024-06-01T00:00:00"/>
  </r>
  <r>
    <n v="3522"/>
    <n v="16815"/>
    <x v="0"/>
    <n v="140793.29"/>
    <x v="0"/>
    <n v="29"/>
    <x v="2"/>
    <d v="2024-05-31T00:00:00"/>
    <d v="2024-06-29T00:00:00"/>
  </r>
  <r>
    <n v="3523"/>
    <n v="19256"/>
    <x v="0"/>
    <n v="26536.41"/>
    <x v="2"/>
    <m/>
    <x v="1"/>
    <d v="2024-02-07T00:00:00"/>
    <m/>
  </r>
  <r>
    <n v="3524"/>
    <n v="13865"/>
    <x v="3"/>
    <n v="91024.02"/>
    <x v="0"/>
    <n v="39"/>
    <x v="1"/>
    <d v="2024-10-23T00:00:00"/>
    <d v="2024-12-01T00:00:00"/>
  </r>
  <r>
    <n v="3525"/>
    <n v="18495"/>
    <x v="3"/>
    <n v="162758.62"/>
    <x v="0"/>
    <n v="17"/>
    <x v="0"/>
    <d v="2024-10-01T00:00:00"/>
    <d v="2024-10-18T00:00:00"/>
  </r>
  <r>
    <n v="3526"/>
    <n v="19160"/>
    <x v="3"/>
    <n v="103540.39"/>
    <x v="0"/>
    <n v="5"/>
    <x v="2"/>
    <d v="2024-04-14T00:00:00"/>
    <d v="2024-04-19T00:00:00"/>
  </r>
  <r>
    <n v="3527"/>
    <n v="19630"/>
    <x v="0"/>
    <n v="142026.31"/>
    <x v="0"/>
    <n v="9"/>
    <x v="3"/>
    <d v="2024-12-13T00:00:00"/>
    <d v="2024-12-22T00:00:00"/>
  </r>
  <r>
    <n v="3528"/>
    <n v="13871"/>
    <x v="3"/>
    <n v="150421.51"/>
    <x v="0"/>
    <n v="21"/>
    <x v="3"/>
    <d v="2024-12-17T00:00:00"/>
    <d v="2025-01-07T00:00:00"/>
  </r>
  <r>
    <n v="3529"/>
    <n v="15513"/>
    <x v="1"/>
    <n v="54426.48"/>
    <x v="1"/>
    <n v="27"/>
    <x v="1"/>
    <d v="2024-03-02T00:00:00"/>
    <d v="2024-03-29T00:00:00"/>
  </r>
  <r>
    <n v="3530"/>
    <n v="16508"/>
    <x v="3"/>
    <n v="175761.38"/>
    <x v="0"/>
    <n v="33"/>
    <x v="3"/>
    <d v="2024-01-16T00:00:00"/>
    <d v="2024-02-18T00:00:00"/>
  </r>
  <r>
    <n v="3531"/>
    <n v="17164"/>
    <x v="1"/>
    <n v="94665.37"/>
    <x v="0"/>
    <n v="14"/>
    <x v="1"/>
    <d v="2024-12-15T00:00:00"/>
    <d v="2024-12-29T00:00:00"/>
  </r>
  <r>
    <n v="3532"/>
    <n v="13500"/>
    <x v="3"/>
    <n v="45986.1"/>
    <x v="0"/>
    <n v="6"/>
    <x v="1"/>
    <d v="2024-05-29T00:00:00"/>
    <d v="2024-06-04T00:00:00"/>
  </r>
  <r>
    <n v="3533"/>
    <n v="12199"/>
    <x v="1"/>
    <n v="173756.1"/>
    <x v="0"/>
    <n v="43"/>
    <x v="1"/>
    <d v="2024-05-21T00:00:00"/>
    <d v="2024-07-03T00:00:00"/>
  </r>
  <r>
    <n v="3534"/>
    <n v="13901"/>
    <x v="3"/>
    <n v="86474.67"/>
    <x v="1"/>
    <n v="14"/>
    <x v="3"/>
    <d v="2024-04-25T00:00:00"/>
    <d v="2024-05-09T00:00:00"/>
  </r>
  <r>
    <n v="3535"/>
    <n v="17758"/>
    <x v="1"/>
    <n v="151310.93"/>
    <x v="1"/>
    <n v="42"/>
    <x v="1"/>
    <d v="2024-11-07T00:00:00"/>
    <d v="2024-12-19T00:00:00"/>
  </r>
  <r>
    <n v="3536"/>
    <n v="16070"/>
    <x v="3"/>
    <n v="111866.45"/>
    <x v="2"/>
    <m/>
    <x v="0"/>
    <d v="2024-03-05T00:00:00"/>
    <m/>
  </r>
  <r>
    <n v="3537"/>
    <n v="12270"/>
    <x v="1"/>
    <n v="79464.990000000005"/>
    <x v="0"/>
    <n v="38"/>
    <x v="2"/>
    <d v="2024-11-05T00:00:00"/>
    <d v="2024-12-13T00:00:00"/>
  </r>
  <r>
    <n v="3538"/>
    <n v="15385"/>
    <x v="0"/>
    <n v="162925.9"/>
    <x v="0"/>
    <n v="33"/>
    <x v="2"/>
    <d v="2024-07-12T00:00:00"/>
    <d v="2024-08-14T00:00:00"/>
  </r>
  <r>
    <n v="3539"/>
    <n v="10229"/>
    <x v="3"/>
    <n v="118971.64"/>
    <x v="2"/>
    <m/>
    <x v="1"/>
    <d v="2024-12-07T00:00:00"/>
    <m/>
  </r>
  <r>
    <n v="3540"/>
    <n v="12486"/>
    <x v="0"/>
    <n v="81159.61"/>
    <x v="1"/>
    <n v="19"/>
    <x v="2"/>
    <d v="2024-06-09T00:00:00"/>
    <d v="2024-06-28T00:00:00"/>
  </r>
  <r>
    <n v="3541"/>
    <n v="18341"/>
    <x v="1"/>
    <n v="26371.58"/>
    <x v="0"/>
    <n v="30"/>
    <x v="3"/>
    <d v="2024-11-01T00:00:00"/>
    <d v="2024-12-01T00:00:00"/>
  </r>
  <r>
    <n v="3542"/>
    <n v="10909"/>
    <x v="3"/>
    <n v="179611.84"/>
    <x v="0"/>
    <n v="16"/>
    <x v="3"/>
    <d v="2024-12-26T00:00:00"/>
    <d v="2025-01-11T00:00:00"/>
  </r>
  <r>
    <n v="3543"/>
    <n v="10977"/>
    <x v="3"/>
    <n v="11916.57"/>
    <x v="2"/>
    <m/>
    <x v="2"/>
    <d v="2024-10-04T00:00:00"/>
    <m/>
  </r>
  <r>
    <n v="3544"/>
    <n v="10634"/>
    <x v="3"/>
    <n v="173321.53"/>
    <x v="1"/>
    <n v="37"/>
    <x v="3"/>
    <d v="2024-10-22T00:00:00"/>
    <d v="2024-11-28T00:00:00"/>
  </r>
  <r>
    <n v="3545"/>
    <n v="15989"/>
    <x v="1"/>
    <n v="75192.5"/>
    <x v="0"/>
    <n v="6"/>
    <x v="2"/>
    <d v="2024-02-08T00:00:00"/>
    <d v="2024-02-14T00:00:00"/>
  </r>
  <r>
    <n v="3546"/>
    <n v="14717"/>
    <x v="1"/>
    <n v="129671.06"/>
    <x v="1"/>
    <n v="41"/>
    <x v="2"/>
    <d v="2024-12-26T00:00:00"/>
    <d v="2025-02-05T00:00:00"/>
  </r>
  <r>
    <n v="3547"/>
    <n v="12190"/>
    <x v="3"/>
    <n v="184828.95"/>
    <x v="0"/>
    <n v="38"/>
    <x v="2"/>
    <d v="2024-06-17T00:00:00"/>
    <d v="2024-07-25T00:00:00"/>
  </r>
  <r>
    <n v="3548"/>
    <n v="15189"/>
    <x v="1"/>
    <n v="34582.79"/>
    <x v="0"/>
    <n v="34"/>
    <x v="1"/>
    <d v="2024-03-08T00:00:00"/>
    <d v="2024-04-11T00:00:00"/>
  </r>
  <r>
    <n v="3549"/>
    <n v="14939"/>
    <x v="0"/>
    <n v="115555.34"/>
    <x v="0"/>
    <n v="19"/>
    <x v="2"/>
    <d v="2024-01-07T00:00:00"/>
    <d v="2024-01-26T00:00:00"/>
  </r>
  <r>
    <n v="3550"/>
    <n v="17081"/>
    <x v="2"/>
    <n v="154064.41"/>
    <x v="0"/>
    <n v="20"/>
    <x v="1"/>
    <d v="2024-03-25T00:00:00"/>
    <d v="2024-04-14T00:00:00"/>
  </r>
  <r>
    <n v="3551"/>
    <n v="13474"/>
    <x v="1"/>
    <n v="152728.85"/>
    <x v="0"/>
    <n v="33"/>
    <x v="2"/>
    <d v="2024-07-17T00:00:00"/>
    <d v="2024-08-19T00:00:00"/>
  </r>
  <r>
    <n v="3552"/>
    <n v="16695"/>
    <x v="2"/>
    <n v="107498.22"/>
    <x v="0"/>
    <n v="43"/>
    <x v="2"/>
    <d v="2024-05-11T00:00:00"/>
    <d v="2024-06-23T00:00:00"/>
  </r>
  <r>
    <n v="3553"/>
    <n v="17194"/>
    <x v="1"/>
    <n v="126824.19"/>
    <x v="0"/>
    <n v="23"/>
    <x v="2"/>
    <d v="2024-03-16T00:00:00"/>
    <d v="2024-04-08T00:00:00"/>
  </r>
  <r>
    <n v="3554"/>
    <n v="11865"/>
    <x v="3"/>
    <n v="152717.76000000001"/>
    <x v="1"/>
    <n v="42"/>
    <x v="3"/>
    <d v="2024-09-06T00:00:00"/>
    <d v="2024-10-18T00:00:00"/>
  </r>
  <r>
    <n v="3555"/>
    <n v="10298"/>
    <x v="0"/>
    <n v="169000.39"/>
    <x v="2"/>
    <m/>
    <x v="1"/>
    <d v="2024-12-12T00:00:00"/>
    <m/>
  </r>
  <r>
    <n v="3556"/>
    <n v="12739"/>
    <x v="3"/>
    <n v="153553.54999999999"/>
    <x v="0"/>
    <n v="26"/>
    <x v="1"/>
    <d v="2024-07-27T00:00:00"/>
    <d v="2024-08-22T00:00:00"/>
  </r>
  <r>
    <n v="3557"/>
    <n v="16701"/>
    <x v="3"/>
    <n v="74030.960000000006"/>
    <x v="0"/>
    <n v="21"/>
    <x v="2"/>
    <d v="2024-03-24T00:00:00"/>
    <d v="2024-04-14T00:00:00"/>
  </r>
  <r>
    <n v="3558"/>
    <n v="13725"/>
    <x v="3"/>
    <n v="199361.65"/>
    <x v="2"/>
    <m/>
    <x v="2"/>
    <d v="2024-08-10T00:00:00"/>
    <m/>
  </r>
  <r>
    <n v="3559"/>
    <n v="14540"/>
    <x v="0"/>
    <n v="89728.03"/>
    <x v="0"/>
    <n v="7"/>
    <x v="3"/>
    <d v="2024-09-09T00:00:00"/>
    <d v="2024-09-16T00:00:00"/>
  </r>
  <r>
    <n v="3560"/>
    <n v="18289"/>
    <x v="0"/>
    <n v="9770.6200000000008"/>
    <x v="1"/>
    <n v="7"/>
    <x v="3"/>
    <d v="2024-01-31T00:00:00"/>
    <d v="2024-02-07T00:00:00"/>
  </r>
  <r>
    <n v="3561"/>
    <n v="14814"/>
    <x v="3"/>
    <n v="75710.31"/>
    <x v="1"/>
    <n v="38"/>
    <x v="3"/>
    <d v="2024-12-20T00:00:00"/>
    <d v="2025-01-27T00:00:00"/>
  </r>
  <r>
    <n v="3562"/>
    <n v="16134"/>
    <x v="3"/>
    <n v="29917.68"/>
    <x v="0"/>
    <n v="4"/>
    <x v="1"/>
    <d v="2024-07-19T00:00:00"/>
    <d v="2024-07-23T00:00:00"/>
  </r>
  <r>
    <n v="3563"/>
    <n v="13522"/>
    <x v="3"/>
    <n v="28681.31"/>
    <x v="1"/>
    <n v="38"/>
    <x v="1"/>
    <d v="2024-02-21T00:00:00"/>
    <d v="2024-03-30T00:00:00"/>
  </r>
  <r>
    <n v="3564"/>
    <n v="14418"/>
    <x v="1"/>
    <n v="59899.33"/>
    <x v="1"/>
    <n v="32"/>
    <x v="1"/>
    <d v="2024-03-12T00:00:00"/>
    <d v="2024-04-13T00:00:00"/>
  </r>
  <r>
    <n v="3565"/>
    <n v="16818"/>
    <x v="3"/>
    <n v="15408.22"/>
    <x v="0"/>
    <n v="36"/>
    <x v="2"/>
    <d v="2024-01-21T00:00:00"/>
    <d v="2024-02-26T00:00:00"/>
  </r>
  <r>
    <n v="3566"/>
    <n v="18124"/>
    <x v="1"/>
    <n v="139259.88"/>
    <x v="0"/>
    <n v="16"/>
    <x v="1"/>
    <d v="2024-01-16T00:00:00"/>
    <d v="2024-02-01T00:00:00"/>
  </r>
  <r>
    <n v="3567"/>
    <n v="18162"/>
    <x v="3"/>
    <n v="19427.830000000002"/>
    <x v="0"/>
    <n v="18"/>
    <x v="0"/>
    <d v="2024-01-16T00:00:00"/>
    <d v="2024-02-03T00:00:00"/>
  </r>
  <r>
    <n v="3568"/>
    <n v="15489"/>
    <x v="3"/>
    <n v="44641.46"/>
    <x v="0"/>
    <n v="16"/>
    <x v="0"/>
    <d v="2024-06-23T00:00:00"/>
    <d v="2024-07-09T00:00:00"/>
  </r>
  <r>
    <n v="3569"/>
    <n v="16085"/>
    <x v="3"/>
    <n v="23115.439999999999"/>
    <x v="0"/>
    <n v="6"/>
    <x v="3"/>
    <d v="2024-11-07T00:00:00"/>
    <d v="2024-11-13T00:00:00"/>
  </r>
  <r>
    <n v="3570"/>
    <n v="19037"/>
    <x v="3"/>
    <n v="17317.71"/>
    <x v="0"/>
    <n v="23"/>
    <x v="1"/>
    <d v="2024-12-03T00:00:00"/>
    <d v="2024-12-26T00:00:00"/>
  </r>
  <r>
    <n v="3571"/>
    <n v="14185"/>
    <x v="2"/>
    <n v="57211.57"/>
    <x v="0"/>
    <n v="12"/>
    <x v="0"/>
    <d v="2024-03-18T00:00:00"/>
    <d v="2024-03-30T00:00:00"/>
  </r>
  <r>
    <n v="3572"/>
    <n v="14226"/>
    <x v="3"/>
    <n v="116520.3"/>
    <x v="2"/>
    <m/>
    <x v="3"/>
    <d v="2024-08-27T00:00:00"/>
    <m/>
  </r>
  <r>
    <n v="3573"/>
    <n v="18096"/>
    <x v="3"/>
    <n v="193113.68"/>
    <x v="0"/>
    <n v="15"/>
    <x v="1"/>
    <d v="2024-02-06T00:00:00"/>
    <d v="2024-02-21T00:00:00"/>
  </r>
  <r>
    <n v="3574"/>
    <n v="13881"/>
    <x v="3"/>
    <n v="175733.55"/>
    <x v="0"/>
    <n v="40"/>
    <x v="2"/>
    <d v="2024-08-19T00:00:00"/>
    <d v="2024-09-28T00:00:00"/>
  </r>
  <r>
    <n v="3575"/>
    <n v="17692"/>
    <x v="3"/>
    <n v="175807.12"/>
    <x v="0"/>
    <n v="4"/>
    <x v="0"/>
    <d v="2024-07-31T00:00:00"/>
    <d v="2024-08-04T00:00:00"/>
  </r>
  <r>
    <n v="3576"/>
    <n v="19244"/>
    <x v="3"/>
    <n v="39333.07"/>
    <x v="0"/>
    <n v="43"/>
    <x v="2"/>
    <d v="2024-07-11T00:00:00"/>
    <d v="2024-08-23T00:00:00"/>
  </r>
  <r>
    <n v="3577"/>
    <n v="13615"/>
    <x v="3"/>
    <n v="56656.9"/>
    <x v="0"/>
    <n v="12"/>
    <x v="1"/>
    <d v="2024-02-29T00:00:00"/>
    <d v="2024-03-12T00:00:00"/>
  </r>
  <r>
    <n v="3578"/>
    <n v="16805"/>
    <x v="1"/>
    <n v="19896.7"/>
    <x v="0"/>
    <n v="31"/>
    <x v="0"/>
    <d v="2024-07-07T00:00:00"/>
    <d v="2024-08-07T00:00:00"/>
  </r>
  <r>
    <n v="3579"/>
    <n v="13157"/>
    <x v="1"/>
    <n v="156801.32999999999"/>
    <x v="0"/>
    <n v="39"/>
    <x v="1"/>
    <d v="2024-09-23T00:00:00"/>
    <d v="2024-11-01T00:00:00"/>
  </r>
  <r>
    <n v="3580"/>
    <n v="12105"/>
    <x v="3"/>
    <n v="18614.18"/>
    <x v="1"/>
    <n v="6"/>
    <x v="2"/>
    <d v="2024-05-05T00:00:00"/>
    <d v="2024-05-11T00:00:00"/>
  </r>
  <r>
    <n v="3581"/>
    <n v="15176"/>
    <x v="3"/>
    <n v="113555.66"/>
    <x v="2"/>
    <m/>
    <x v="0"/>
    <d v="2024-07-21T00:00:00"/>
    <m/>
  </r>
  <r>
    <n v="3582"/>
    <n v="10993"/>
    <x v="2"/>
    <n v="53335.74"/>
    <x v="0"/>
    <n v="14"/>
    <x v="2"/>
    <d v="2024-11-17T00:00:00"/>
    <d v="2024-12-01T00:00:00"/>
  </r>
  <r>
    <n v="3583"/>
    <n v="13096"/>
    <x v="3"/>
    <n v="52471.9"/>
    <x v="0"/>
    <n v="22"/>
    <x v="1"/>
    <d v="2024-02-01T00:00:00"/>
    <d v="2024-02-23T00:00:00"/>
  </r>
  <r>
    <n v="3584"/>
    <n v="10189"/>
    <x v="3"/>
    <n v="198191.39"/>
    <x v="0"/>
    <n v="38"/>
    <x v="1"/>
    <d v="2024-11-07T00:00:00"/>
    <d v="2024-12-15T00:00:00"/>
  </r>
  <r>
    <n v="3585"/>
    <n v="12898"/>
    <x v="3"/>
    <n v="152572.06"/>
    <x v="1"/>
    <n v="26"/>
    <x v="2"/>
    <d v="2024-09-17T00:00:00"/>
    <d v="2024-10-13T00:00:00"/>
  </r>
  <r>
    <n v="3586"/>
    <n v="15856"/>
    <x v="3"/>
    <n v="168203.17"/>
    <x v="0"/>
    <n v="22"/>
    <x v="0"/>
    <d v="2024-12-11T00:00:00"/>
    <d v="2025-01-02T00:00:00"/>
  </r>
  <r>
    <n v="3587"/>
    <n v="14249"/>
    <x v="1"/>
    <n v="116536.62"/>
    <x v="2"/>
    <m/>
    <x v="2"/>
    <d v="2024-04-03T00:00:00"/>
    <m/>
  </r>
  <r>
    <n v="3588"/>
    <n v="15388"/>
    <x v="3"/>
    <n v="174847.79"/>
    <x v="0"/>
    <n v="42"/>
    <x v="1"/>
    <d v="2024-11-23T00:00:00"/>
    <d v="2025-01-04T00:00:00"/>
  </r>
  <r>
    <n v="3589"/>
    <n v="17046"/>
    <x v="1"/>
    <n v="130870.66"/>
    <x v="0"/>
    <n v="5"/>
    <x v="2"/>
    <d v="2024-04-09T00:00:00"/>
    <d v="2024-04-14T00:00:00"/>
  </r>
  <r>
    <n v="3590"/>
    <n v="13411"/>
    <x v="3"/>
    <n v="189503.87"/>
    <x v="0"/>
    <n v="30"/>
    <x v="1"/>
    <d v="2024-10-11T00:00:00"/>
    <d v="2024-11-10T00:00:00"/>
  </r>
  <r>
    <n v="3591"/>
    <n v="19238"/>
    <x v="3"/>
    <n v="59861.02"/>
    <x v="2"/>
    <m/>
    <x v="2"/>
    <d v="2024-11-10T00:00:00"/>
    <m/>
  </r>
  <r>
    <n v="3592"/>
    <n v="10605"/>
    <x v="1"/>
    <n v="121087.31"/>
    <x v="1"/>
    <n v="24"/>
    <x v="0"/>
    <d v="2024-01-25T00:00:00"/>
    <d v="2024-02-18T00:00:00"/>
  </r>
  <r>
    <n v="3593"/>
    <n v="11366"/>
    <x v="3"/>
    <n v="139575.60999999999"/>
    <x v="0"/>
    <n v="8"/>
    <x v="0"/>
    <d v="2024-12-18T00:00:00"/>
    <d v="2024-12-26T00:00:00"/>
  </r>
  <r>
    <n v="3594"/>
    <n v="16482"/>
    <x v="1"/>
    <n v="81622.77"/>
    <x v="0"/>
    <n v="10"/>
    <x v="2"/>
    <d v="2024-12-22T00:00:00"/>
    <d v="2025-01-01T00:00:00"/>
  </r>
  <r>
    <n v="3595"/>
    <n v="19256"/>
    <x v="3"/>
    <n v="176543.06"/>
    <x v="0"/>
    <n v="24"/>
    <x v="2"/>
    <d v="2024-04-26T00:00:00"/>
    <d v="2024-05-20T00:00:00"/>
  </r>
  <r>
    <n v="3596"/>
    <n v="15795"/>
    <x v="1"/>
    <n v="196061.62"/>
    <x v="0"/>
    <n v="4"/>
    <x v="0"/>
    <d v="2024-07-17T00:00:00"/>
    <d v="2024-07-21T00:00:00"/>
  </r>
  <r>
    <n v="3597"/>
    <n v="10517"/>
    <x v="3"/>
    <n v="101285.05"/>
    <x v="1"/>
    <n v="10"/>
    <x v="1"/>
    <d v="2024-10-05T00:00:00"/>
    <d v="2024-10-15T00:00:00"/>
  </r>
  <r>
    <n v="3598"/>
    <n v="15218"/>
    <x v="0"/>
    <n v="81174.929999999993"/>
    <x v="1"/>
    <n v="5"/>
    <x v="0"/>
    <d v="2024-03-10T00:00:00"/>
    <d v="2024-03-15T00:00:00"/>
  </r>
  <r>
    <n v="3599"/>
    <n v="13807"/>
    <x v="3"/>
    <n v="97027.9"/>
    <x v="1"/>
    <n v="26"/>
    <x v="1"/>
    <d v="2024-11-30T00:00:00"/>
    <d v="2024-12-26T00:00:00"/>
  </r>
  <r>
    <n v="3600"/>
    <n v="15435"/>
    <x v="0"/>
    <n v="171283.67"/>
    <x v="2"/>
    <m/>
    <x v="2"/>
    <d v="2024-03-19T00:00:00"/>
    <m/>
  </r>
  <r>
    <n v="3601"/>
    <n v="12272"/>
    <x v="3"/>
    <n v="130866.34"/>
    <x v="0"/>
    <n v="19"/>
    <x v="2"/>
    <d v="2024-12-19T00:00:00"/>
    <d v="2025-01-07T00:00:00"/>
  </r>
  <r>
    <n v="3602"/>
    <n v="12308"/>
    <x v="1"/>
    <n v="13730.61"/>
    <x v="1"/>
    <n v="8"/>
    <x v="1"/>
    <d v="2024-01-14T00:00:00"/>
    <d v="2024-01-22T00:00:00"/>
  </r>
  <r>
    <n v="3603"/>
    <n v="19294"/>
    <x v="3"/>
    <n v="110723.13"/>
    <x v="1"/>
    <n v="36"/>
    <x v="2"/>
    <d v="2024-01-29T00:00:00"/>
    <d v="2024-03-05T00:00:00"/>
  </r>
  <r>
    <n v="3604"/>
    <n v="14792"/>
    <x v="2"/>
    <n v="8373.52"/>
    <x v="0"/>
    <n v="32"/>
    <x v="1"/>
    <d v="2024-05-23T00:00:00"/>
    <d v="2024-06-24T00:00:00"/>
  </r>
  <r>
    <n v="3605"/>
    <n v="10810"/>
    <x v="3"/>
    <n v="156814.39999999999"/>
    <x v="1"/>
    <n v="39"/>
    <x v="3"/>
    <d v="2024-12-08T00:00:00"/>
    <d v="2025-01-16T00:00:00"/>
  </r>
  <r>
    <n v="3606"/>
    <n v="18268"/>
    <x v="3"/>
    <n v="69020.89"/>
    <x v="0"/>
    <n v="33"/>
    <x v="0"/>
    <d v="2024-01-10T00:00:00"/>
    <d v="2024-02-12T00:00:00"/>
  </r>
  <r>
    <n v="3607"/>
    <n v="12309"/>
    <x v="3"/>
    <n v="97041.46"/>
    <x v="1"/>
    <n v="36"/>
    <x v="3"/>
    <d v="2024-02-16T00:00:00"/>
    <d v="2024-03-23T00:00:00"/>
  </r>
  <r>
    <n v="3608"/>
    <n v="17908"/>
    <x v="3"/>
    <n v="160742.23000000001"/>
    <x v="0"/>
    <n v="29"/>
    <x v="1"/>
    <d v="2024-09-16T00:00:00"/>
    <d v="2024-10-15T00:00:00"/>
  </r>
  <r>
    <n v="3609"/>
    <n v="19217"/>
    <x v="3"/>
    <n v="14057.52"/>
    <x v="0"/>
    <n v="6"/>
    <x v="0"/>
    <d v="2024-01-12T00:00:00"/>
    <d v="2024-01-18T00:00:00"/>
  </r>
  <r>
    <n v="3610"/>
    <n v="14439"/>
    <x v="2"/>
    <n v="35915.599999999999"/>
    <x v="0"/>
    <n v="31"/>
    <x v="1"/>
    <d v="2024-10-24T00:00:00"/>
    <d v="2024-11-24T00:00:00"/>
  </r>
  <r>
    <n v="3611"/>
    <n v="16389"/>
    <x v="2"/>
    <n v="82602.27"/>
    <x v="0"/>
    <n v="23"/>
    <x v="0"/>
    <d v="2024-08-13T00:00:00"/>
    <d v="2024-09-05T00:00:00"/>
  </r>
  <r>
    <n v="3612"/>
    <n v="13558"/>
    <x v="3"/>
    <n v="49835.41"/>
    <x v="0"/>
    <n v="18"/>
    <x v="0"/>
    <d v="2024-09-16T00:00:00"/>
    <d v="2024-10-04T00:00:00"/>
  </r>
  <r>
    <n v="3613"/>
    <n v="18008"/>
    <x v="2"/>
    <n v="70890.78"/>
    <x v="0"/>
    <n v="11"/>
    <x v="0"/>
    <d v="2024-03-24T00:00:00"/>
    <d v="2024-04-04T00:00:00"/>
  </r>
  <r>
    <n v="3614"/>
    <n v="10845"/>
    <x v="1"/>
    <n v="199644.07"/>
    <x v="0"/>
    <n v="8"/>
    <x v="0"/>
    <d v="2024-12-13T00:00:00"/>
    <d v="2024-12-21T00:00:00"/>
  </r>
  <r>
    <n v="3615"/>
    <n v="18884"/>
    <x v="3"/>
    <n v="165955.82"/>
    <x v="0"/>
    <n v="5"/>
    <x v="1"/>
    <d v="2024-12-13T00:00:00"/>
    <d v="2024-12-18T00:00:00"/>
  </r>
  <r>
    <n v="3616"/>
    <n v="11332"/>
    <x v="1"/>
    <n v="177360.85"/>
    <x v="1"/>
    <n v="43"/>
    <x v="0"/>
    <d v="2024-01-06T00:00:00"/>
    <d v="2024-02-18T00:00:00"/>
  </r>
  <r>
    <n v="3617"/>
    <n v="16300"/>
    <x v="1"/>
    <n v="187725.65"/>
    <x v="2"/>
    <m/>
    <x v="0"/>
    <d v="2024-09-03T00:00:00"/>
    <m/>
  </r>
  <r>
    <n v="3618"/>
    <n v="11274"/>
    <x v="2"/>
    <n v="71482.5"/>
    <x v="0"/>
    <n v="8"/>
    <x v="3"/>
    <d v="2024-02-04T00:00:00"/>
    <d v="2024-02-12T00:00:00"/>
  </r>
  <r>
    <n v="3619"/>
    <n v="17166"/>
    <x v="3"/>
    <n v="62930.01"/>
    <x v="1"/>
    <n v="24"/>
    <x v="2"/>
    <d v="2024-06-23T00:00:00"/>
    <d v="2024-07-17T00:00:00"/>
  </r>
  <r>
    <n v="3620"/>
    <n v="19436"/>
    <x v="1"/>
    <n v="50642.19"/>
    <x v="0"/>
    <n v="12"/>
    <x v="2"/>
    <d v="2024-03-05T00:00:00"/>
    <d v="2024-03-17T00:00:00"/>
  </r>
  <r>
    <n v="3621"/>
    <n v="10337"/>
    <x v="3"/>
    <n v="166872.79999999999"/>
    <x v="1"/>
    <n v="9"/>
    <x v="3"/>
    <d v="2024-05-26T00:00:00"/>
    <d v="2024-06-04T00:00:00"/>
  </r>
  <r>
    <n v="3622"/>
    <n v="13294"/>
    <x v="3"/>
    <n v="137512.60999999999"/>
    <x v="0"/>
    <n v="9"/>
    <x v="3"/>
    <d v="2024-02-26T00:00:00"/>
    <d v="2024-03-06T00:00:00"/>
  </r>
  <r>
    <n v="3623"/>
    <n v="10336"/>
    <x v="3"/>
    <n v="51053.54"/>
    <x v="0"/>
    <n v="38"/>
    <x v="1"/>
    <d v="2024-07-11T00:00:00"/>
    <d v="2024-08-18T00:00:00"/>
  </r>
  <r>
    <n v="3624"/>
    <n v="11867"/>
    <x v="2"/>
    <n v="78513.8"/>
    <x v="0"/>
    <n v="6"/>
    <x v="1"/>
    <d v="2024-01-13T00:00:00"/>
    <d v="2024-01-19T00:00:00"/>
  </r>
  <r>
    <n v="3625"/>
    <n v="16914"/>
    <x v="0"/>
    <n v="103808.79"/>
    <x v="0"/>
    <n v="8"/>
    <x v="1"/>
    <d v="2024-01-18T00:00:00"/>
    <d v="2024-01-26T00:00:00"/>
  </r>
  <r>
    <n v="3626"/>
    <n v="10494"/>
    <x v="1"/>
    <n v="107987.31"/>
    <x v="1"/>
    <n v="23"/>
    <x v="3"/>
    <d v="2024-09-02T00:00:00"/>
    <d v="2024-09-25T00:00:00"/>
  </r>
  <r>
    <n v="3627"/>
    <n v="14642"/>
    <x v="1"/>
    <n v="178301.91"/>
    <x v="1"/>
    <n v="37"/>
    <x v="3"/>
    <d v="2024-06-11T00:00:00"/>
    <d v="2024-07-18T00:00:00"/>
  </r>
  <r>
    <n v="3628"/>
    <n v="13886"/>
    <x v="3"/>
    <n v="79210.399999999994"/>
    <x v="0"/>
    <n v="3"/>
    <x v="0"/>
    <d v="2024-12-08T00:00:00"/>
    <d v="2024-12-11T00:00:00"/>
  </r>
  <r>
    <n v="3629"/>
    <n v="18352"/>
    <x v="3"/>
    <n v="182162.19"/>
    <x v="0"/>
    <n v="25"/>
    <x v="1"/>
    <d v="2024-04-23T00:00:00"/>
    <d v="2024-05-18T00:00:00"/>
  </r>
  <r>
    <n v="3630"/>
    <n v="12036"/>
    <x v="3"/>
    <n v="91066.67"/>
    <x v="1"/>
    <n v="3"/>
    <x v="1"/>
    <d v="2024-10-08T00:00:00"/>
    <d v="2024-10-11T00:00:00"/>
  </r>
  <r>
    <n v="3631"/>
    <n v="19933"/>
    <x v="3"/>
    <n v="150542.67000000001"/>
    <x v="1"/>
    <n v="13"/>
    <x v="1"/>
    <d v="2024-08-20T00:00:00"/>
    <d v="2024-09-02T00:00:00"/>
  </r>
  <r>
    <n v="3632"/>
    <n v="19699"/>
    <x v="1"/>
    <n v="186399.59"/>
    <x v="0"/>
    <n v="43"/>
    <x v="2"/>
    <d v="2024-06-14T00:00:00"/>
    <d v="2024-07-27T00:00:00"/>
  </r>
  <r>
    <n v="3633"/>
    <n v="15083"/>
    <x v="1"/>
    <n v="181977.26"/>
    <x v="0"/>
    <n v="27"/>
    <x v="0"/>
    <d v="2024-11-17T00:00:00"/>
    <d v="2024-12-14T00:00:00"/>
  </r>
  <r>
    <n v="3634"/>
    <n v="13560"/>
    <x v="3"/>
    <n v="16105.81"/>
    <x v="0"/>
    <n v="39"/>
    <x v="1"/>
    <d v="2024-01-26T00:00:00"/>
    <d v="2024-03-05T00:00:00"/>
  </r>
  <r>
    <n v="3635"/>
    <n v="19567"/>
    <x v="3"/>
    <n v="45112.34"/>
    <x v="0"/>
    <n v="7"/>
    <x v="1"/>
    <d v="2024-05-05T00:00:00"/>
    <d v="2024-05-12T00:00:00"/>
  </r>
  <r>
    <n v="3636"/>
    <n v="19745"/>
    <x v="3"/>
    <n v="97996.56"/>
    <x v="0"/>
    <n v="24"/>
    <x v="1"/>
    <d v="2024-11-08T00:00:00"/>
    <d v="2024-12-02T00:00:00"/>
  </r>
  <r>
    <n v="3637"/>
    <n v="12281"/>
    <x v="3"/>
    <n v="89153.09"/>
    <x v="0"/>
    <n v="3"/>
    <x v="2"/>
    <d v="2024-10-07T00:00:00"/>
    <d v="2024-10-10T00:00:00"/>
  </r>
  <r>
    <n v="3638"/>
    <n v="11601"/>
    <x v="2"/>
    <n v="129973.87"/>
    <x v="1"/>
    <n v="27"/>
    <x v="2"/>
    <d v="2024-10-12T00:00:00"/>
    <d v="2024-11-08T00:00:00"/>
  </r>
  <r>
    <n v="3639"/>
    <n v="11299"/>
    <x v="1"/>
    <n v="189218.26"/>
    <x v="0"/>
    <n v="15"/>
    <x v="3"/>
    <d v="2024-10-09T00:00:00"/>
    <d v="2024-10-24T00:00:00"/>
  </r>
  <r>
    <n v="3640"/>
    <n v="18902"/>
    <x v="0"/>
    <n v="26918.92"/>
    <x v="2"/>
    <m/>
    <x v="0"/>
    <d v="2024-05-18T00:00:00"/>
    <m/>
  </r>
  <r>
    <n v="3641"/>
    <n v="14167"/>
    <x v="3"/>
    <n v="93112.44"/>
    <x v="1"/>
    <n v="39"/>
    <x v="3"/>
    <d v="2024-04-10T00:00:00"/>
    <d v="2024-05-19T00:00:00"/>
  </r>
  <r>
    <n v="3642"/>
    <n v="12046"/>
    <x v="3"/>
    <n v="42520.15"/>
    <x v="2"/>
    <m/>
    <x v="0"/>
    <d v="2024-01-11T00:00:00"/>
    <m/>
  </r>
  <r>
    <n v="3643"/>
    <n v="12881"/>
    <x v="3"/>
    <n v="179350.98"/>
    <x v="0"/>
    <n v="15"/>
    <x v="2"/>
    <d v="2024-08-03T00:00:00"/>
    <d v="2024-08-18T00:00:00"/>
  </r>
  <r>
    <n v="3644"/>
    <n v="15474"/>
    <x v="0"/>
    <n v="193093.14"/>
    <x v="1"/>
    <n v="31"/>
    <x v="1"/>
    <d v="2024-01-30T00:00:00"/>
    <d v="2024-03-01T00:00:00"/>
  </r>
  <r>
    <n v="3645"/>
    <n v="11817"/>
    <x v="1"/>
    <n v="98346.83"/>
    <x v="0"/>
    <n v="14"/>
    <x v="3"/>
    <d v="2024-04-03T00:00:00"/>
    <d v="2024-04-17T00:00:00"/>
  </r>
  <r>
    <n v="3646"/>
    <n v="12198"/>
    <x v="3"/>
    <n v="25282.01"/>
    <x v="0"/>
    <n v="41"/>
    <x v="1"/>
    <d v="2024-04-25T00:00:00"/>
    <d v="2024-06-05T00:00:00"/>
  </r>
  <r>
    <n v="3647"/>
    <n v="13332"/>
    <x v="1"/>
    <n v="158132.46"/>
    <x v="0"/>
    <n v="32"/>
    <x v="3"/>
    <d v="2024-09-27T00:00:00"/>
    <d v="2024-10-29T00:00:00"/>
  </r>
  <r>
    <n v="3648"/>
    <n v="11103"/>
    <x v="3"/>
    <n v="140942.56"/>
    <x v="0"/>
    <n v="38"/>
    <x v="2"/>
    <d v="2024-10-17T00:00:00"/>
    <d v="2024-11-24T00:00:00"/>
  </r>
  <r>
    <n v="3649"/>
    <n v="13177"/>
    <x v="1"/>
    <n v="74160.81"/>
    <x v="1"/>
    <n v="39"/>
    <x v="2"/>
    <d v="2024-02-08T00:00:00"/>
    <d v="2024-03-18T00:00:00"/>
  </r>
  <r>
    <n v="3650"/>
    <n v="14815"/>
    <x v="2"/>
    <n v="178044.46"/>
    <x v="1"/>
    <n v="23"/>
    <x v="2"/>
    <d v="2024-01-24T00:00:00"/>
    <d v="2024-02-16T00:00:00"/>
  </r>
  <r>
    <n v="3651"/>
    <n v="12177"/>
    <x v="1"/>
    <n v="195287.22"/>
    <x v="0"/>
    <n v="29"/>
    <x v="3"/>
    <d v="2024-09-20T00:00:00"/>
    <d v="2024-10-19T00:00:00"/>
  </r>
  <r>
    <n v="3652"/>
    <n v="11194"/>
    <x v="1"/>
    <n v="113781.5"/>
    <x v="0"/>
    <n v="20"/>
    <x v="0"/>
    <d v="2024-02-12T00:00:00"/>
    <d v="2024-03-03T00:00:00"/>
  </r>
  <r>
    <n v="3653"/>
    <n v="14501"/>
    <x v="3"/>
    <n v="115316.94"/>
    <x v="0"/>
    <n v="44"/>
    <x v="3"/>
    <d v="2024-06-18T00:00:00"/>
    <d v="2024-08-01T00:00:00"/>
  </r>
  <r>
    <n v="3654"/>
    <n v="16041"/>
    <x v="3"/>
    <n v="63015.13"/>
    <x v="0"/>
    <n v="17"/>
    <x v="0"/>
    <d v="2024-12-05T00:00:00"/>
    <d v="2024-12-22T00:00:00"/>
  </r>
  <r>
    <n v="3655"/>
    <n v="18727"/>
    <x v="3"/>
    <n v="118978.68"/>
    <x v="1"/>
    <n v="6"/>
    <x v="3"/>
    <d v="2024-06-17T00:00:00"/>
    <d v="2024-06-23T00:00:00"/>
  </r>
  <r>
    <n v="3656"/>
    <n v="17060"/>
    <x v="3"/>
    <n v="90730.25"/>
    <x v="0"/>
    <n v="3"/>
    <x v="3"/>
    <d v="2024-10-29T00:00:00"/>
    <d v="2024-11-01T00:00:00"/>
  </r>
  <r>
    <n v="3657"/>
    <n v="19261"/>
    <x v="1"/>
    <n v="63927.25"/>
    <x v="2"/>
    <m/>
    <x v="2"/>
    <d v="2024-01-26T00:00:00"/>
    <m/>
  </r>
  <r>
    <n v="3658"/>
    <n v="18324"/>
    <x v="1"/>
    <n v="18101.11"/>
    <x v="0"/>
    <n v="20"/>
    <x v="1"/>
    <d v="2024-06-28T00:00:00"/>
    <d v="2024-07-18T00:00:00"/>
  </r>
  <r>
    <n v="3659"/>
    <n v="10263"/>
    <x v="3"/>
    <n v="54278.03"/>
    <x v="0"/>
    <n v="21"/>
    <x v="1"/>
    <d v="2024-05-29T00:00:00"/>
    <d v="2024-06-19T00:00:00"/>
  </r>
  <r>
    <n v="3660"/>
    <n v="14462"/>
    <x v="0"/>
    <n v="43581.66"/>
    <x v="0"/>
    <n v="30"/>
    <x v="0"/>
    <d v="2024-05-12T00:00:00"/>
    <d v="2024-06-11T00:00:00"/>
  </r>
  <r>
    <n v="3661"/>
    <n v="16968"/>
    <x v="3"/>
    <n v="110698.19"/>
    <x v="0"/>
    <n v="26"/>
    <x v="1"/>
    <d v="2024-05-22T00:00:00"/>
    <d v="2024-06-17T00:00:00"/>
  </r>
  <r>
    <n v="3662"/>
    <n v="12052"/>
    <x v="3"/>
    <n v="122325.65"/>
    <x v="0"/>
    <n v="18"/>
    <x v="3"/>
    <d v="2024-06-12T00:00:00"/>
    <d v="2024-06-30T00:00:00"/>
  </r>
  <r>
    <n v="3663"/>
    <n v="14946"/>
    <x v="3"/>
    <n v="123671.49"/>
    <x v="1"/>
    <n v="14"/>
    <x v="3"/>
    <d v="2024-04-10T00:00:00"/>
    <d v="2024-04-24T00:00:00"/>
  </r>
  <r>
    <n v="3664"/>
    <n v="15825"/>
    <x v="3"/>
    <n v="80695.3"/>
    <x v="1"/>
    <n v="17"/>
    <x v="2"/>
    <d v="2024-03-03T00:00:00"/>
    <d v="2024-03-20T00:00:00"/>
  </r>
  <r>
    <n v="3665"/>
    <n v="16044"/>
    <x v="3"/>
    <n v="87139.8"/>
    <x v="0"/>
    <n v="36"/>
    <x v="2"/>
    <d v="2024-04-02T00:00:00"/>
    <d v="2024-05-08T00:00:00"/>
  </r>
  <r>
    <n v="3666"/>
    <n v="14089"/>
    <x v="3"/>
    <n v="167676.49"/>
    <x v="0"/>
    <n v="37"/>
    <x v="1"/>
    <d v="2024-07-25T00:00:00"/>
    <d v="2024-08-31T00:00:00"/>
  </r>
  <r>
    <n v="3667"/>
    <n v="10357"/>
    <x v="3"/>
    <n v="97865.4"/>
    <x v="0"/>
    <n v="40"/>
    <x v="0"/>
    <d v="2024-11-06T00:00:00"/>
    <d v="2024-12-16T00:00:00"/>
  </r>
  <r>
    <n v="3668"/>
    <n v="15505"/>
    <x v="2"/>
    <n v="197615.8"/>
    <x v="0"/>
    <n v="4"/>
    <x v="1"/>
    <d v="2024-03-12T00:00:00"/>
    <d v="2024-03-16T00:00:00"/>
  </r>
  <r>
    <n v="3669"/>
    <n v="14420"/>
    <x v="3"/>
    <n v="90725.36"/>
    <x v="0"/>
    <n v="10"/>
    <x v="1"/>
    <d v="2024-02-29T00:00:00"/>
    <d v="2024-03-10T00:00:00"/>
  </r>
  <r>
    <n v="3670"/>
    <n v="18942"/>
    <x v="3"/>
    <n v="131668.28"/>
    <x v="0"/>
    <n v="41"/>
    <x v="1"/>
    <d v="2024-01-29T00:00:00"/>
    <d v="2024-03-10T00:00:00"/>
  </r>
  <r>
    <n v="3671"/>
    <n v="13250"/>
    <x v="3"/>
    <n v="14820.78"/>
    <x v="1"/>
    <n v="30"/>
    <x v="1"/>
    <d v="2024-01-19T00:00:00"/>
    <d v="2024-02-18T00:00:00"/>
  </r>
  <r>
    <n v="3672"/>
    <n v="16562"/>
    <x v="1"/>
    <n v="132401.29"/>
    <x v="1"/>
    <n v="6"/>
    <x v="3"/>
    <d v="2024-03-13T00:00:00"/>
    <d v="2024-03-19T00:00:00"/>
  </r>
  <r>
    <n v="3673"/>
    <n v="12258"/>
    <x v="3"/>
    <n v="171028.15"/>
    <x v="2"/>
    <m/>
    <x v="0"/>
    <d v="2024-12-22T00:00:00"/>
    <m/>
  </r>
  <r>
    <n v="3674"/>
    <n v="19102"/>
    <x v="0"/>
    <n v="188779.28"/>
    <x v="0"/>
    <n v="11"/>
    <x v="3"/>
    <d v="2024-09-02T00:00:00"/>
    <d v="2024-09-13T00:00:00"/>
  </r>
  <r>
    <n v="3675"/>
    <n v="13810"/>
    <x v="1"/>
    <n v="199477.52"/>
    <x v="2"/>
    <m/>
    <x v="0"/>
    <d v="2024-11-08T00:00:00"/>
    <m/>
  </r>
  <r>
    <n v="3676"/>
    <n v="10583"/>
    <x v="1"/>
    <n v="60024.84"/>
    <x v="0"/>
    <n v="12"/>
    <x v="2"/>
    <d v="2024-11-19T00:00:00"/>
    <d v="2024-12-01T00:00:00"/>
  </r>
  <r>
    <n v="3677"/>
    <n v="13438"/>
    <x v="1"/>
    <n v="117197.16"/>
    <x v="0"/>
    <n v="18"/>
    <x v="1"/>
    <d v="2024-03-27T00:00:00"/>
    <d v="2024-04-14T00:00:00"/>
  </r>
  <r>
    <n v="3678"/>
    <n v="18768"/>
    <x v="3"/>
    <n v="92890.01"/>
    <x v="2"/>
    <m/>
    <x v="3"/>
    <d v="2024-12-24T00:00:00"/>
    <m/>
  </r>
  <r>
    <n v="3679"/>
    <n v="16357"/>
    <x v="3"/>
    <n v="114944.41"/>
    <x v="0"/>
    <n v="42"/>
    <x v="0"/>
    <d v="2024-07-01T00:00:00"/>
    <d v="2024-08-12T00:00:00"/>
  </r>
  <r>
    <n v="3680"/>
    <n v="19344"/>
    <x v="3"/>
    <n v="35703.33"/>
    <x v="0"/>
    <n v="9"/>
    <x v="2"/>
    <d v="2024-07-15T00:00:00"/>
    <d v="2024-07-24T00:00:00"/>
  </r>
  <r>
    <n v="3681"/>
    <n v="16146"/>
    <x v="1"/>
    <n v="171949.17"/>
    <x v="1"/>
    <n v="3"/>
    <x v="2"/>
    <d v="2024-08-31T00:00:00"/>
    <d v="2024-09-03T00:00:00"/>
  </r>
  <r>
    <n v="3682"/>
    <n v="14990"/>
    <x v="3"/>
    <n v="182365.94"/>
    <x v="2"/>
    <m/>
    <x v="1"/>
    <d v="2024-11-23T00:00:00"/>
    <m/>
  </r>
  <r>
    <n v="3683"/>
    <n v="11783"/>
    <x v="3"/>
    <n v="92684.02"/>
    <x v="1"/>
    <n v="17"/>
    <x v="0"/>
    <d v="2024-04-27T00:00:00"/>
    <d v="2024-05-14T00:00:00"/>
  </r>
  <r>
    <n v="3684"/>
    <n v="11093"/>
    <x v="2"/>
    <n v="59683.82"/>
    <x v="0"/>
    <n v="42"/>
    <x v="3"/>
    <d v="2024-03-22T00:00:00"/>
    <d v="2024-05-03T00:00:00"/>
  </r>
  <r>
    <n v="3685"/>
    <n v="14532"/>
    <x v="3"/>
    <n v="32462.52"/>
    <x v="0"/>
    <n v="42"/>
    <x v="1"/>
    <d v="2024-09-03T00:00:00"/>
    <d v="2024-10-15T00:00:00"/>
  </r>
  <r>
    <n v="3686"/>
    <n v="15117"/>
    <x v="0"/>
    <n v="138334.14000000001"/>
    <x v="2"/>
    <m/>
    <x v="3"/>
    <d v="2024-08-21T00:00:00"/>
    <m/>
  </r>
  <r>
    <n v="3687"/>
    <n v="17938"/>
    <x v="1"/>
    <n v="65885.210000000006"/>
    <x v="0"/>
    <n v="6"/>
    <x v="2"/>
    <d v="2024-12-30T00:00:00"/>
    <d v="2025-01-05T00:00:00"/>
  </r>
  <r>
    <n v="3688"/>
    <n v="16746"/>
    <x v="3"/>
    <n v="182360.02"/>
    <x v="0"/>
    <n v="36"/>
    <x v="3"/>
    <d v="2024-06-01T00:00:00"/>
    <d v="2024-07-07T00:00:00"/>
  </r>
  <r>
    <n v="3689"/>
    <n v="12133"/>
    <x v="3"/>
    <n v="135847.43"/>
    <x v="0"/>
    <n v="15"/>
    <x v="3"/>
    <d v="2024-09-28T00:00:00"/>
    <d v="2024-10-13T00:00:00"/>
  </r>
  <r>
    <n v="3690"/>
    <n v="18709"/>
    <x v="3"/>
    <n v="130908.64"/>
    <x v="0"/>
    <n v="16"/>
    <x v="1"/>
    <d v="2024-02-04T00:00:00"/>
    <d v="2024-02-20T00:00:00"/>
  </r>
  <r>
    <n v="3691"/>
    <n v="18933"/>
    <x v="1"/>
    <n v="114083.41"/>
    <x v="0"/>
    <n v="7"/>
    <x v="3"/>
    <d v="2024-07-31T00:00:00"/>
    <d v="2024-08-07T00:00:00"/>
  </r>
  <r>
    <n v="3692"/>
    <n v="16120"/>
    <x v="1"/>
    <n v="13926.39"/>
    <x v="0"/>
    <n v="17"/>
    <x v="1"/>
    <d v="2024-07-29T00:00:00"/>
    <d v="2024-08-15T00:00:00"/>
  </r>
  <r>
    <n v="3693"/>
    <n v="12477"/>
    <x v="1"/>
    <n v="186724.87"/>
    <x v="0"/>
    <n v="24"/>
    <x v="2"/>
    <d v="2024-05-18T00:00:00"/>
    <d v="2024-06-11T00:00:00"/>
  </r>
  <r>
    <n v="3694"/>
    <n v="14958"/>
    <x v="2"/>
    <n v="127447.81"/>
    <x v="0"/>
    <n v="32"/>
    <x v="1"/>
    <d v="2024-07-07T00:00:00"/>
    <d v="2024-08-08T00:00:00"/>
  </r>
  <r>
    <n v="3695"/>
    <n v="16137"/>
    <x v="1"/>
    <n v="198842.09"/>
    <x v="0"/>
    <n v="43"/>
    <x v="1"/>
    <d v="2024-10-26T00:00:00"/>
    <d v="2024-12-08T00:00:00"/>
  </r>
  <r>
    <n v="3696"/>
    <n v="12876"/>
    <x v="3"/>
    <n v="109784.5"/>
    <x v="0"/>
    <n v="13"/>
    <x v="0"/>
    <d v="2024-09-08T00:00:00"/>
    <d v="2024-09-21T00:00:00"/>
  </r>
  <r>
    <n v="3697"/>
    <n v="10042"/>
    <x v="3"/>
    <n v="143471.62"/>
    <x v="1"/>
    <n v="42"/>
    <x v="3"/>
    <d v="2024-05-29T00:00:00"/>
    <d v="2024-07-10T00:00:00"/>
  </r>
  <r>
    <n v="3698"/>
    <n v="15829"/>
    <x v="0"/>
    <n v="15960.86"/>
    <x v="0"/>
    <n v="20"/>
    <x v="2"/>
    <d v="2024-12-06T00:00:00"/>
    <d v="2024-12-26T00:00:00"/>
  </r>
  <r>
    <n v="3699"/>
    <n v="13441"/>
    <x v="3"/>
    <n v="128188.55"/>
    <x v="0"/>
    <n v="13"/>
    <x v="1"/>
    <d v="2024-08-06T00:00:00"/>
    <d v="2024-08-19T00:00:00"/>
  </r>
  <r>
    <n v="3700"/>
    <n v="18595"/>
    <x v="3"/>
    <n v="154106.67000000001"/>
    <x v="2"/>
    <m/>
    <x v="2"/>
    <d v="2024-03-22T00:00:00"/>
    <m/>
  </r>
  <r>
    <n v="3701"/>
    <n v="19518"/>
    <x v="1"/>
    <n v="156810.29"/>
    <x v="0"/>
    <n v="3"/>
    <x v="0"/>
    <d v="2024-07-08T00:00:00"/>
    <d v="2024-07-11T00:00:00"/>
  </r>
  <r>
    <n v="3702"/>
    <n v="16346"/>
    <x v="3"/>
    <n v="155171.76999999999"/>
    <x v="0"/>
    <n v="21"/>
    <x v="3"/>
    <d v="2024-08-21T00:00:00"/>
    <d v="2024-09-11T00:00:00"/>
  </r>
  <r>
    <n v="3703"/>
    <n v="16849"/>
    <x v="2"/>
    <n v="49125.11"/>
    <x v="0"/>
    <n v="32"/>
    <x v="1"/>
    <d v="2024-06-24T00:00:00"/>
    <d v="2024-07-26T00:00:00"/>
  </r>
  <r>
    <n v="3704"/>
    <n v="16686"/>
    <x v="1"/>
    <n v="195202.7"/>
    <x v="1"/>
    <n v="10"/>
    <x v="3"/>
    <d v="2024-08-19T00:00:00"/>
    <d v="2024-08-29T00:00:00"/>
  </r>
  <r>
    <n v="3705"/>
    <n v="12650"/>
    <x v="3"/>
    <n v="199060.51"/>
    <x v="2"/>
    <m/>
    <x v="0"/>
    <d v="2024-12-23T00:00:00"/>
    <m/>
  </r>
  <r>
    <n v="3706"/>
    <n v="14345"/>
    <x v="2"/>
    <n v="19741.2"/>
    <x v="2"/>
    <m/>
    <x v="0"/>
    <d v="2024-03-03T00:00:00"/>
    <m/>
  </r>
  <r>
    <n v="3707"/>
    <n v="10877"/>
    <x v="3"/>
    <n v="187607.05"/>
    <x v="1"/>
    <n v="40"/>
    <x v="2"/>
    <d v="2024-08-24T00:00:00"/>
    <d v="2024-10-03T00:00:00"/>
  </r>
  <r>
    <n v="3708"/>
    <n v="11886"/>
    <x v="3"/>
    <n v="61442.59"/>
    <x v="0"/>
    <n v="38"/>
    <x v="1"/>
    <d v="2024-02-02T00:00:00"/>
    <d v="2024-03-11T00:00:00"/>
  </r>
  <r>
    <n v="3709"/>
    <n v="11303"/>
    <x v="3"/>
    <n v="139410.4"/>
    <x v="0"/>
    <n v="30"/>
    <x v="2"/>
    <d v="2024-07-31T00:00:00"/>
    <d v="2024-08-30T00:00:00"/>
  </r>
  <r>
    <n v="3710"/>
    <n v="11740"/>
    <x v="3"/>
    <n v="70931.63"/>
    <x v="0"/>
    <n v="20"/>
    <x v="0"/>
    <d v="2024-02-29T00:00:00"/>
    <d v="2024-03-20T00:00:00"/>
  </r>
  <r>
    <n v="3711"/>
    <n v="11112"/>
    <x v="3"/>
    <n v="193712.09"/>
    <x v="0"/>
    <n v="36"/>
    <x v="3"/>
    <d v="2024-01-02T00:00:00"/>
    <d v="2024-02-07T00:00:00"/>
  </r>
  <r>
    <n v="3712"/>
    <n v="13876"/>
    <x v="3"/>
    <n v="24793.25"/>
    <x v="1"/>
    <n v="39"/>
    <x v="2"/>
    <d v="2024-02-26T00:00:00"/>
    <d v="2024-04-05T00:00:00"/>
  </r>
  <r>
    <n v="3713"/>
    <n v="16040"/>
    <x v="3"/>
    <n v="102060.63"/>
    <x v="0"/>
    <n v="27"/>
    <x v="2"/>
    <d v="2024-10-27T00:00:00"/>
    <d v="2024-11-23T00:00:00"/>
  </r>
  <r>
    <n v="3714"/>
    <n v="17452"/>
    <x v="3"/>
    <n v="88469.32"/>
    <x v="0"/>
    <n v="12"/>
    <x v="3"/>
    <d v="2024-10-13T00:00:00"/>
    <d v="2024-10-25T00:00:00"/>
  </r>
  <r>
    <n v="3715"/>
    <n v="16118"/>
    <x v="1"/>
    <n v="68574.570000000007"/>
    <x v="1"/>
    <n v="37"/>
    <x v="2"/>
    <d v="2024-05-17T00:00:00"/>
    <d v="2024-06-23T00:00:00"/>
  </r>
  <r>
    <n v="3716"/>
    <n v="18439"/>
    <x v="0"/>
    <n v="130879.13"/>
    <x v="0"/>
    <n v="36"/>
    <x v="3"/>
    <d v="2024-10-05T00:00:00"/>
    <d v="2024-11-10T00:00:00"/>
  </r>
  <r>
    <n v="3717"/>
    <n v="16795"/>
    <x v="3"/>
    <n v="30555.87"/>
    <x v="0"/>
    <n v="5"/>
    <x v="1"/>
    <d v="2024-08-01T00:00:00"/>
    <d v="2024-08-06T00:00:00"/>
  </r>
  <r>
    <n v="3718"/>
    <n v="17044"/>
    <x v="3"/>
    <n v="144749.17000000001"/>
    <x v="0"/>
    <n v="4"/>
    <x v="3"/>
    <d v="2024-08-26T00:00:00"/>
    <d v="2024-08-30T00:00:00"/>
  </r>
  <r>
    <n v="3719"/>
    <n v="10567"/>
    <x v="3"/>
    <n v="196215.46"/>
    <x v="0"/>
    <n v="13"/>
    <x v="1"/>
    <d v="2024-10-11T00:00:00"/>
    <d v="2024-10-24T00:00:00"/>
  </r>
  <r>
    <n v="3720"/>
    <n v="15958"/>
    <x v="3"/>
    <n v="161888.95000000001"/>
    <x v="0"/>
    <n v="33"/>
    <x v="3"/>
    <d v="2024-01-31T00:00:00"/>
    <d v="2024-03-04T00:00:00"/>
  </r>
  <r>
    <n v="3721"/>
    <n v="19380"/>
    <x v="1"/>
    <n v="172703.27"/>
    <x v="0"/>
    <n v="27"/>
    <x v="0"/>
    <d v="2024-07-24T00:00:00"/>
    <d v="2024-08-20T00:00:00"/>
  </r>
  <r>
    <n v="3722"/>
    <n v="11353"/>
    <x v="1"/>
    <n v="75129.16"/>
    <x v="0"/>
    <n v="44"/>
    <x v="0"/>
    <d v="2024-09-30T00:00:00"/>
    <d v="2024-11-13T00:00:00"/>
  </r>
  <r>
    <n v="3723"/>
    <n v="15029"/>
    <x v="3"/>
    <n v="68352.89"/>
    <x v="1"/>
    <n v="44"/>
    <x v="1"/>
    <d v="2024-01-11T00:00:00"/>
    <d v="2024-02-24T00:00:00"/>
  </r>
  <r>
    <n v="3724"/>
    <n v="19172"/>
    <x v="3"/>
    <n v="105824.43"/>
    <x v="2"/>
    <m/>
    <x v="1"/>
    <d v="2024-12-24T00:00:00"/>
    <m/>
  </r>
  <r>
    <n v="3725"/>
    <n v="14965"/>
    <x v="3"/>
    <n v="13916.69"/>
    <x v="0"/>
    <n v="39"/>
    <x v="0"/>
    <d v="2024-02-16T00:00:00"/>
    <d v="2024-03-26T00:00:00"/>
  </r>
  <r>
    <n v="3726"/>
    <n v="10168"/>
    <x v="1"/>
    <n v="189344.84"/>
    <x v="0"/>
    <n v="30"/>
    <x v="1"/>
    <d v="2024-01-03T00:00:00"/>
    <d v="2024-02-02T00:00:00"/>
  </r>
  <r>
    <n v="3727"/>
    <n v="17712"/>
    <x v="3"/>
    <n v="33038.11"/>
    <x v="1"/>
    <n v="20"/>
    <x v="3"/>
    <d v="2024-05-09T00:00:00"/>
    <d v="2024-05-29T00:00:00"/>
  </r>
  <r>
    <n v="3728"/>
    <n v="12671"/>
    <x v="2"/>
    <n v="181087.54"/>
    <x v="2"/>
    <m/>
    <x v="3"/>
    <d v="2024-03-12T00:00:00"/>
    <m/>
  </r>
  <r>
    <n v="3729"/>
    <n v="10378"/>
    <x v="1"/>
    <n v="21298.53"/>
    <x v="0"/>
    <n v="42"/>
    <x v="0"/>
    <d v="2024-06-07T00:00:00"/>
    <d v="2024-07-19T00:00:00"/>
  </r>
  <r>
    <n v="3730"/>
    <n v="11932"/>
    <x v="3"/>
    <n v="165411.85999999999"/>
    <x v="0"/>
    <n v="28"/>
    <x v="2"/>
    <d v="2024-05-09T00:00:00"/>
    <d v="2024-06-06T00:00:00"/>
  </r>
  <r>
    <n v="3731"/>
    <n v="10193"/>
    <x v="1"/>
    <n v="34632.69"/>
    <x v="1"/>
    <n v="32"/>
    <x v="3"/>
    <d v="2024-01-22T00:00:00"/>
    <d v="2024-02-23T00:00:00"/>
  </r>
  <r>
    <n v="3732"/>
    <n v="18455"/>
    <x v="2"/>
    <n v="12435.66"/>
    <x v="0"/>
    <n v="4"/>
    <x v="1"/>
    <d v="2024-05-14T00:00:00"/>
    <d v="2024-05-18T00:00:00"/>
  </r>
  <r>
    <n v="3733"/>
    <n v="19663"/>
    <x v="1"/>
    <n v="145300.44"/>
    <x v="0"/>
    <n v="36"/>
    <x v="2"/>
    <d v="2024-01-20T00:00:00"/>
    <d v="2024-02-25T00:00:00"/>
  </r>
  <r>
    <n v="3734"/>
    <n v="14616"/>
    <x v="3"/>
    <n v="59651.73"/>
    <x v="0"/>
    <n v="25"/>
    <x v="2"/>
    <d v="2024-08-07T00:00:00"/>
    <d v="2024-09-01T00:00:00"/>
  </r>
  <r>
    <n v="3735"/>
    <n v="15014"/>
    <x v="3"/>
    <n v="144326.75"/>
    <x v="0"/>
    <n v="8"/>
    <x v="3"/>
    <d v="2024-11-28T00:00:00"/>
    <d v="2024-12-06T00:00:00"/>
  </r>
  <r>
    <n v="3736"/>
    <n v="17878"/>
    <x v="0"/>
    <n v="113241.62"/>
    <x v="0"/>
    <n v="36"/>
    <x v="3"/>
    <d v="2024-05-09T00:00:00"/>
    <d v="2024-06-14T00:00:00"/>
  </r>
  <r>
    <n v="3737"/>
    <n v="11300"/>
    <x v="1"/>
    <n v="26217.439999999999"/>
    <x v="0"/>
    <n v="22"/>
    <x v="2"/>
    <d v="2024-02-01T00:00:00"/>
    <d v="2024-02-23T00:00:00"/>
  </r>
  <r>
    <n v="3738"/>
    <n v="13200"/>
    <x v="1"/>
    <n v="186765.36"/>
    <x v="1"/>
    <n v="2"/>
    <x v="2"/>
    <d v="2024-03-30T00:00:00"/>
    <d v="2024-04-01T00:00:00"/>
  </r>
  <r>
    <n v="3739"/>
    <n v="13373"/>
    <x v="0"/>
    <n v="93201.26"/>
    <x v="0"/>
    <n v="7"/>
    <x v="0"/>
    <d v="2024-09-15T00:00:00"/>
    <d v="2024-09-22T00:00:00"/>
  </r>
  <r>
    <n v="3740"/>
    <n v="18765"/>
    <x v="0"/>
    <n v="148217.22"/>
    <x v="0"/>
    <n v="40"/>
    <x v="1"/>
    <d v="2024-10-24T00:00:00"/>
    <d v="2024-12-03T00:00:00"/>
  </r>
  <r>
    <n v="3741"/>
    <n v="19729"/>
    <x v="2"/>
    <n v="102699.01"/>
    <x v="0"/>
    <n v="35"/>
    <x v="0"/>
    <d v="2024-11-28T00:00:00"/>
    <d v="2025-01-02T00:00:00"/>
  </r>
  <r>
    <n v="3742"/>
    <n v="11383"/>
    <x v="3"/>
    <n v="122850.49"/>
    <x v="1"/>
    <n v="19"/>
    <x v="3"/>
    <d v="2024-09-05T00:00:00"/>
    <d v="2024-09-24T00:00:00"/>
  </r>
  <r>
    <n v="3743"/>
    <n v="19572"/>
    <x v="1"/>
    <n v="64040.85"/>
    <x v="0"/>
    <n v="26"/>
    <x v="0"/>
    <d v="2024-06-21T00:00:00"/>
    <d v="2024-07-17T00:00:00"/>
  </r>
  <r>
    <n v="3744"/>
    <n v="13537"/>
    <x v="1"/>
    <n v="44070.26"/>
    <x v="0"/>
    <n v="16"/>
    <x v="0"/>
    <d v="2024-12-22T00:00:00"/>
    <d v="2025-01-07T00:00:00"/>
  </r>
  <r>
    <n v="3745"/>
    <n v="17924"/>
    <x v="1"/>
    <n v="110801.19"/>
    <x v="0"/>
    <n v="33"/>
    <x v="0"/>
    <d v="2024-02-16T00:00:00"/>
    <d v="2024-03-20T00:00:00"/>
  </r>
  <r>
    <n v="3746"/>
    <n v="19715"/>
    <x v="1"/>
    <n v="90842.7"/>
    <x v="1"/>
    <n v="43"/>
    <x v="0"/>
    <d v="2024-07-15T00:00:00"/>
    <d v="2024-08-27T00:00:00"/>
  </r>
  <r>
    <n v="3747"/>
    <n v="14991"/>
    <x v="3"/>
    <n v="81072.08"/>
    <x v="0"/>
    <n v="19"/>
    <x v="1"/>
    <d v="2024-02-03T00:00:00"/>
    <d v="2024-02-22T00:00:00"/>
  </r>
  <r>
    <n v="3748"/>
    <n v="15202"/>
    <x v="1"/>
    <n v="136150.6"/>
    <x v="0"/>
    <n v="32"/>
    <x v="1"/>
    <d v="2024-09-10T00:00:00"/>
    <d v="2024-10-12T00:00:00"/>
  </r>
  <r>
    <n v="3749"/>
    <n v="13932"/>
    <x v="1"/>
    <n v="139648.79"/>
    <x v="0"/>
    <n v="30"/>
    <x v="2"/>
    <d v="2024-09-04T00:00:00"/>
    <d v="2024-10-04T00:00:00"/>
  </r>
  <r>
    <n v="3750"/>
    <n v="13622"/>
    <x v="3"/>
    <n v="13954.41"/>
    <x v="1"/>
    <n v="16"/>
    <x v="3"/>
    <d v="2024-02-11T00:00:00"/>
    <d v="2024-02-27T00:00:00"/>
  </r>
  <r>
    <n v="3751"/>
    <n v="19087"/>
    <x v="3"/>
    <n v="71055.179999999993"/>
    <x v="0"/>
    <n v="24"/>
    <x v="0"/>
    <d v="2024-10-15T00:00:00"/>
    <d v="2024-11-08T00:00:00"/>
  </r>
  <r>
    <n v="3752"/>
    <n v="10464"/>
    <x v="3"/>
    <n v="85294.09"/>
    <x v="1"/>
    <n v="39"/>
    <x v="2"/>
    <d v="2024-05-02T00:00:00"/>
    <d v="2024-06-10T00:00:00"/>
  </r>
  <r>
    <n v="3753"/>
    <n v="17980"/>
    <x v="3"/>
    <n v="23893.97"/>
    <x v="1"/>
    <n v="42"/>
    <x v="2"/>
    <d v="2024-01-27T00:00:00"/>
    <d v="2024-03-09T00:00:00"/>
  </r>
  <r>
    <n v="3754"/>
    <n v="11610"/>
    <x v="3"/>
    <n v="51000.67"/>
    <x v="2"/>
    <m/>
    <x v="2"/>
    <d v="2024-02-28T00:00:00"/>
    <m/>
  </r>
  <r>
    <n v="3755"/>
    <n v="18804"/>
    <x v="3"/>
    <n v="15070.15"/>
    <x v="0"/>
    <n v="16"/>
    <x v="1"/>
    <d v="2024-05-26T00:00:00"/>
    <d v="2024-06-11T00:00:00"/>
  </r>
  <r>
    <n v="3756"/>
    <n v="10604"/>
    <x v="1"/>
    <n v="199267.21"/>
    <x v="2"/>
    <m/>
    <x v="0"/>
    <d v="2024-04-24T00:00:00"/>
    <m/>
  </r>
  <r>
    <n v="3757"/>
    <n v="17967"/>
    <x v="1"/>
    <n v="148628.65"/>
    <x v="0"/>
    <n v="4"/>
    <x v="0"/>
    <d v="2024-07-17T00:00:00"/>
    <d v="2024-07-21T00:00:00"/>
  </r>
  <r>
    <n v="3758"/>
    <n v="10620"/>
    <x v="1"/>
    <n v="22052.78"/>
    <x v="0"/>
    <n v="20"/>
    <x v="3"/>
    <d v="2024-05-07T00:00:00"/>
    <d v="2024-05-27T00:00:00"/>
  </r>
  <r>
    <n v="3759"/>
    <n v="12602"/>
    <x v="0"/>
    <n v="8948.6299999999992"/>
    <x v="1"/>
    <n v="2"/>
    <x v="0"/>
    <d v="2024-06-01T00:00:00"/>
    <d v="2024-06-03T00:00:00"/>
  </r>
  <r>
    <n v="3760"/>
    <n v="16473"/>
    <x v="3"/>
    <n v="145261.12"/>
    <x v="0"/>
    <n v="25"/>
    <x v="0"/>
    <d v="2024-09-27T00:00:00"/>
    <d v="2024-10-22T00:00:00"/>
  </r>
  <r>
    <n v="3761"/>
    <n v="13800"/>
    <x v="3"/>
    <n v="90642.47"/>
    <x v="0"/>
    <n v="12"/>
    <x v="2"/>
    <d v="2024-12-04T00:00:00"/>
    <d v="2024-12-16T00:00:00"/>
  </r>
  <r>
    <n v="3762"/>
    <n v="17098"/>
    <x v="0"/>
    <n v="158425.35999999999"/>
    <x v="0"/>
    <n v="31"/>
    <x v="3"/>
    <d v="2024-03-23T00:00:00"/>
    <d v="2024-04-23T00:00:00"/>
  </r>
  <r>
    <n v="3763"/>
    <n v="16538"/>
    <x v="3"/>
    <n v="185077.83"/>
    <x v="0"/>
    <n v="12"/>
    <x v="0"/>
    <d v="2024-01-23T00:00:00"/>
    <d v="2024-02-04T00:00:00"/>
  </r>
  <r>
    <n v="3764"/>
    <n v="10155"/>
    <x v="2"/>
    <n v="121863.58"/>
    <x v="0"/>
    <n v="40"/>
    <x v="1"/>
    <d v="2024-01-11T00:00:00"/>
    <d v="2024-02-20T00:00:00"/>
  </r>
  <r>
    <n v="3765"/>
    <n v="18160"/>
    <x v="0"/>
    <n v="41486.14"/>
    <x v="1"/>
    <n v="2"/>
    <x v="0"/>
    <d v="2024-07-05T00:00:00"/>
    <d v="2024-07-07T00:00:00"/>
  </r>
  <r>
    <n v="3766"/>
    <n v="16681"/>
    <x v="1"/>
    <n v="157527.84"/>
    <x v="1"/>
    <n v="13"/>
    <x v="2"/>
    <d v="2024-04-25T00:00:00"/>
    <d v="2024-05-08T00:00:00"/>
  </r>
  <r>
    <n v="3767"/>
    <n v="12715"/>
    <x v="2"/>
    <n v="191383.29"/>
    <x v="0"/>
    <n v="5"/>
    <x v="1"/>
    <d v="2024-06-10T00:00:00"/>
    <d v="2024-06-15T00:00:00"/>
  </r>
  <r>
    <n v="3768"/>
    <n v="14339"/>
    <x v="3"/>
    <n v="118145.1"/>
    <x v="0"/>
    <n v="26"/>
    <x v="2"/>
    <d v="2024-04-12T00:00:00"/>
    <d v="2024-05-08T00:00:00"/>
  </r>
  <r>
    <n v="3769"/>
    <n v="18070"/>
    <x v="3"/>
    <n v="137989.5"/>
    <x v="2"/>
    <m/>
    <x v="0"/>
    <d v="2024-08-30T00:00:00"/>
    <m/>
  </r>
  <r>
    <n v="3770"/>
    <n v="16690"/>
    <x v="1"/>
    <n v="70807.570000000007"/>
    <x v="0"/>
    <n v="16"/>
    <x v="1"/>
    <d v="2024-01-07T00:00:00"/>
    <d v="2024-01-23T00:00:00"/>
  </r>
  <r>
    <n v="3771"/>
    <n v="10449"/>
    <x v="3"/>
    <n v="79397.899999999994"/>
    <x v="0"/>
    <n v="44"/>
    <x v="3"/>
    <d v="2024-12-27T00:00:00"/>
    <d v="2025-02-09T00:00:00"/>
  </r>
  <r>
    <n v="3772"/>
    <n v="11069"/>
    <x v="2"/>
    <n v="148257.63"/>
    <x v="0"/>
    <n v="31"/>
    <x v="3"/>
    <d v="2024-06-20T00:00:00"/>
    <d v="2024-07-21T00:00:00"/>
  </r>
  <r>
    <n v="3773"/>
    <n v="14017"/>
    <x v="3"/>
    <n v="185915.36"/>
    <x v="0"/>
    <n v="41"/>
    <x v="1"/>
    <d v="2024-09-12T00:00:00"/>
    <d v="2024-10-23T00:00:00"/>
  </r>
  <r>
    <n v="3774"/>
    <n v="12819"/>
    <x v="1"/>
    <n v="127652.74"/>
    <x v="0"/>
    <n v="33"/>
    <x v="1"/>
    <d v="2024-09-03T00:00:00"/>
    <d v="2024-10-06T00:00:00"/>
  </r>
  <r>
    <n v="3775"/>
    <n v="12285"/>
    <x v="1"/>
    <n v="159020.34"/>
    <x v="0"/>
    <n v="36"/>
    <x v="2"/>
    <d v="2024-07-10T00:00:00"/>
    <d v="2024-08-15T00:00:00"/>
  </r>
  <r>
    <n v="3776"/>
    <n v="19382"/>
    <x v="1"/>
    <n v="38468.83"/>
    <x v="0"/>
    <n v="22"/>
    <x v="1"/>
    <d v="2024-04-23T00:00:00"/>
    <d v="2024-05-15T00:00:00"/>
  </r>
  <r>
    <n v="3777"/>
    <n v="11399"/>
    <x v="3"/>
    <n v="46332.02"/>
    <x v="0"/>
    <n v="32"/>
    <x v="2"/>
    <d v="2024-01-23T00:00:00"/>
    <d v="2024-02-24T00:00:00"/>
  </r>
  <r>
    <n v="3778"/>
    <n v="12248"/>
    <x v="3"/>
    <n v="108746.76"/>
    <x v="0"/>
    <n v="37"/>
    <x v="0"/>
    <d v="2024-12-23T00:00:00"/>
    <d v="2025-01-29T00:00:00"/>
  </r>
  <r>
    <n v="3779"/>
    <n v="16375"/>
    <x v="0"/>
    <n v="39428.07"/>
    <x v="1"/>
    <n v="28"/>
    <x v="2"/>
    <d v="2024-11-09T00:00:00"/>
    <d v="2024-12-07T00:00:00"/>
  </r>
  <r>
    <n v="3780"/>
    <n v="10723"/>
    <x v="3"/>
    <n v="128824.04"/>
    <x v="1"/>
    <n v="9"/>
    <x v="1"/>
    <d v="2024-10-02T00:00:00"/>
    <d v="2024-10-11T00:00:00"/>
  </r>
  <r>
    <n v="3781"/>
    <n v="19633"/>
    <x v="0"/>
    <n v="61872.37"/>
    <x v="0"/>
    <n v="24"/>
    <x v="1"/>
    <d v="2024-05-15T00:00:00"/>
    <d v="2024-06-08T00:00:00"/>
  </r>
  <r>
    <n v="3782"/>
    <n v="15273"/>
    <x v="1"/>
    <n v="159348.85999999999"/>
    <x v="0"/>
    <n v="24"/>
    <x v="0"/>
    <d v="2024-12-22T00:00:00"/>
    <d v="2025-01-15T00:00:00"/>
  </r>
  <r>
    <n v="3783"/>
    <n v="17535"/>
    <x v="1"/>
    <n v="162581.51999999999"/>
    <x v="2"/>
    <m/>
    <x v="1"/>
    <d v="2024-07-13T00:00:00"/>
    <m/>
  </r>
  <r>
    <n v="3784"/>
    <n v="14820"/>
    <x v="1"/>
    <n v="95438.55"/>
    <x v="0"/>
    <n v="34"/>
    <x v="1"/>
    <d v="2024-09-14T00:00:00"/>
    <d v="2024-10-18T00:00:00"/>
  </r>
  <r>
    <n v="3785"/>
    <n v="10086"/>
    <x v="3"/>
    <n v="40258.07"/>
    <x v="1"/>
    <n v="14"/>
    <x v="3"/>
    <d v="2024-10-04T00:00:00"/>
    <d v="2024-10-18T00:00:00"/>
  </r>
  <r>
    <n v="3786"/>
    <n v="17697"/>
    <x v="1"/>
    <n v="131121.12"/>
    <x v="0"/>
    <n v="40"/>
    <x v="3"/>
    <d v="2024-03-10T00:00:00"/>
    <d v="2024-04-19T00:00:00"/>
  </r>
  <r>
    <n v="3787"/>
    <n v="16846"/>
    <x v="0"/>
    <n v="198593.47"/>
    <x v="2"/>
    <m/>
    <x v="0"/>
    <d v="2024-12-24T00:00:00"/>
    <m/>
  </r>
  <r>
    <n v="3788"/>
    <n v="14149"/>
    <x v="3"/>
    <n v="126405.23"/>
    <x v="0"/>
    <n v="17"/>
    <x v="2"/>
    <d v="2024-12-25T00:00:00"/>
    <d v="2025-01-11T00:00:00"/>
  </r>
  <r>
    <n v="3789"/>
    <n v="11751"/>
    <x v="2"/>
    <n v="11976.06"/>
    <x v="0"/>
    <n v="13"/>
    <x v="3"/>
    <d v="2024-02-05T00:00:00"/>
    <d v="2024-02-18T00:00:00"/>
  </r>
  <r>
    <n v="3790"/>
    <n v="15161"/>
    <x v="3"/>
    <n v="8372.33"/>
    <x v="1"/>
    <n v="32"/>
    <x v="2"/>
    <d v="2024-04-17T00:00:00"/>
    <d v="2024-05-19T00:00:00"/>
  </r>
  <r>
    <n v="3791"/>
    <n v="13420"/>
    <x v="3"/>
    <n v="67470.58"/>
    <x v="0"/>
    <n v="6"/>
    <x v="1"/>
    <d v="2024-01-24T00:00:00"/>
    <d v="2024-01-30T00:00:00"/>
  </r>
  <r>
    <n v="3792"/>
    <n v="14837"/>
    <x v="3"/>
    <n v="43177.84"/>
    <x v="0"/>
    <n v="41"/>
    <x v="3"/>
    <d v="2024-05-19T00:00:00"/>
    <d v="2024-06-29T00:00:00"/>
  </r>
  <r>
    <n v="3793"/>
    <n v="12483"/>
    <x v="2"/>
    <n v="163544.99"/>
    <x v="0"/>
    <n v="26"/>
    <x v="0"/>
    <d v="2024-01-22T00:00:00"/>
    <d v="2024-02-17T00:00:00"/>
  </r>
  <r>
    <n v="3794"/>
    <n v="13212"/>
    <x v="3"/>
    <n v="169737.11"/>
    <x v="1"/>
    <n v="22"/>
    <x v="0"/>
    <d v="2024-12-04T00:00:00"/>
    <d v="2024-12-26T00:00:00"/>
  </r>
  <r>
    <n v="3795"/>
    <n v="13922"/>
    <x v="0"/>
    <n v="55430.66"/>
    <x v="0"/>
    <n v="4"/>
    <x v="0"/>
    <d v="2024-11-24T00:00:00"/>
    <d v="2024-11-28T00:00:00"/>
  </r>
  <r>
    <n v="3796"/>
    <n v="16310"/>
    <x v="0"/>
    <n v="68500.73"/>
    <x v="0"/>
    <n v="11"/>
    <x v="3"/>
    <d v="2024-07-22T00:00:00"/>
    <d v="2024-08-02T00:00:00"/>
  </r>
  <r>
    <n v="3797"/>
    <n v="16042"/>
    <x v="3"/>
    <n v="51068.160000000003"/>
    <x v="0"/>
    <n v="24"/>
    <x v="2"/>
    <d v="2024-08-11T00:00:00"/>
    <d v="2024-09-04T00:00:00"/>
  </r>
  <r>
    <n v="3798"/>
    <n v="18013"/>
    <x v="3"/>
    <n v="182134.6"/>
    <x v="0"/>
    <n v="18"/>
    <x v="1"/>
    <d v="2024-08-10T00:00:00"/>
    <d v="2024-08-28T00:00:00"/>
  </r>
  <r>
    <n v="3799"/>
    <n v="19678"/>
    <x v="1"/>
    <n v="103016.62"/>
    <x v="0"/>
    <n v="43"/>
    <x v="2"/>
    <d v="2024-03-21T00:00:00"/>
    <d v="2024-05-03T00:00:00"/>
  </r>
  <r>
    <n v="3800"/>
    <n v="13527"/>
    <x v="3"/>
    <n v="132946.72"/>
    <x v="0"/>
    <n v="36"/>
    <x v="2"/>
    <d v="2024-11-25T00:00:00"/>
    <d v="2024-12-31T00:00:00"/>
  </r>
  <r>
    <n v="3801"/>
    <n v="18264"/>
    <x v="1"/>
    <n v="86019.01"/>
    <x v="0"/>
    <n v="26"/>
    <x v="1"/>
    <d v="2024-07-09T00:00:00"/>
    <d v="2024-08-04T00:00:00"/>
  </r>
  <r>
    <n v="3802"/>
    <n v="18916"/>
    <x v="3"/>
    <n v="128047.77"/>
    <x v="0"/>
    <n v="3"/>
    <x v="1"/>
    <d v="2024-10-12T00:00:00"/>
    <d v="2024-10-15T00:00:00"/>
  </r>
  <r>
    <n v="3803"/>
    <n v="13754"/>
    <x v="3"/>
    <n v="80241.8"/>
    <x v="0"/>
    <n v="28"/>
    <x v="3"/>
    <d v="2024-05-26T00:00:00"/>
    <d v="2024-06-23T00:00:00"/>
  </r>
  <r>
    <n v="3804"/>
    <n v="18162"/>
    <x v="1"/>
    <n v="71237.3"/>
    <x v="0"/>
    <n v="10"/>
    <x v="3"/>
    <d v="2024-10-08T00:00:00"/>
    <d v="2024-10-18T00:00:00"/>
  </r>
  <r>
    <n v="3805"/>
    <n v="14365"/>
    <x v="3"/>
    <n v="128723.61"/>
    <x v="0"/>
    <n v="5"/>
    <x v="3"/>
    <d v="2024-01-11T00:00:00"/>
    <d v="2024-01-16T00:00:00"/>
  </r>
  <r>
    <n v="3806"/>
    <n v="18410"/>
    <x v="3"/>
    <n v="120257.11"/>
    <x v="0"/>
    <n v="27"/>
    <x v="3"/>
    <d v="2024-10-02T00:00:00"/>
    <d v="2024-10-29T00:00:00"/>
  </r>
  <r>
    <n v="3807"/>
    <n v="10546"/>
    <x v="3"/>
    <n v="62237.95"/>
    <x v="2"/>
    <m/>
    <x v="3"/>
    <d v="2024-02-25T00:00:00"/>
    <m/>
  </r>
  <r>
    <n v="3808"/>
    <n v="13729"/>
    <x v="3"/>
    <n v="34122.949999999997"/>
    <x v="0"/>
    <n v="30"/>
    <x v="1"/>
    <d v="2024-06-21T00:00:00"/>
    <d v="2024-07-21T00:00:00"/>
  </r>
  <r>
    <n v="3809"/>
    <n v="17350"/>
    <x v="1"/>
    <n v="76872.460000000006"/>
    <x v="1"/>
    <n v="23"/>
    <x v="2"/>
    <d v="2024-10-29T00:00:00"/>
    <d v="2024-11-21T00:00:00"/>
  </r>
  <r>
    <n v="3810"/>
    <n v="15884"/>
    <x v="0"/>
    <n v="85963.54"/>
    <x v="0"/>
    <n v="14"/>
    <x v="3"/>
    <d v="2024-07-22T00:00:00"/>
    <d v="2024-08-05T00:00:00"/>
  </r>
  <r>
    <n v="3811"/>
    <n v="11968"/>
    <x v="3"/>
    <n v="127593.45"/>
    <x v="0"/>
    <n v="24"/>
    <x v="3"/>
    <d v="2024-12-10T00:00:00"/>
    <d v="2025-01-03T00:00:00"/>
  </r>
  <r>
    <n v="3812"/>
    <n v="14516"/>
    <x v="1"/>
    <n v="183333.11"/>
    <x v="0"/>
    <n v="32"/>
    <x v="2"/>
    <d v="2024-09-04T00:00:00"/>
    <d v="2024-10-06T00:00:00"/>
  </r>
  <r>
    <n v="3813"/>
    <n v="11259"/>
    <x v="1"/>
    <n v="12056.04"/>
    <x v="0"/>
    <n v="42"/>
    <x v="3"/>
    <d v="2024-11-09T00:00:00"/>
    <d v="2024-12-21T00:00:00"/>
  </r>
  <r>
    <n v="3814"/>
    <n v="16992"/>
    <x v="3"/>
    <n v="52513.9"/>
    <x v="2"/>
    <m/>
    <x v="2"/>
    <d v="2024-09-22T00:00:00"/>
    <m/>
  </r>
  <r>
    <n v="3815"/>
    <n v="17756"/>
    <x v="3"/>
    <n v="42774.61"/>
    <x v="2"/>
    <m/>
    <x v="2"/>
    <d v="2024-01-22T00:00:00"/>
    <m/>
  </r>
  <r>
    <n v="3816"/>
    <n v="12933"/>
    <x v="2"/>
    <n v="102947.41"/>
    <x v="1"/>
    <n v="32"/>
    <x v="1"/>
    <d v="2024-11-22T00:00:00"/>
    <d v="2024-12-24T00:00:00"/>
  </r>
  <r>
    <n v="3817"/>
    <n v="12509"/>
    <x v="1"/>
    <n v="88791.66"/>
    <x v="0"/>
    <n v="16"/>
    <x v="0"/>
    <d v="2024-01-24T00:00:00"/>
    <d v="2024-02-09T00:00:00"/>
  </r>
  <r>
    <n v="3818"/>
    <n v="11562"/>
    <x v="1"/>
    <n v="147162.34"/>
    <x v="0"/>
    <n v="15"/>
    <x v="1"/>
    <d v="2024-07-12T00:00:00"/>
    <d v="2024-07-27T00:00:00"/>
  </r>
  <r>
    <n v="3819"/>
    <n v="19981"/>
    <x v="1"/>
    <n v="52271.1"/>
    <x v="0"/>
    <n v="36"/>
    <x v="0"/>
    <d v="2024-04-05T00:00:00"/>
    <d v="2024-05-11T00:00:00"/>
  </r>
  <r>
    <n v="3820"/>
    <n v="18075"/>
    <x v="3"/>
    <n v="120927.18"/>
    <x v="2"/>
    <m/>
    <x v="0"/>
    <d v="2024-09-19T00:00:00"/>
    <m/>
  </r>
  <r>
    <n v="3821"/>
    <n v="13669"/>
    <x v="1"/>
    <n v="177352.17"/>
    <x v="0"/>
    <n v="31"/>
    <x v="0"/>
    <d v="2024-03-12T00:00:00"/>
    <d v="2024-04-12T00:00:00"/>
  </r>
  <r>
    <n v="3822"/>
    <n v="12481"/>
    <x v="1"/>
    <n v="182582.16"/>
    <x v="0"/>
    <n v="31"/>
    <x v="3"/>
    <d v="2024-08-30T00:00:00"/>
    <d v="2024-09-30T00:00:00"/>
  </r>
  <r>
    <n v="3823"/>
    <n v="17198"/>
    <x v="1"/>
    <n v="191963"/>
    <x v="0"/>
    <n v="28"/>
    <x v="1"/>
    <d v="2024-02-07T00:00:00"/>
    <d v="2024-03-06T00:00:00"/>
  </r>
  <r>
    <n v="3824"/>
    <n v="10204"/>
    <x v="3"/>
    <n v="155785.92000000001"/>
    <x v="0"/>
    <n v="41"/>
    <x v="0"/>
    <d v="2024-03-29T00:00:00"/>
    <d v="2024-05-09T00:00:00"/>
  </r>
  <r>
    <n v="3825"/>
    <n v="10741"/>
    <x v="3"/>
    <n v="181667.64"/>
    <x v="2"/>
    <m/>
    <x v="2"/>
    <d v="2024-01-28T00:00:00"/>
    <m/>
  </r>
  <r>
    <n v="3826"/>
    <n v="17049"/>
    <x v="3"/>
    <n v="50733.52"/>
    <x v="0"/>
    <n v="12"/>
    <x v="3"/>
    <d v="2024-04-01T00:00:00"/>
    <d v="2024-04-13T00:00:00"/>
  </r>
  <r>
    <n v="3827"/>
    <n v="14263"/>
    <x v="2"/>
    <n v="43528.28"/>
    <x v="0"/>
    <n v="27"/>
    <x v="1"/>
    <d v="2024-02-23T00:00:00"/>
    <d v="2024-03-21T00:00:00"/>
  </r>
  <r>
    <n v="3828"/>
    <n v="17837"/>
    <x v="3"/>
    <n v="6265.18"/>
    <x v="0"/>
    <n v="22"/>
    <x v="0"/>
    <d v="2024-06-07T00:00:00"/>
    <d v="2024-06-29T00:00:00"/>
  </r>
  <r>
    <n v="3829"/>
    <n v="14737"/>
    <x v="3"/>
    <n v="142834.65"/>
    <x v="1"/>
    <n v="10"/>
    <x v="2"/>
    <d v="2024-08-15T00:00:00"/>
    <d v="2024-08-25T00:00:00"/>
  </r>
  <r>
    <n v="3830"/>
    <n v="11105"/>
    <x v="3"/>
    <n v="187806.1"/>
    <x v="0"/>
    <n v="2"/>
    <x v="1"/>
    <d v="2024-02-10T00:00:00"/>
    <d v="2024-02-12T00:00:00"/>
  </r>
  <r>
    <n v="3831"/>
    <n v="16830"/>
    <x v="3"/>
    <n v="41452.39"/>
    <x v="1"/>
    <n v="7"/>
    <x v="1"/>
    <d v="2024-02-06T00:00:00"/>
    <d v="2024-02-13T00:00:00"/>
  </r>
  <r>
    <n v="3832"/>
    <n v="14197"/>
    <x v="1"/>
    <n v="129204"/>
    <x v="0"/>
    <n v="2"/>
    <x v="3"/>
    <d v="2024-05-04T00:00:00"/>
    <d v="2024-05-06T00:00:00"/>
  </r>
  <r>
    <n v="3833"/>
    <n v="10088"/>
    <x v="1"/>
    <n v="150559.65"/>
    <x v="1"/>
    <n v="23"/>
    <x v="1"/>
    <d v="2024-06-27T00:00:00"/>
    <d v="2024-07-20T00:00:00"/>
  </r>
  <r>
    <n v="3834"/>
    <n v="16488"/>
    <x v="1"/>
    <n v="185884.78"/>
    <x v="1"/>
    <n v="14"/>
    <x v="3"/>
    <d v="2024-11-27T00:00:00"/>
    <d v="2024-12-11T00:00:00"/>
  </r>
  <r>
    <n v="3835"/>
    <n v="13381"/>
    <x v="3"/>
    <n v="131137.74"/>
    <x v="0"/>
    <n v="39"/>
    <x v="0"/>
    <d v="2024-02-06T00:00:00"/>
    <d v="2024-03-16T00:00:00"/>
  </r>
  <r>
    <n v="3836"/>
    <n v="13185"/>
    <x v="1"/>
    <n v="194207.28"/>
    <x v="0"/>
    <n v="42"/>
    <x v="3"/>
    <d v="2024-04-10T00:00:00"/>
    <d v="2024-05-22T00:00:00"/>
  </r>
  <r>
    <n v="3837"/>
    <n v="16679"/>
    <x v="3"/>
    <n v="72211.259999999995"/>
    <x v="0"/>
    <n v="41"/>
    <x v="2"/>
    <d v="2024-01-31T00:00:00"/>
    <d v="2024-03-12T00:00:00"/>
  </r>
  <r>
    <n v="3838"/>
    <n v="16306"/>
    <x v="3"/>
    <n v="73236.06"/>
    <x v="0"/>
    <n v="32"/>
    <x v="3"/>
    <d v="2024-07-08T00:00:00"/>
    <d v="2024-08-09T00:00:00"/>
  </r>
  <r>
    <n v="3839"/>
    <n v="10864"/>
    <x v="3"/>
    <n v="110887.44"/>
    <x v="1"/>
    <n v="16"/>
    <x v="2"/>
    <d v="2024-05-25T00:00:00"/>
    <d v="2024-06-10T00:00:00"/>
  </r>
  <r>
    <n v="3840"/>
    <n v="18246"/>
    <x v="3"/>
    <n v="79782.87"/>
    <x v="0"/>
    <n v="3"/>
    <x v="3"/>
    <d v="2024-03-30T00:00:00"/>
    <d v="2024-04-02T00:00:00"/>
  </r>
  <r>
    <n v="3841"/>
    <n v="14671"/>
    <x v="3"/>
    <n v="5278.02"/>
    <x v="0"/>
    <n v="32"/>
    <x v="1"/>
    <d v="2024-01-06T00:00:00"/>
    <d v="2024-02-07T00:00:00"/>
  </r>
  <r>
    <n v="3842"/>
    <n v="10557"/>
    <x v="1"/>
    <n v="147695.54"/>
    <x v="0"/>
    <n v="27"/>
    <x v="0"/>
    <d v="2024-05-18T00:00:00"/>
    <d v="2024-06-14T00:00:00"/>
  </r>
  <r>
    <n v="3843"/>
    <n v="19184"/>
    <x v="1"/>
    <n v="151584.82"/>
    <x v="0"/>
    <n v="3"/>
    <x v="2"/>
    <d v="2024-04-04T00:00:00"/>
    <d v="2024-04-07T00:00:00"/>
  </r>
  <r>
    <n v="3844"/>
    <n v="14291"/>
    <x v="0"/>
    <n v="150660.04999999999"/>
    <x v="1"/>
    <n v="12"/>
    <x v="3"/>
    <d v="2024-04-28T00:00:00"/>
    <d v="2024-05-10T00:00:00"/>
  </r>
  <r>
    <n v="3845"/>
    <n v="10447"/>
    <x v="3"/>
    <n v="72279.03"/>
    <x v="0"/>
    <n v="34"/>
    <x v="3"/>
    <d v="2024-04-29T00:00:00"/>
    <d v="2024-06-02T00:00:00"/>
  </r>
  <r>
    <n v="3846"/>
    <n v="11821"/>
    <x v="3"/>
    <n v="106846.45"/>
    <x v="2"/>
    <m/>
    <x v="3"/>
    <d v="2024-05-02T00:00:00"/>
    <m/>
  </r>
  <r>
    <n v="3847"/>
    <n v="13819"/>
    <x v="3"/>
    <n v="75194.84"/>
    <x v="2"/>
    <m/>
    <x v="1"/>
    <d v="2024-10-11T00:00:00"/>
    <m/>
  </r>
  <r>
    <n v="3848"/>
    <n v="10091"/>
    <x v="2"/>
    <n v="8127.1"/>
    <x v="0"/>
    <n v="32"/>
    <x v="1"/>
    <d v="2024-06-27T00:00:00"/>
    <d v="2024-07-29T00:00:00"/>
  </r>
  <r>
    <n v="3849"/>
    <n v="10607"/>
    <x v="1"/>
    <n v="114677.54"/>
    <x v="0"/>
    <n v="27"/>
    <x v="2"/>
    <d v="2024-11-20T00:00:00"/>
    <d v="2024-12-17T00:00:00"/>
  </r>
  <r>
    <n v="3850"/>
    <n v="19443"/>
    <x v="1"/>
    <n v="29133.33"/>
    <x v="1"/>
    <n v="31"/>
    <x v="2"/>
    <d v="2024-01-07T00:00:00"/>
    <d v="2024-02-07T00:00:00"/>
  </r>
  <r>
    <n v="3851"/>
    <n v="10285"/>
    <x v="3"/>
    <n v="20608.060000000001"/>
    <x v="0"/>
    <n v="40"/>
    <x v="1"/>
    <d v="2024-11-07T00:00:00"/>
    <d v="2024-12-17T00:00:00"/>
  </r>
  <r>
    <n v="3852"/>
    <n v="12921"/>
    <x v="1"/>
    <n v="152322.32"/>
    <x v="0"/>
    <n v="22"/>
    <x v="2"/>
    <d v="2024-05-06T00:00:00"/>
    <d v="2024-05-28T00:00:00"/>
  </r>
  <r>
    <n v="3853"/>
    <n v="10101"/>
    <x v="3"/>
    <n v="6853.71"/>
    <x v="0"/>
    <n v="17"/>
    <x v="0"/>
    <d v="2024-03-17T00:00:00"/>
    <d v="2024-04-03T00:00:00"/>
  </r>
  <r>
    <n v="3854"/>
    <n v="13835"/>
    <x v="1"/>
    <n v="192006.65"/>
    <x v="0"/>
    <n v="8"/>
    <x v="0"/>
    <d v="2024-08-21T00:00:00"/>
    <d v="2024-08-29T00:00:00"/>
  </r>
  <r>
    <n v="3855"/>
    <n v="18169"/>
    <x v="2"/>
    <n v="105474.8"/>
    <x v="1"/>
    <n v="23"/>
    <x v="1"/>
    <d v="2024-11-13T00:00:00"/>
    <d v="2024-12-06T00:00:00"/>
  </r>
  <r>
    <n v="3856"/>
    <n v="14235"/>
    <x v="2"/>
    <n v="196688.2"/>
    <x v="0"/>
    <n v="8"/>
    <x v="2"/>
    <d v="2024-03-14T00:00:00"/>
    <d v="2024-03-22T00:00:00"/>
  </r>
  <r>
    <n v="3857"/>
    <n v="19870"/>
    <x v="1"/>
    <n v="16309.53"/>
    <x v="0"/>
    <n v="3"/>
    <x v="3"/>
    <d v="2024-09-27T00:00:00"/>
    <d v="2024-09-30T00:00:00"/>
  </r>
  <r>
    <n v="3858"/>
    <n v="17509"/>
    <x v="3"/>
    <n v="118788.26"/>
    <x v="2"/>
    <m/>
    <x v="0"/>
    <d v="2024-11-04T00:00:00"/>
    <m/>
  </r>
  <r>
    <n v="3859"/>
    <n v="16716"/>
    <x v="2"/>
    <n v="73118.77"/>
    <x v="1"/>
    <n v="15"/>
    <x v="1"/>
    <d v="2024-04-29T00:00:00"/>
    <d v="2024-05-14T00:00:00"/>
  </r>
  <r>
    <n v="3860"/>
    <n v="10534"/>
    <x v="1"/>
    <n v="169479.09"/>
    <x v="0"/>
    <n v="9"/>
    <x v="2"/>
    <d v="2024-02-04T00:00:00"/>
    <d v="2024-02-13T00:00:00"/>
  </r>
  <r>
    <n v="3861"/>
    <n v="16666"/>
    <x v="3"/>
    <n v="75438.429999999993"/>
    <x v="1"/>
    <n v="30"/>
    <x v="1"/>
    <d v="2024-07-25T00:00:00"/>
    <d v="2024-08-24T00:00:00"/>
  </r>
  <r>
    <n v="3862"/>
    <n v="18207"/>
    <x v="3"/>
    <n v="55795.08"/>
    <x v="0"/>
    <n v="8"/>
    <x v="3"/>
    <d v="2024-09-26T00:00:00"/>
    <d v="2024-10-04T00:00:00"/>
  </r>
  <r>
    <n v="3863"/>
    <n v="18752"/>
    <x v="3"/>
    <n v="172222.86"/>
    <x v="1"/>
    <n v="39"/>
    <x v="0"/>
    <d v="2024-04-02T00:00:00"/>
    <d v="2024-05-11T00:00:00"/>
  </r>
  <r>
    <n v="3864"/>
    <n v="12925"/>
    <x v="3"/>
    <n v="78057.350000000006"/>
    <x v="0"/>
    <n v="23"/>
    <x v="1"/>
    <d v="2024-06-25T00:00:00"/>
    <d v="2024-07-18T00:00:00"/>
  </r>
  <r>
    <n v="3865"/>
    <n v="10909"/>
    <x v="3"/>
    <n v="8282.5"/>
    <x v="0"/>
    <n v="18"/>
    <x v="1"/>
    <d v="2024-09-30T00:00:00"/>
    <d v="2024-10-18T00:00:00"/>
  </r>
  <r>
    <n v="3866"/>
    <n v="19605"/>
    <x v="1"/>
    <n v="81106.37"/>
    <x v="1"/>
    <n v="17"/>
    <x v="1"/>
    <d v="2024-06-27T00:00:00"/>
    <d v="2024-07-14T00:00:00"/>
  </r>
  <r>
    <n v="3867"/>
    <n v="15008"/>
    <x v="3"/>
    <n v="132631.84"/>
    <x v="0"/>
    <n v="34"/>
    <x v="3"/>
    <d v="2024-05-08T00:00:00"/>
    <d v="2024-06-11T00:00:00"/>
  </r>
  <r>
    <n v="3868"/>
    <n v="10118"/>
    <x v="3"/>
    <n v="54600.11"/>
    <x v="2"/>
    <m/>
    <x v="1"/>
    <d v="2024-05-04T00:00:00"/>
    <m/>
  </r>
  <r>
    <n v="3869"/>
    <n v="13113"/>
    <x v="1"/>
    <n v="89237.58"/>
    <x v="0"/>
    <n v="36"/>
    <x v="3"/>
    <d v="2024-01-27T00:00:00"/>
    <d v="2024-03-03T00:00:00"/>
  </r>
  <r>
    <n v="3870"/>
    <n v="16153"/>
    <x v="0"/>
    <n v="16059.45"/>
    <x v="2"/>
    <m/>
    <x v="3"/>
    <d v="2024-03-04T00:00:00"/>
    <m/>
  </r>
  <r>
    <n v="3871"/>
    <n v="11491"/>
    <x v="1"/>
    <n v="119678.09"/>
    <x v="2"/>
    <m/>
    <x v="3"/>
    <d v="2024-02-29T00:00:00"/>
    <m/>
  </r>
  <r>
    <n v="3872"/>
    <n v="12096"/>
    <x v="3"/>
    <n v="152477.51"/>
    <x v="0"/>
    <n v="4"/>
    <x v="0"/>
    <d v="2024-08-06T00:00:00"/>
    <d v="2024-08-10T00:00:00"/>
  </r>
  <r>
    <n v="3873"/>
    <n v="17944"/>
    <x v="2"/>
    <n v="85595.95"/>
    <x v="1"/>
    <n v="4"/>
    <x v="0"/>
    <d v="2024-08-04T00:00:00"/>
    <d v="2024-08-08T00:00:00"/>
  </r>
  <r>
    <n v="3874"/>
    <n v="12254"/>
    <x v="2"/>
    <n v="86945.36"/>
    <x v="0"/>
    <n v="9"/>
    <x v="1"/>
    <d v="2024-06-17T00:00:00"/>
    <d v="2024-06-26T00:00:00"/>
  </r>
  <r>
    <n v="3875"/>
    <n v="18705"/>
    <x v="3"/>
    <n v="22215.09"/>
    <x v="2"/>
    <m/>
    <x v="1"/>
    <d v="2024-05-28T00:00:00"/>
    <m/>
  </r>
  <r>
    <n v="3876"/>
    <n v="16103"/>
    <x v="3"/>
    <n v="44378.47"/>
    <x v="0"/>
    <n v="10"/>
    <x v="0"/>
    <d v="2024-09-26T00:00:00"/>
    <d v="2024-10-06T00:00:00"/>
  </r>
  <r>
    <n v="3877"/>
    <n v="11233"/>
    <x v="1"/>
    <n v="35161.68"/>
    <x v="1"/>
    <n v="6"/>
    <x v="2"/>
    <d v="2024-04-25T00:00:00"/>
    <d v="2024-05-01T00:00:00"/>
  </r>
  <r>
    <n v="3878"/>
    <n v="15258"/>
    <x v="0"/>
    <n v="98929.11"/>
    <x v="0"/>
    <n v="29"/>
    <x v="0"/>
    <d v="2024-09-01T00:00:00"/>
    <d v="2024-09-30T00:00:00"/>
  </r>
  <r>
    <n v="3879"/>
    <n v="19671"/>
    <x v="2"/>
    <n v="108204.83"/>
    <x v="0"/>
    <n v="16"/>
    <x v="3"/>
    <d v="2024-05-27T00:00:00"/>
    <d v="2024-06-12T00:00:00"/>
  </r>
  <r>
    <n v="3880"/>
    <n v="15631"/>
    <x v="0"/>
    <n v="190043.33"/>
    <x v="0"/>
    <n v="28"/>
    <x v="0"/>
    <d v="2024-04-01T00:00:00"/>
    <d v="2024-04-29T00:00:00"/>
  </r>
  <r>
    <n v="3881"/>
    <n v="13349"/>
    <x v="1"/>
    <n v="19280.14"/>
    <x v="0"/>
    <n v="43"/>
    <x v="3"/>
    <d v="2024-03-25T00:00:00"/>
    <d v="2024-05-07T00:00:00"/>
  </r>
  <r>
    <n v="3882"/>
    <n v="19732"/>
    <x v="1"/>
    <n v="121974.25"/>
    <x v="1"/>
    <n v="32"/>
    <x v="1"/>
    <d v="2024-03-27T00:00:00"/>
    <d v="2024-04-28T00:00:00"/>
  </r>
  <r>
    <n v="3883"/>
    <n v="10129"/>
    <x v="3"/>
    <n v="107667.21"/>
    <x v="0"/>
    <n v="41"/>
    <x v="2"/>
    <d v="2024-04-29T00:00:00"/>
    <d v="2024-06-09T00:00:00"/>
  </r>
  <r>
    <n v="3884"/>
    <n v="13716"/>
    <x v="3"/>
    <n v="105665.45"/>
    <x v="0"/>
    <n v="19"/>
    <x v="1"/>
    <d v="2024-12-05T00:00:00"/>
    <d v="2024-12-24T00:00:00"/>
  </r>
  <r>
    <n v="3885"/>
    <n v="16754"/>
    <x v="3"/>
    <n v="175266.06"/>
    <x v="0"/>
    <n v="39"/>
    <x v="3"/>
    <d v="2024-01-24T00:00:00"/>
    <d v="2024-03-03T00:00:00"/>
  </r>
  <r>
    <n v="3886"/>
    <n v="13743"/>
    <x v="1"/>
    <n v="45080"/>
    <x v="0"/>
    <n v="5"/>
    <x v="3"/>
    <d v="2024-03-29T00:00:00"/>
    <d v="2024-04-03T00:00:00"/>
  </r>
  <r>
    <n v="3887"/>
    <n v="11771"/>
    <x v="1"/>
    <n v="12950.79"/>
    <x v="0"/>
    <n v="22"/>
    <x v="3"/>
    <d v="2024-02-06T00:00:00"/>
    <d v="2024-02-28T00:00:00"/>
  </r>
  <r>
    <n v="3888"/>
    <n v="14454"/>
    <x v="1"/>
    <n v="136092.94"/>
    <x v="1"/>
    <n v="43"/>
    <x v="2"/>
    <d v="2024-12-07T00:00:00"/>
    <d v="2025-01-19T00:00:00"/>
  </r>
  <r>
    <n v="3889"/>
    <n v="16770"/>
    <x v="3"/>
    <n v="72305.710000000006"/>
    <x v="2"/>
    <m/>
    <x v="0"/>
    <d v="2024-09-27T00:00:00"/>
    <m/>
  </r>
  <r>
    <n v="3890"/>
    <n v="17250"/>
    <x v="1"/>
    <n v="8430.0300000000007"/>
    <x v="0"/>
    <n v="23"/>
    <x v="1"/>
    <d v="2024-01-12T00:00:00"/>
    <d v="2024-02-04T00:00:00"/>
  </r>
  <r>
    <n v="3891"/>
    <n v="15273"/>
    <x v="3"/>
    <n v="54017.93"/>
    <x v="0"/>
    <n v="2"/>
    <x v="1"/>
    <d v="2024-04-04T00:00:00"/>
    <d v="2024-04-06T00:00:00"/>
  </r>
  <r>
    <n v="3892"/>
    <n v="18697"/>
    <x v="3"/>
    <n v="65318.720000000001"/>
    <x v="0"/>
    <n v="26"/>
    <x v="0"/>
    <d v="2024-01-31T00:00:00"/>
    <d v="2024-02-26T00:00:00"/>
  </r>
  <r>
    <n v="3893"/>
    <n v="15628"/>
    <x v="1"/>
    <n v="125283.48"/>
    <x v="0"/>
    <n v="42"/>
    <x v="1"/>
    <d v="2024-12-15T00:00:00"/>
    <d v="2025-01-26T00:00:00"/>
  </r>
  <r>
    <n v="3894"/>
    <n v="14913"/>
    <x v="1"/>
    <n v="38654.230000000003"/>
    <x v="0"/>
    <n v="29"/>
    <x v="2"/>
    <d v="2024-08-20T00:00:00"/>
    <d v="2024-09-18T00:00:00"/>
  </r>
  <r>
    <n v="3895"/>
    <n v="19030"/>
    <x v="2"/>
    <n v="85545.600000000006"/>
    <x v="1"/>
    <n v="38"/>
    <x v="1"/>
    <d v="2024-12-05T00:00:00"/>
    <d v="2025-01-12T00:00:00"/>
  </r>
  <r>
    <n v="3896"/>
    <n v="14718"/>
    <x v="3"/>
    <n v="99082.71"/>
    <x v="0"/>
    <n v="12"/>
    <x v="3"/>
    <d v="2024-11-23T00:00:00"/>
    <d v="2024-12-05T00:00:00"/>
  </r>
  <r>
    <n v="3897"/>
    <n v="12676"/>
    <x v="3"/>
    <n v="94551.29"/>
    <x v="1"/>
    <n v="23"/>
    <x v="0"/>
    <d v="2024-10-26T00:00:00"/>
    <d v="2024-11-18T00:00:00"/>
  </r>
  <r>
    <n v="3898"/>
    <n v="10096"/>
    <x v="3"/>
    <n v="194918.45"/>
    <x v="0"/>
    <n v="26"/>
    <x v="2"/>
    <d v="2024-10-12T00:00:00"/>
    <d v="2024-11-07T00:00:00"/>
  </r>
  <r>
    <n v="3899"/>
    <n v="11963"/>
    <x v="3"/>
    <n v="13873.33"/>
    <x v="0"/>
    <n v="22"/>
    <x v="0"/>
    <d v="2024-02-04T00:00:00"/>
    <d v="2024-02-26T00:00:00"/>
  </r>
  <r>
    <n v="3900"/>
    <n v="15401"/>
    <x v="0"/>
    <n v="190438.8"/>
    <x v="0"/>
    <n v="37"/>
    <x v="2"/>
    <d v="2024-01-21T00:00:00"/>
    <d v="2024-02-27T00:00:00"/>
  </r>
  <r>
    <n v="3901"/>
    <n v="17767"/>
    <x v="1"/>
    <n v="118477.75999999999"/>
    <x v="0"/>
    <n v="21"/>
    <x v="3"/>
    <d v="2024-04-20T00:00:00"/>
    <d v="2024-05-11T00:00:00"/>
  </r>
  <r>
    <n v="3902"/>
    <n v="10598"/>
    <x v="0"/>
    <n v="160166.9"/>
    <x v="0"/>
    <n v="17"/>
    <x v="0"/>
    <d v="2024-11-14T00:00:00"/>
    <d v="2024-12-01T00:00:00"/>
  </r>
  <r>
    <n v="3903"/>
    <n v="13963"/>
    <x v="3"/>
    <n v="88926.56"/>
    <x v="1"/>
    <n v="29"/>
    <x v="1"/>
    <d v="2024-12-13T00:00:00"/>
    <d v="2025-01-11T00:00:00"/>
  </r>
  <r>
    <n v="3904"/>
    <n v="18620"/>
    <x v="0"/>
    <n v="93498.39"/>
    <x v="0"/>
    <n v="30"/>
    <x v="2"/>
    <d v="2024-05-24T00:00:00"/>
    <d v="2024-06-23T00:00:00"/>
  </r>
  <r>
    <n v="3905"/>
    <n v="17293"/>
    <x v="3"/>
    <n v="176468.67"/>
    <x v="1"/>
    <n v="27"/>
    <x v="0"/>
    <d v="2024-01-12T00:00:00"/>
    <d v="2024-02-08T00:00:00"/>
  </r>
  <r>
    <n v="3906"/>
    <n v="11324"/>
    <x v="0"/>
    <n v="179707.23"/>
    <x v="0"/>
    <n v="41"/>
    <x v="1"/>
    <d v="2024-08-31T00:00:00"/>
    <d v="2024-10-11T00:00:00"/>
  </r>
  <r>
    <n v="3907"/>
    <n v="18111"/>
    <x v="3"/>
    <n v="51544.33"/>
    <x v="0"/>
    <n v="3"/>
    <x v="0"/>
    <d v="2024-05-25T00:00:00"/>
    <d v="2024-05-28T00:00:00"/>
  </r>
  <r>
    <n v="3908"/>
    <n v="11767"/>
    <x v="3"/>
    <n v="43852.17"/>
    <x v="0"/>
    <n v="11"/>
    <x v="0"/>
    <d v="2024-08-26T00:00:00"/>
    <d v="2024-09-06T00:00:00"/>
  </r>
  <r>
    <n v="3909"/>
    <n v="15164"/>
    <x v="1"/>
    <n v="101765.86"/>
    <x v="0"/>
    <n v="14"/>
    <x v="0"/>
    <d v="2024-04-01T00:00:00"/>
    <d v="2024-04-15T00:00:00"/>
  </r>
  <r>
    <n v="3910"/>
    <n v="19708"/>
    <x v="2"/>
    <n v="180554.02"/>
    <x v="0"/>
    <n v="16"/>
    <x v="2"/>
    <d v="2024-11-11T00:00:00"/>
    <d v="2024-11-27T00:00:00"/>
  </r>
  <r>
    <n v="3911"/>
    <n v="11339"/>
    <x v="3"/>
    <n v="67859.240000000005"/>
    <x v="0"/>
    <n v="10"/>
    <x v="1"/>
    <d v="2024-11-18T00:00:00"/>
    <d v="2024-11-28T00:00:00"/>
  </r>
  <r>
    <n v="3912"/>
    <n v="19168"/>
    <x v="3"/>
    <n v="132142.85"/>
    <x v="0"/>
    <n v="28"/>
    <x v="3"/>
    <d v="2024-04-24T00:00:00"/>
    <d v="2024-05-22T00:00:00"/>
  </r>
  <r>
    <n v="3913"/>
    <n v="16466"/>
    <x v="0"/>
    <n v="143089.57999999999"/>
    <x v="0"/>
    <n v="9"/>
    <x v="2"/>
    <d v="2024-01-15T00:00:00"/>
    <d v="2024-01-24T00:00:00"/>
  </r>
  <r>
    <n v="3914"/>
    <n v="19806"/>
    <x v="3"/>
    <n v="156841.56"/>
    <x v="0"/>
    <n v="7"/>
    <x v="2"/>
    <d v="2024-09-28T00:00:00"/>
    <d v="2024-10-05T00:00:00"/>
  </r>
  <r>
    <n v="3915"/>
    <n v="19776"/>
    <x v="3"/>
    <n v="114965.27"/>
    <x v="0"/>
    <n v="37"/>
    <x v="2"/>
    <d v="2024-01-22T00:00:00"/>
    <d v="2024-02-28T00:00:00"/>
  </r>
  <r>
    <n v="3916"/>
    <n v="15463"/>
    <x v="3"/>
    <n v="83478.759999999995"/>
    <x v="0"/>
    <n v="25"/>
    <x v="3"/>
    <d v="2024-04-27T00:00:00"/>
    <d v="2024-05-22T00:00:00"/>
  </r>
  <r>
    <n v="3917"/>
    <n v="15490"/>
    <x v="3"/>
    <n v="193568.12"/>
    <x v="2"/>
    <m/>
    <x v="1"/>
    <d v="2024-04-04T00:00:00"/>
    <m/>
  </r>
  <r>
    <n v="3918"/>
    <n v="14061"/>
    <x v="2"/>
    <n v="124209.5"/>
    <x v="0"/>
    <n v="27"/>
    <x v="1"/>
    <d v="2024-09-13T00:00:00"/>
    <d v="2024-10-10T00:00:00"/>
  </r>
  <r>
    <n v="3919"/>
    <n v="17604"/>
    <x v="1"/>
    <n v="147070.22"/>
    <x v="1"/>
    <n v="37"/>
    <x v="1"/>
    <d v="2024-11-26T00:00:00"/>
    <d v="2025-01-02T00:00:00"/>
  </r>
  <r>
    <n v="3920"/>
    <n v="11270"/>
    <x v="1"/>
    <n v="72271.649999999994"/>
    <x v="0"/>
    <n v="22"/>
    <x v="0"/>
    <d v="2024-09-18T00:00:00"/>
    <d v="2024-10-10T00:00:00"/>
  </r>
  <r>
    <n v="3921"/>
    <n v="10218"/>
    <x v="2"/>
    <n v="135640.09"/>
    <x v="1"/>
    <n v="14"/>
    <x v="0"/>
    <d v="2024-03-27T00:00:00"/>
    <d v="2024-04-10T00:00:00"/>
  </r>
  <r>
    <n v="3922"/>
    <n v="10533"/>
    <x v="3"/>
    <n v="55270.54"/>
    <x v="0"/>
    <n v="12"/>
    <x v="0"/>
    <d v="2024-11-13T00:00:00"/>
    <d v="2024-11-25T00:00:00"/>
  </r>
  <r>
    <n v="3923"/>
    <n v="17951"/>
    <x v="3"/>
    <n v="52793.9"/>
    <x v="2"/>
    <m/>
    <x v="3"/>
    <d v="2024-02-27T00:00:00"/>
    <m/>
  </r>
  <r>
    <n v="3924"/>
    <n v="19687"/>
    <x v="3"/>
    <n v="144370.82999999999"/>
    <x v="0"/>
    <n v="15"/>
    <x v="0"/>
    <d v="2024-08-17T00:00:00"/>
    <d v="2024-09-01T00:00:00"/>
  </r>
  <r>
    <n v="3925"/>
    <n v="19565"/>
    <x v="3"/>
    <n v="106671.97"/>
    <x v="1"/>
    <n v="34"/>
    <x v="3"/>
    <d v="2024-04-17T00:00:00"/>
    <d v="2024-05-21T00:00:00"/>
  </r>
  <r>
    <n v="3926"/>
    <n v="13823"/>
    <x v="3"/>
    <n v="138238.94"/>
    <x v="0"/>
    <n v="3"/>
    <x v="1"/>
    <d v="2024-01-19T00:00:00"/>
    <d v="2024-01-22T00:00:00"/>
  </r>
  <r>
    <n v="3927"/>
    <n v="10064"/>
    <x v="2"/>
    <n v="57540.51"/>
    <x v="0"/>
    <n v="2"/>
    <x v="0"/>
    <d v="2024-12-30T00:00:00"/>
    <d v="2025-01-01T00:00:00"/>
  </r>
  <r>
    <n v="3928"/>
    <n v="14341"/>
    <x v="1"/>
    <n v="121751.05"/>
    <x v="0"/>
    <n v="12"/>
    <x v="0"/>
    <d v="2024-05-20T00:00:00"/>
    <d v="2024-06-01T00:00:00"/>
  </r>
  <r>
    <n v="3929"/>
    <n v="15082"/>
    <x v="3"/>
    <n v="91567.06"/>
    <x v="0"/>
    <n v="7"/>
    <x v="2"/>
    <d v="2024-06-08T00:00:00"/>
    <d v="2024-06-15T00:00:00"/>
  </r>
  <r>
    <n v="3930"/>
    <n v="19916"/>
    <x v="1"/>
    <n v="121407.26"/>
    <x v="0"/>
    <n v="33"/>
    <x v="3"/>
    <d v="2024-04-09T00:00:00"/>
    <d v="2024-05-12T00:00:00"/>
  </r>
  <r>
    <n v="3931"/>
    <n v="12985"/>
    <x v="1"/>
    <n v="61721.55"/>
    <x v="0"/>
    <n v="16"/>
    <x v="1"/>
    <d v="2024-09-21T00:00:00"/>
    <d v="2024-10-07T00:00:00"/>
  </r>
  <r>
    <n v="3932"/>
    <n v="15594"/>
    <x v="2"/>
    <n v="144512.94"/>
    <x v="0"/>
    <n v="13"/>
    <x v="2"/>
    <d v="2024-08-25T00:00:00"/>
    <d v="2024-09-07T00:00:00"/>
  </r>
  <r>
    <n v="3933"/>
    <n v="13913"/>
    <x v="0"/>
    <n v="162156.23000000001"/>
    <x v="2"/>
    <m/>
    <x v="2"/>
    <d v="2024-08-25T00:00:00"/>
    <m/>
  </r>
  <r>
    <n v="3934"/>
    <n v="19240"/>
    <x v="1"/>
    <n v="55683.71"/>
    <x v="0"/>
    <n v="30"/>
    <x v="1"/>
    <d v="2024-02-18T00:00:00"/>
    <d v="2024-03-19T00:00:00"/>
  </r>
  <r>
    <n v="3935"/>
    <n v="18017"/>
    <x v="1"/>
    <n v="63621.01"/>
    <x v="1"/>
    <n v="23"/>
    <x v="2"/>
    <d v="2024-06-13T00:00:00"/>
    <d v="2024-07-06T00:00:00"/>
  </r>
  <r>
    <n v="3936"/>
    <n v="14255"/>
    <x v="1"/>
    <n v="133925.07999999999"/>
    <x v="0"/>
    <n v="15"/>
    <x v="3"/>
    <d v="2024-10-13T00:00:00"/>
    <d v="2024-10-28T00:00:00"/>
  </r>
  <r>
    <n v="3937"/>
    <n v="11004"/>
    <x v="1"/>
    <n v="140639.10999999999"/>
    <x v="0"/>
    <n v="20"/>
    <x v="3"/>
    <d v="2024-02-28T00:00:00"/>
    <d v="2024-03-19T00:00:00"/>
  </r>
  <r>
    <n v="3938"/>
    <n v="12122"/>
    <x v="3"/>
    <n v="142299.44"/>
    <x v="2"/>
    <m/>
    <x v="0"/>
    <d v="2024-07-01T00:00:00"/>
    <m/>
  </r>
  <r>
    <n v="3939"/>
    <n v="16696"/>
    <x v="3"/>
    <n v="138126.21"/>
    <x v="1"/>
    <n v="36"/>
    <x v="2"/>
    <d v="2024-05-26T00:00:00"/>
    <d v="2024-07-01T00:00:00"/>
  </r>
  <r>
    <n v="3940"/>
    <n v="13981"/>
    <x v="1"/>
    <n v="81597.5"/>
    <x v="1"/>
    <n v="26"/>
    <x v="0"/>
    <d v="2024-10-27T00:00:00"/>
    <d v="2024-11-22T00:00:00"/>
  </r>
  <r>
    <n v="3941"/>
    <n v="10471"/>
    <x v="3"/>
    <n v="81996.47"/>
    <x v="0"/>
    <n v="39"/>
    <x v="2"/>
    <d v="2024-04-05T00:00:00"/>
    <d v="2024-05-14T00:00:00"/>
  </r>
  <r>
    <n v="3942"/>
    <n v="13405"/>
    <x v="3"/>
    <n v="54689.440000000002"/>
    <x v="0"/>
    <n v="10"/>
    <x v="3"/>
    <d v="2024-02-12T00:00:00"/>
    <d v="2024-02-22T00:00:00"/>
  </r>
  <r>
    <n v="3943"/>
    <n v="10308"/>
    <x v="1"/>
    <n v="35582.57"/>
    <x v="0"/>
    <n v="8"/>
    <x v="3"/>
    <d v="2024-12-19T00:00:00"/>
    <d v="2024-12-27T00:00:00"/>
  </r>
  <r>
    <n v="3944"/>
    <n v="17695"/>
    <x v="3"/>
    <n v="140052.59"/>
    <x v="0"/>
    <n v="19"/>
    <x v="3"/>
    <d v="2024-09-13T00:00:00"/>
    <d v="2024-10-02T00:00:00"/>
  </r>
  <r>
    <n v="3945"/>
    <n v="17707"/>
    <x v="1"/>
    <n v="23171.81"/>
    <x v="0"/>
    <n v="3"/>
    <x v="2"/>
    <d v="2024-07-31T00:00:00"/>
    <d v="2024-08-03T00:00:00"/>
  </r>
  <r>
    <n v="3946"/>
    <n v="13047"/>
    <x v="1"/>
    <n v="187869.5"/>
    <x v="1"/>
    <n v="11"/>
    <x v="3"/>
    <d v="2024-07-07T00:00:00"/>
    <d v="2024-07-18T00:00:00"/>
  </r>
  <r>
    <n v="3947"/>
    <n v="12017"/>
    <x v="2"/>
    <n v="166203.82999999999"/>
    <x v="1"/>
    <n v="3"/>
    <x v="2"/>
    <d v="2024-05-10T00:00:00"/>
    <d v="2024-05-13T00:00:00"/>
  </r>
  <r>
    <n v="3948"/>
    <n v="14881"/>
    <x v="3"/>
    <n v="172213.62"/>
    <x v="0"/>
    <n v="9"/>
    <x v="0"/>
    <d v="2024-12-12T00:00:00"/>
    <d v="2024-12-21T00:00:00"/>
  </r>
  <r>
    <n v="3949"/>
    <n v="11478"/>
    <x v="3"/>
    <n v="181800.42"/>
    <x v="0"/>
    <n v="8"/>
    <x v="2"/>
    <d v="2024-10-26T00:00:00"/>
    <d v="2024-11-03T00:00:00"/>
  </r>
  <r>
    <n v="3950"/>
    <n v="14197"/>
    <x v="1"/>
    <n v="84677.97"/>
    <x v="1"/>
    <n v="36"/>
    <x v="0"/>
    <d v="2024-10-15T00:00:00"/>
    <d v="2024-11-20T00:00:00"/>
  </r>
  <r>
    <n v="3951"/>
    <n v="17721"/>
    <x v="0"/>
    <n v="170106.64"/>
    <x v="0"/>
    <n v="24"/>
    <x v="2"/>
    <d v="2024-05-16T00:00:00"/>
    <d v="2024-06-09T00:00:00"/>
  </r>
  <r>
    <n v="3952"/>
    <n v="14870"/>
    <x v="2"/>
    <n v="35821.949999999997"/>
    <x v="0"/>
    <n v="9"/>
    <x v="0"/>
    <d v="2024-01-30T00:00:00"/>
    <d v="2024-02-08T00:00:00"/>
  </r>
  <r>
    <n v="3953"/>
    <n v="13459"/>
    <x v="3"/>
    <n v="9220.15"/>
    <x v="0"/>
    <n v="22"/>
    <x v="3"/>
    <d v="2024-05-25T00:00:00"/>
    <d v="2024-06-16T00:00:00"/>
  </r>
  <r>
    <n v="3954"/>
    <n v="19423"/>
    <x v="3"/>
    <n v="158053.82"/>
    <x v="0"/>
    <n v="34"/>
    <x v="0"/>
    <d v="2024-11-07T00:00:00"/>
    <d v="2024-12-11T00:00:00"/>
  </r>
  <r>
    <n v="3955"/>
    <n v="15434"/>
    <x v="2"/>
    <n v="19585.349999999999"/>
    <x v="2"/>
    <m/>
    <x v="3"/>
    <d v="2024-04-14T00:00:00"/>
    <m/>
  </r>
  <r>
    <n v="3956"/>
    <n v="10571"/>
    <x v="3"/>
    <n v="197762.31"/>
    <x v="0"/>
    <n v="13"/>
    <x v="3"/>
    <d v="2024-10-13T00:00:00"/>
    <d v="2024-10-26T00:00:00"/>
  </r>
  <r>
    <n v="3957"/>
    <n v="13589"/>
    <x v="1"/>
    <n v="136585.29999999999"/>
    <x v="0"/>
    <n v="12"/>
    <x v="0"/>
    <d v="2024-07-09T00:00:00"/>
    <d v="2024-07-21T00:00:00"/>
  </r>
  <r>
    <n v="3958"/>
    <n v="18339"/>
    <x v="3"/>
    <n v="151922.69"/>
    <x v="0"/>
    <n v="31"/>
    <x v="2"/>
    <d v="2024-06-26T00:00:00"/>
    <d v="2024-07-27T00:00:00"/>
  </r>
  <r>
    <n v="3959"/>
    <n v="15918"/>
    <x v="3"/>
    <n v="52931.75"/>
    <x v="2"/>
    <m/>
    <x v="2"/>
    <d v="2024-12-10T00:00:00"/>
    <m/>
  </r>
  <r>
    <n v="3960"/>
    <n v="10596"/>
    <x v="3"/>
    <n v="136403.75"/>
    <x v="1"/>
    <n v="35"/>
    <x v="1"/>
    <d v="2024-08-26T00:00:00"/>
    <d v="2024-09-30T00:00:00"/>
  </r>
  <r>
    <n v="3961"/>
    <n v="15073"/>
    <x v="3"/>
    <n v="13427.89"/>
    <x v="0"/>
    <n v="24"/>
    <x v="2"/>
    <d v="2024-01-01T00:00:00"/>
    <d v="2024-01-25T00:00:00"/>
  </r>
  <r>
    <n v="3962"/>
    <n v="11070"/>
    <x v="1"/>
    <n v="168376.02"/>
    <x v="0"/>
    <n v="33"/>
    <x v="1"/>
    <d v="2024-04-19T00:00:00"/>
    <d v="2024-05-22T00:00:00"/>
  </r>
  <r>
    <n v="3963"/>
    <n v="14250"/>
    <x v="2"/>
    <n v="38076.699999999997"/>
    <x v="0"/>
    <n v="4"/>
    <x v="2"/>
    <d v="2024-12-03T00:00:00"/>
    <d v="2024-12-07T00:00:00"/>
  </r>
  <r>
    <n v="3964"/>
    <n v="14325"/>
    <x v="3"/>
    <n v="140984.82"/>
    <x v="0"/>
    <n v="29"/>
    <x v="2"/>
    <d v="2024-10-01T00:00:00"/>
    <d v="2024-10-30T00:00:00"/>
  </r>
  <r>
    <n v="3965"/>
    <n v="13371"/>
    <x v="0"/>
    <n v="48773.7"/>
    <x v="0"/>
    <n v="5"/>
    <x v="3"/>
    <d v="2024-08-21T00:00:00"/>
    <d v="2024-08-26T00:00:00"/>
  </r>
  <r>
    <n v="3966"/>
    <n v="10157"/>
    <x v="3"/>
    <n v="18348.37"/>
    <x v="0"/>
    <n v="13"/>
    <x v="1"/>
    <d v="2024-03-04T00:00:00"/>
    <d v="2024-03-17T00:00:00"/>
  </r>
  <r>
    <n v="3967"/>
    <n v="19114"/>
    <x v="1"/>
    <n v="98891.27"/>
    <x v="0"/>
    <n v="25"/>
    <x v="2"/>
    <d v="2024-08-31T00:00:00"/>
    <d v="2024-09-25T00:00:00"/>
  </r>
  <r>
    <n v="3968"/>
    <n v="13318"/>
    <x v="3"/>
    <n v="38010.81"/>
    <x v="0"/>
    <n v="34"/>
    <x v="1"/>
    <d v="2024-02-22T00:00:00"/>
    <d v="2024-03-27T00:00:00"/>
  </r>
  <r>
    <n v="3969"/>
    <n v="16711"/>
    <x v="2"/>
    <n v="147241.57999999999"/>
    <x v="0"/>
    <n v="4"/>
    <x v="3"/>
    <d v="2024-09-18T00:00:00"/>
    <d v="2024-09-22T00:00:00"/>
  </r>
  <r>
    <n v="3970"/>
    <n v="17221"/>
    <x v="1"/>
    <n v="51325.34"/>
    <x v="1"/>
    <n v="5"/>
    <x v="3"/>
    <d v="2024-01-17T00:00:00"/>
    <d v="2024-01-22T00:00:00"/>
  </r>
  <r>
    <n v="3971"/>
    <n v="19438"/>
    <x v="1"/>
    <n v="71782.149999999994"/>
    <x v="0"/>
    <n v="31"/>
    <x v="1"/>
    <d v="2024-10-28T00:00:00"/>
    <d v="2024-11-28T00:00:00"/>
  </r>
  <r>
    <n v="3972"/>
    <n v="18957"/>
    <x v="0"/>
    <n v="115650.65"/>
    <x v="0"/>
    <n v="7"/>
    <x v="3"/>
    <d v="2024-08-21T00:00:00"/>
    <d v="2024-08-28T00:00:00"/>
  </r>
  <r>
    <n v="3973"/>
    <n v="12612"/>
    <x v="1"/>
    <n v="60568.81"/>
    <x v="2"/>
    <m/>
    <x v="0"/>
    <d v="2024-03-13T00:00:00"/>
    <m/>
  </r>
  <r>
    <n v="3974"/>
    <n v="14562"/>
    <x v="2"/>
    <n v="78707.679999999993"/>
    <x v="0"/>
    <n v="9"/>
    <x v="0"/>
    <d v="2024-12-22T00:00:00"/>
    <d v="2024-12-31T00:00:00"/>
  </r>
  <r>
    <n v="3975"/>
    <n v="10443"/>
    <x v="1"/>
    <n v="164046.25"/>
    <x v="1"/>
    <n v="19"/>
    <x v="3"/>
    <d v="2024-03-31T00:00:00"/>
    <d v="2024-04-19T00:00:00"/>
  </r>
  <r>
    <n v="3976"/>
    <n v="15973"/>
    <x v="2"/>
    <n v="39945.919999999998"/>
    <x v="0"/>
    <n v="17"/>
    <x v="0"/>
    <d v="2024-01-06T00:00:00"/>
    <d v="2024-01-23T00:00:00"/>
  </r>
  <r>
    <n v="3977"/>
    <n v="10904"/>
    <x v="1"/>
    <n v="21029.31"/>
    <x v="0"/>
    <n v="7"/>
    <x v="2"/>
    <d v="2024-07-16T00:00:00"/>
    <d v="2024-07-23T00:00:00"/>
  </r>
  <r>
    <n v="3978"/>
    <n v="12910"/>
    <x v="3"/>
    <n v="69029.77"/>
    <x v="1"/>
    <n v="25"/>
    <x v="1"/>
    <d v="2024-12-30T00:00:00"/>
    <d v="2025-01-24T00:00:00"/>
  </r>
  <r>
    <n v="3979"/>
    <n v="11801"/>
    <x v="1"/>
    <n v="87753.47"/>
    <x v="0"/>
    <n v="29"/>
    <x v="2"/>
    <d v="2024-07-14T00:00:00"/>
    <d v="2024-08-12T00:00:00"/>
  </r>
  <r>
    <n v="3980"/>
    <n v="10925"/>
    <x v="3"/>
    <n v="110818.56"/>
    <x v="1"/>
    <n v="33"/>
    <x v="1"/>
    <d v="2024-10-22T00:00:00"/>
    <d v="2024-11-24T00:00:00"/>
  </r>
  <r>
    <n v="3981"/>
    <n v="17851"/>
    <x v="1"/>
    <n v="77622.62"/>
    <x v="0"/>
    <n v="26"/>
    <x v="3"/>
    <d v="2024-12-12T00:00:00"/>
    <d v="2025-01-07T00:00:00"/>
  </r>
  <r>
    <n v="3982"/>
    <n v="15930"/>
    <x v="3"/>
    <n v="159032.78"/>
    <x v="0"/>
    <n v="29"/>
    <x v="2"/>
    <d v="2024-11-17T00:00:00"/>
    <d v="2024-12-16T00:00:00"/>
  </r>
  <r>
    <n v="3983"/>
    <n v="18943"/>
    <x v="1"/>
    <n v="12667.3"/>
    <x v="0"/>
    <n v="22"/>
    <x v="3"/>
    <d v="2024-05-16T00:00:00"/>
    <d v="2024-06-07T00:00:00"/>
  </r>
  <r>
    <n v="3984"/>
    <n v="19426"/>
    <x v="3"/>
    <n v="89194.67"/>
    <x v="0"/>
    <n v="9"/>
    <x v="3"/>
    <d v="2024-09-23T00:00:00"/>
    <d v="2024-10-02T00:00:00"/>
  </r>
  <r>
    <n v="3985"/>
    <n v="12922"/>
    <x v="3"/>
    <n v="79539.899999999994"/>
    <x v="0"/>
    <n v="37"/>
    <x v="1"/>
    <d v="2024-04-25T00:00:00"/>
    <d v="2024-06-01T00:00:00"/>
  </r>
  <r>
    <n v="3986"/>
    <n v="18854"/>
    <x v="3"/>
    <n v="131277.81"/>
    <x v="0"/>
    <n v="10"/>
    <x v="1"/>
    <d v="2024-02-12T00:00:00"/>
    <d v="2024-02-22T00:00:00"/>
  </r>
  <r>
    <n v="3987"/>
    <n v="17555"/>
    <x v="2"/>
    <n v="193423.87"/>
    <x v="0"/>
    <n v="41"/>
    <x v="1"/>
    <d v="2024-08-18T00:00:00"/>
    <d v="2024-09-28T00:00:00"/>
  </r>
  <r>
    <n v="3988"/>
    <n v="19776"/>
    <x v="3"/>
    <n v="104523.2"/>
    <x v="0"/>
    <n v="22"/>
    <x v="2"/>
    <d v="2024-02-27T00:00:00"/>
    <d v="2024-03-20T00:00:00"/>
  </r>
  <r>
    <n v="3989"/>
    <n v="10919"/>
    <x v="3"/>
    <n v="197440.99"/>
    <x v="1"/>
    <n v="2"/>
    <x v="0"/>
    <d v="2024-07-24T00:00:00"/>
    <d v="2024-07-26T00:00:00"/>
  </r>
  <r>
    <n v="3990"/>
    <n v="15004"/>
    <x v="1"/>
    <n v="63938.63"/>
    <x v="0"/>
    <n v="5"/>
    <x v="1"/>
    <d v="2024-10-20T00:00:00"/>
    <d v="2024-10-25T00:00:00"/>
  </r>
  <r>
    <n v="3991"/>
    <n v="14219"/>
    <x v="1"/>
    <n v="11019.29"/>
    <x v="2"/>
    <m/>
    <x v="1"/>
    <d v="2024-04-03T00:00:00"/>
    <m/>
  </r>
  <r>
    <n v="3992"/>
    <n v="18259"/>
    <x v="3"/>
    <n v="37304.32"/>
    <x v="0"/>
    <n v="27"/>
    <x v="2"/>
    <d v="2024-02-05T00:00:00"/>
    <d v="2024-03-03T00:00:00"/>
  </r>
  <r>
    <n v="3993"/>
    <n v="14570"/>
    <x v="3"/>
    <n v="82049.350000000006"/>
    <x v="0"/>
    <n v="41"/>
    <x v="1"/>
    <d v="2024-08-17T00:00:00"/>
    <d v="2024-09-27T00:00:00"/>
  </r>
  <r>
    <n v="3994"/>
    <n v="14453"/>
    <x v="3"/>
    <n v="66685.11"/>
    <x v="1"/>
    <n v="4"/>
    <x v="2"/>
    <d v="2024-08-14T00:00:00"/>
    <d v="2024-08-18T00:00:00"/>
  </r>
  <r>
    <n v="3995"/>
    <n v="19958"/>
    <x v="2"/>
    <n v="23925.56"/>
    <x v="0"/>
    <n v="10"/>
    <x v="3"/>
    <d v="2024-07-01T00:00:00"/>
    <d v="2024-07-11T00:00:00"/>
  </r>
  <r>
    <n v="3996"/>
    <n v="15575"/>
    <x v="3"/>
    <n v="89368.72"/>
    <x v="0"/>
    <n v="33"/>
    <x v="1"/>
    <d v="2024-09-18T00:00:00"/>
    <d v="2024-10-21T00:00:00"/>
  </r>
  <r>
    <n v="3997"/>
    <n v="11953"/>
    <x v="3"/>
    <n v="70932.58"/>
    <x v="0"/>
    <n v="4"/>
    <x v="1"/>
    <d v="2024-05-10T00:00:00"/>
    <d v="2024-05-14T00:00:00"/>
  </r>
  <r>
    <n v="3998"/>
    <n v="12568"/>
    <x v="3"/>
    <n v="28910.75"/>
    <x v="0"/>
    <n v="5"/>
    <x v="3"/>
    <d v="2024-03-05T00:00:00"/>
    <d v="2024-03-10T00:00:00"/>
  </r>
  <r>
    <n v="3999"/>
    <n v="17945"/>
    <x v="3"/>
    <n v="62742.84"/>
    <x v="0"/>
    <n v="7"/>
    <x v="3"/>
    <d v="2024-07-04T00:00:00"/>
    <d v="2024-07-11T00:00:00"/>
  </r>
  <r>
    <n v="4000"/>
    <n v="13708"/>
    <x v="1"/>
    <n v="177855.03"/>
    <x v="2"/>
    <m/>
    <x v="3"/>
    <d v="2024-04-26T00:00:00"/>
    <m/>
  </r>
  <r>
    <n v="4001"/>
    <n v="14928"/>
    <x v="3"/>
    <n v="63899.53"/>
    <x v="0"/>
    <n v="27"/>
    <x v="1"/>
    <d v="2024-07-04T00:00:00"/>
    <d v="2024-07-31T00:00:00"/>
  </r>
  <r>
    <n v="4002"/>
    <n v="13399"/>
    <x v="3"/>
    <n v="144221.31"/>
    <x v="1"/>
    <n v="3"/>
    <x v="0"/>
    <d v="2024-09-30T00:00:00"/>
    <d v="2024-10-03T00:00:00"/>
  </r>
  <r>
    <n v="4003"/>
    <n v="19545"/>
    <x v="3"/>
    <n v="124349.18"/>
    <x v="0"/>
    <n v="3"/>
    <x v="0"/>
    <d v="2024-05-30T00:00:00"/>
    <d v="2024-06-02T00:00:00"/>
  </r>
  <r>
    <n v="4004"/>
    <n v="16570"/>
    <x v="3"/>
    <n v="88300.33"/>
    <x v="0"/>
    <n v="22"/>
    <x v="0"/>
    <d v="2024-12-17T00:00:00"/>
    <d v="2025-01-08T00:00:00"/>
  </r>
  <r>
    <n v="4005"/>
    <n v="10442"/>
    <x v="3"/>
    <n v="51610"/>
    <x v="0"/>
    <n v="23"/>
    <x v="1"/>
    <d v="2024-05-30T00:00:00"/>
    <d v="2024-06-22T00:00:00"/>
  </r>
  <r>
    <n v="4006"/>
    <n v="10600"/>
    <x v="0"/>
    <n v="76957.87"/>
    <x v="1"/>
    <n v="4"/>
    <x v="3"/>
    <d v="2024-02-05T00:00:00"/>
    <d v="2024-02-09T00:00:00"/>
  </r>
  <r>
    <n v="4007"/>
    <n v="14582"/>
    <x v="1"/>
    <n v="120460.91"/>
    <x v="1"/>
    <n v="36"/>
    <x v="1"/>
    <d v="2024-11-21T00:00:00"/>
    <d v="2024-12-27T00:00:00"/>
  </r>
  <r>
    <n v="4008"/>
    <n v="12786"/>
    <x v="2"/>
    <n v="73396.88"/>
    <x v="0"/>
    <n v="39"/>
    <x v="3"/>
    <d v="2024-04-04T00:00:00"/>
    <d v="2024-05-13T00:00:00"/>
  </r>
  <r>
    <n v="4009"/>
    <n v="12695"/>
    <x v="0"/>
    <n v="46904.800000000003"/>
    <x v="0"/>
    <n v="34"/>
    <x v="1"/>
    <d v="2024-05-13T00:00:00"/>
    <d v="2024-06-16T00:00:00"/>
  </r>
  <r>
    <n v="4010"/>
    <n v="12052"/>
    <x v="1"/>
    <n v="27710.240000000002"/>
    <x v="0"/>
    <n v="16"/>
    <x v="1"/>
    <d v="2024-06-10T00:00:00"/>
    <d v="2024-06-26T00:00:00"/>
  </r>
  <r>
    <n v="4011"/>
    <n v="10631"/>
    <x v="3"/>
    <n v="176554.55"/>
    <x v="0"/>
    <n v="12"/>
    <x v="3"/>
    <d v="2024-02-13T00:00:00"/>
    <d v="2024-02-25T00:00:00"/>
  </r>
  <r>
    <n v="4012"/>
    <n v="13442"/>
    <x v="1"/>
    <n v="90861.03"/>
    <x v="0"/>
    <n v="11"/>
    <x v="0"/>
    <d v="2024-10-26T00:00:00"/>
    <d v="2024-11-06T00:00:00"/>
  </r>
  <r>
    <n v="4013"/>
    <n v="11754"/>
    <x v="0"/>
    <n v="126915.62"/>
    <x v="1"/>
    <n v="37"/>
    <x v="3"/>
    <d v="2024-10-09T00:00:00"/>
    <d v="2024-11-15T00:00:00"/>
  </r>
  <r>
    <n v="4014"/>
    <n v="17020"/>
    <x v="1"/>
    <n v="100630.02"/>
    <x v="0"/>
    <n v="15"/>
    <x v="2"/>
    <d v="2024-12-21T00:00:00"/>
    <d v="2025-01-05T00:00:00"/>
  </r>
  <r>
    <n v="4015"/>
    <n v="19770"/>
    <x v="1"/>
    <n v="175150.47"/>
    <x v="1"/>
    <n v="3"/>
    <x v="2"/>
    <d v="2024-08-27T00:00:00"/>
    <d v="2024-08-30T00:00:00"/>
  </r>
  <r>
    <n v="4016"/>
    <n v="10025"/>
    <x v="3"/>
    <n v="111652.3"/>
    <x v="0"/>
    <n v="38"/>
    <x v="3"/>
    <d v="2024-02-21T00:00:00"/>
    <d v="2024-03-30T00:00:00"/>
  </r>
  <r>
    <n v="4017"/>
    <n v="17946"/>
    <x v="0"/>
    <n v="98752.38"/>
    <x v="0"/>
    <n v="30"/>
    <x v="1"/>
    <d v="2024-10-07T00:00:00"/>
    <d v="2024-11-06T00:00:00"/>
  </r>
  <r>
    <n v="4018"/>
    <n v="17297"/>
    <x v="1"/>
    <n v="185297.19"/>
    <x v="0"/>
    <n v="36"/>
    <x v="2"/>
    <d v="2024-03-14T00:00:00"/>
    <d v="2024-04-19T00:00:00"/>
  </r>
  <r>
    <n v="4019"/>
    <n v="16553"/>
    <x v="2"/>
    <n v="145339.47"/>
    <x v="1"/>
    <n v="21"/>
    <x v="2"/>
    <d v="2024-10-21T00:00:00"/>
    <d v="2024-11-11T00:00:00"/>
  </r>
  <r>
    <n v="4020"/>
    <n v="15759"/>
    <x v="3"/>
    <n v="26752.23"/>
    <x v="1"/>
    <n v="22"/>
    <x v="1"/>
    <d v="2024-08-25T00:00:00"/>
    <d v="2024-09-16T00:00:00"/>
  </r>
  <r>
    <n v="4021"/>
    <n v="17755"/>
    <x v="3"/>
    <n v="39652.370000000003"/>
    <x v="0"/>
    <n v="35"/>
    <x v="1"/>
    <d v="2024-06-15T00:00:00"/>
    <d v="2024-07-20T00:00:00"/>
  </r>
  <r>
    <n v="4022"/>
    <n v="11129"/>
    <x v="3"/>
    <n v="158488.95999999999"/>
    <x v="0"/>
    <n v="44"/>
    <x v="0"/>
    <d v="2024-05-19T00:00:00"/>
    <d v="2024-07-02T00:00:00"/>
  </r>
  <r>
    <n v="4023"/>
    <n v="14996"/>
    <x v="1"/>
    <n v="167991.01"/>
    <x v="0"/>
    <n v="34"/>
    <x v="1"/>
    <d v="2024-05-18T00:00:00"/>
    <d v="2024-06-21T00:00:00"/>
  </r>
  <r>
    <n v="4024"/>
    <n v="14145"/>
    <x v="3"/>
    <n v="111312.21"/>
    <x v="0"/>
    <n v="20"/>
    <x v="3"/>
    <d v="2024-08-22T00:00:00"/>
    <d v="2024-09-11T00:00:00"/>
  </r>
  <r>
    <n v="4025"/>
    <n v="15641"/>
    <x v="3"/>
    <n v="113118.77"/>
    <x v="0"/>
    <n v="9"/>
    <x v="3"/>
    <d v="2024-01-03T00:00:00"/>
    <d v="2024-01-12T00:00:00"/>
  </r>
  <r>
    <n v="4026"/>
    <n v="18633"/>
    <x v="2"/>
    <n v="128226.93"/>
    <x v="1"/>
    <n v="32"/>
    <x v="0"/>
    <d v="2024-09-12T00:00:00"/>
    <d v="2024-10-14T00:00:00"/>
  </r>
  <r>
    <n v="4027"/>
    <n v="15897"/>
    <x v="3"/>
    <n v="90627.58"/>
    <x v="0"/>
    <n v="12"/>
    <x v="2"/>
    <d v="2024-10-04T00:00:00"/>
    <d v="2024-10-16T00:00:00"/>
  </r>
  <r>
    <n v="4028"/>
    <n v="17369"/>
    <x v="0"/>
    <n v="137638.82999999999"/>
    <x v="1"/>
    <n v="9"/>
    <x v="2"/>
    <d v="2024-01-04T00:00:00"/>
    <d v="2024-01-13T00:00:00"/>
  </r>
  <r>
    <n v="4029"/>
    <n v="13895"/>
    <x v="3"/>
    <n v="26153.85"/>
    <x v="0"/>
    <n v="26"/>
    <x v="1"/>
    <d v="2024-09-26T00:00:00"/>
    <d v="2024-10-22T00:00:00"/>
  </r>
  <r>
    <n v="4030"/>
    <n v="14797"/>
    <x v="0"/>
    <n v="192449.45"/>
    <x v="0"/>
    <n v="21"/>
    <x v="3"/>
    <d v="2024-07-30T00:00:00"/>
    <d v="2024-08-20T00:00:00"/>
  </r>
  <r>
    <n v="4031"/>
    <n v="11828"/>
    <x v="1"/>
    <n v="151280.19"/>
    <x v="2"/>
    <m/>
    <x v="2"/>
    <d v="2024-08-03T00:00:00"/>
    <m/>
  </r>
  <r>
    <n v="4032"/>
    <n v="19727"/>
    <x v="2"/>
    <n v="128078.97"/>
    <x v="0"/>
    <n v="8"/>
    <x v="0"/>
    <d v="2024-09-26T00:00:00"/>
    <d v="2024-10-04T00:00:00"/>
  </r>
  <r>
    <n v="4033"/>
    <n v="10559"/>
    <x v="2"/>
    <n v="66682.8"/>
    <x v="2"/>
    <m/>
    <x v="0"/>
    <d v="2024-01-16T00:00:00"/>
    <m/>
  </r>
  <r>
    <n v="4034"/>
    <n v="19365"/>
    <x v="3"/>
    <n v="36386.32"/>
    <x v="0"/>
    <n v="40"/>
    <x v="3"/>
    <d v="2024-03-04T00:00:00"/>
    <d v="2024-04-13T00:00:00"/>
  </r>
  <r>
    <n v="4035"/>
    <n v="19276"/>
    <x v="3"/>
    <n v="84821.88"/>
    <x v="0"/>
    <n v="44"/>
    <x v="0"/>
    <d v="2024-08-26T00:00:00"/>
    <d v="2024-10-09T00:00:00"/>
  </r>
  <r>
    <n v="4036"/>
    <n v="13914"/>
    <x v="3"/>
    <n v="134007.46"/>
    <x v="1"/>
    <n v="11"/>
    <x v="0"/>
    <d v="2024-01-16T00:00:00"/>
    <d v="2024-01-27T00:00:00"/>
  </r>
  <r>
    <n v="4037"/>
    <n v="18430"/>
    <x v="1"/>
    <n v="128573.4"/>
    <x v="2"/>
    <m/>
    <x v="3"/>
    <d v="2024-02-21T00:00:00"/>
    <m/>
  </r>
  <r>
    <n v="4038"/>
    <n v="18050"/>
    <x v="0"/>
    <n v="79615.03"/>
    <x v="0"/>
    <n v="43"/>
    <x v="1"/>
    <d v="2024-01-19T00:00:00"/>
    <d v="2024-03-02T00:00:00"/>
  </r>
  <r>
    <n v="4039"/>
    <n v="19663"/>
    <x v="3"/>
    <n v="124590.85"/>
    <x v="0"/>
    <n v="44"/>
    <x v="1"/>
    <d v="2024-11-20T00:00:00"/>
    <d v="2025-01-03T00:00:00"/>
  </r>
  <r>
    <n v="4040"/>
    <n v="16900"/>
    <x v="1"/>
    <n v="163680.92000000001"/>
    <x v="1"/>
    <n v="21"/>
    <x v="0"/>
    <d v="2024-04-02T00:00:00"/>
    <d v="2024-04-23T00:00:00"/>
  </r>
  <r>
    <n v="4041"/>
    <n v="15587"/>
    <x v="3"/>
    <n v="10125.530000000001"/>
    <x v="1"/>
    <n v="18"/>
    <x v="1"/>
    <d v="2024-09-17T00:00:00"/>
    <d v="2024-10-05T00:00:00"/>
  </r>
  <r>
    <n v="4042"/>
    <n v="15412"/>
    <x v="0"/>
    <n v="92871.1"/>
    <x v="0"/>
    <n v="12"/>
    <x v="1"/>
    <d v="2024-10-24T00:00:00"/>
    <d v="2024-11-05T00:00:00"/>
  </r>
  <r>
    <n v="4043"/>
    <n v="14612"/>
    <x v="2"/>
    <n v="152918.26999999999"/>
    <x v="1"/>
    <n v="17"/>
    <x v="0"/>
    <d v="2024-01-17T00:00:00"/>
    <d v="2024-02-03T00:00:00"/>
  </r>
  <r>
    <n v="4044"/>
    <n v="13683"/>
    <x v="3"/>
    <n v="111498.17"/>
    <x v="0"/>
    <n v="38"/>
    <x v="1"/>
    <d v="2024-04-20T00:00:00"/>
    <d v="2024-05-28T00:00:00"/>
  </r>
  <r>
    <n v="4045"/>
    <n v="18396"/>
    <x v="3"/>
    <n v="132037.84"/>
    <x v="0"/>
    <n v="43"/>
    <x v="0"/>
    <d v="2024-11-23T00:00:00"/>
    <d v="2025-01-05T00:00:00"/>
  </r>
  <r>
    <n v="4046"/>
    <n v="17347"/>
    <x v="3"/>
    <n v="105751.9"/>
    <x v="0"/>
    <n v="33"/>
    <x v="2"/>
    <d v="2024-12-25T00:00:00"/>
    <d v="2025-01-27T00:00:00"/>
  </r>
  <r>
    <n v="4047"/>
    <n v="13600"/>
    <x v="1"/>
    <n v="198415.54"/>
    <x v="0"/>
    <n v="27"/>
    <x v="3"/>
    <d v="2024-04-03T00:00:00"/>
    <d v="2024-04-30T00:00:00"/>
  </r>
  <r>
    <n v="4048"/>
    <n v="16643"/>
    <x v="1"/>
    <n v="15651.2"/>
    <x v="2"/>
    <m/>
    <x v="3"/>
    <d v="2024-01-10T00:00:00"/>
    <m/>
  </r>
  <r>
    <n v="4049"/>
    <n v="11213"/>
    <x v="3"/>
    <n v="100753.74"/>
    <x v="0"/>
    <n v="10"/>
    <x v="1"/>
    <d v="2024-07-30T00:00:00"/>
    <d v="2024-08-09T00:00:00"/>
  </r>
  <r>
    <n v="4050"/>
    <n v="17347"/>
    <x v="3"/>
    <n v="22826.23"/>
    <x v="2"/>
    <m/>
    <x v="1"/>
    <d v="2024-08-24T00:00:00"/>
    <m/>
  </r>
  <r>
    <n v="4051"/>
    <n v="13091"/>
    <x v="3"/>
    <n v="36158.18"/>
    <x v="0"/>
    <n v="4"/>
    <x v="1"/>
    <d v="2024-09-10T00:00:00"/>
    <d v="2024-09-14T00:00:00"/>
  </r>
  <r>
    <n v="4052"/>
    <n v="11382"/>
    <x v="1"/>
    <n v="79692.479999999996"/>
    <x v="1"/>
    <n v="32"/>
    <x v="3"/>
    <d v="2024-01-16T00:00:00"/>
    <d v="2024-02-17T00:00:00"/>
  </r>
  <r>
    <n v="4053"/>
    <n v="13680"/>
    <x v="1"/>
    <n v="35330.32"/>
    <x v="1"/>
    <n v="43"/>
    <x v="2"/>
    <d v="2024-05-23T00:00:00"/>
    <d v="2024-07-05T00:00:00"/>
  </r>
  <r>
    <n v="4054"/>
    <n v="19871"/>
    <x v="3"/>
    <n v="192919"/>
    <x v="0"/>
    <n v="8"/>
    <x v="2"/>
    <d v="2024-02-11T00:00:00"/>
    <d v="2024-02-19T00:00:00"/>
  </r>
  <r>
    <n v="4055"/>
    <n v="18198"/>
    <x v="1"/>
    <n v="189624.01"/>
    <x v="0"/>
    <n v="3"/>
    <x v="3"/>
    <d v="2024-01-03T00:00:00"/>
    <d v="2024-01-06T00:00:00"/>
  </r>
  <r>
    <n v="4056"/>
    <n v="13498"/>
    <x v="1"/>
    <n v="70541.38"/>
    <x v="0"/>
    <n v="26"/>
    <x v="2"/>
    <d v="2024-06-04T00:00:00"/>
    <d v="2024-06-30T00:00:00"/>
  </r>
  <r>
    <n v="4057"/>
    <n v="18487"/>
    <x v="3"/>
    <n v="129750.8"/>
    <x v="1"/>
    <n v="41"/>
    <x v="3"/>
    <d v="2024-06-21T00:00:00"/>
    <d v="2024-08-01T00:00:00"/>
  </r>
  <r>
    <n v="4058"/>
    <n v="15506"/>
    <x v="3"/>
    <n v="109081.9"/>
    <x v="1"/>
    <n v="13"/>
    <x v="2"/>
    <d v="2024-01-24T00:00:00"/>
    <d v="2024-02-06T00:00:00"/>
  </r>
  <r>
    <n v="4059"/>
    <n v="18455"/>
    <x v="1"/>
    <n v="164039.46"/>
    <x v="0"/>
    <n v="31"/>
    <x v="0"/>
    <d v="2024-10-01T00:00:00"/>
    <d v="2024-11-01T00:00:00"/>
  </r>
  <r>
    <n v="4060"/>
    <n v="12137"/>
    <x v="2"/>
    <n v="127351.89"/>
    <x v="1"/>
    <n v="31"/>
    <x v="0"/>
    <d v="2024-03-15T00:00:00"/>
    <d v="2024-04-15T00:00:00"/>
  </r>
  <r>
    <n v="4061"/>
    <n v="17655"/>
    <x v="3"/>
    <n v="5049.2299999999996"/>
    <x v="0"/>
    <n v="30"/>
    <x v="3"/>
    <d v="2024-02-09T00:00:00"/>
    <d v="2024-03-10T00:00:00"/>
  </r>
  <r>
    <n v="4062"/>
    <n v="18124"/>
    <x v="3"/>
    <n v="153819.01"/>
    <x v="0"/>
    <n v="42"/>
    <x v="2"/>
    <d v="2024-10-28T00:00:00"/>
    <d v="2024-12-09T00:00:00"/>
  </r>
  <r>
    <n v="4063"/>
    <n v="14948"/>
    <x v="3"/>
    <n v="150635.38"/>
    <x v="1"/>
    <n v="12"/>
    <x v="1"/>
    <d v="2024-02-09T00:00:00"/>
    <d v="2024-02-21T00:00:00"/>
  </r>
  <r>
    <n v="4064"/>
    <n v="13865"/>
    <x v="1"/>
    <n v="104395.93"/>
    <x v="0"/>
    <n v="24"/>
    <x v="2"/>
    <d v="2024-03-02T00:00:00"/>
    <d v="2024-03-26T00:00:00"/>
  </r>
  <r>
    <n v="4065"/>
    <n v="15460"/>
    <x v="3"/>
    <n v="181069.2"/>
    <x v="1"/>
    <n v="18"/>
    <x v="0"/>
    <d v="2024-08-25T00:00:00"/>
    <d v="2024-09-12T00:00:00"/>
  </r>
  <r>
    <n v="4066"/>
    <n v="15448"/>
    <x v="3"/>
    <n v="182147.01"/>
    <x v="0"/>
    <n v="14"/>
    <x v="0"/>
    <d v="2024-09-01T00:00:00"/>
    <d v="2024-09-15T00:00:00"/>
  </r>
  <r>
    <n v="4067"/>
    <n v="14496"/>
    <x v="1"/>
    <n v="107162.78"/>
    <x v="0"/>
    <n v="34"/>
    <x v="2"/>
    <d v="2024-01-18T00:00:00"/>
    <d v="2024-02-21T00:00:00"/>
  </r>
  <r>
    <n v="4068"/>
    <n v="14452"/>
    <x v="1"/>
    <n v="123557.71"/>
    <x v="0"/>
    <n v="2"/>
    <x v="2"/>
    <d v="2024-05-19T00:00:00"/>
    <d v="2024-05-21T00:00:00"/>
  </r>
  <r>
    <n v="4069"/>
    <n v="16898"/>
    <x v="3"/>
    <n v="199321.8"/>
    <x v="0"/>
    <n v="41"/>
    <x v="1"/>
    <d v="2024-03-22T00:00:00"/>
    <d v="2024-05-02T00:00:00"/>
  </r>
  <r>
    <n v="4070"/>
    <n v="12546"/>
    <x v="3"/>
    <n v="63269.95"/>
    <x v="1"/>
    <n v="14"/>
    <x v="1"/>
    <d v="2024-07-07T00:00:00"/>
    <d v="2024-07-21T00:00:00"/>
  </r>
  <r>
    <n v="4071"/>
    <n v="14929"/>
    <x v="1"/>
    <n v="68300.36"/>
    <x v="0"/>
    <n v="39"/>
    <x v="2"/>
    <d v="2024-04-17T00:00:00"/>
    <d v="2024-05-26T00:00:00"/>
  </r>
  <r>
    <n v="4072"/>
    <n v="18310"/>
    <x v="3"/>
    <n v="40640.910000000003"/>
    <x v="0"/>
    <n v="4"/>
    <x v="2"/>
    <d v="2024-08-21T00:00:00"/>
    <d v="2024-08-25T00:00:00"/>
  </r>
  <r>
    <n v="4073"/>
    <n v="17214"/>
    <x v="3"/>
    <n v="179694.05"/>
    <x v="0"/>
    <n v="17"/>
    <x v="2"/>
    <d v="2024-09-24T00:00:00"/>
    <d v="2024-10-11T00:00:00"/>
  </r>
  <r>
    <n v="4074"/>
    <n v="12395"/>
    <x v="0"/>
    <n v="150175.24"/>
    <x v="0"/>
    <n v="43"/>
    <x v="2"/>
    <d v="2024-04-13T00:00:00"/>
    <d v="2024-05-26T00:00:00"/>
  </r>
  <r>
    <n v="4075"/>
    <n v="17671"/>
    <x v="3"/>
    <n v="25600.36"/>
    <x v="1"/>
    <n v="8"/>
    <x v="3"/>
    <d v="2024-05-13T00:00:00"/>
    <d v="2024-05-21T00:00:00"/>
  </r>
  <r>
    <n v="4076"/>
    <n v="15514"/>
    <x v="1"/>
    <n v="196444.63"/>
    <x v="0"/>
    <n v="4"/>
    <x v="2"/>
    <d v="2024-12-09T00:00:00"/>
    <d v="2024-12-13T00:00:00"/>
  </r>
  <r>
    <n v="4077"/>
    <n v="11702"/>
    <x v="2"/>
    <n v="147537.53"/>
    <x v="0"/>
    <n v="15"/>
    <x v="1"/>
    <d v="2024-02-02T00:00:00"/>
    <d v="2024-02-17T00:00:00"/>
  </r>
  <r>
    <n v="4078"/>
    <n v="18721"/>
    <x v="3"/>
    <n v="170851.81"/>
    <x v="2"/>
    <m/>
    <x v="0"/>
    <d v="2024-08-24T00:00:00"/>
    <m/>
  </r>
  <r>
    <n v="4079"/>
    <n v="13674"/>
    <x v="3"/>
    <n v="14389.4"/>
    <x v="0"/>
    <n v="5"/>
    <x v="3"/>
    <d v="2024-12-01T00:00:00"/>
    <d v="2024-12-06T00:00:00"/>
  </r>
  <r>
    <n v="4080"/>
    <n v="18494"/>
    <x v="1"/>
    <n v="103467.38"/>
    <x v="1"/>
    <n v="32"/>
    <x v="2"/>
    <d v="2024-06-26T00:00:00"/>
    <d v="2024-07-28T00:00:00"/>
  </r>
  <r>
    <n v="4081"/>
    <n v="14251"/>
    <x v="0"/>
    <n v="141226.67000000001"/>
    <x v="0"/>
    <n v="14"/>
    <x v="0"/>
    <d v="2024-01-12T00:00:00"/>
    <d v="2024-01-26T00:00:00"/>
  </r>
  <r>
    <n v="4082"/>
    <n v="10013"/>
    <x v="2"/>
    <n v="110874.58"/>
    <x v="0"/>
    <n v="28"/>
    <x v="3"/>
    <d v="2024-12-16T00:00:00"/>
    <d v="2025-01-13T00:00:00"/>
  </r>
  <r>
    <n v="4083"/>
    <n v="17187"/>
    <x v="1"/>
    <n v="134996.26"/>
    <x v="1"/>
    <n v="2"/>
    <x v="0"/>
    <d v="2024-08-16T00:00:00"/>
    <d v="2024-08-18T00:00:00"/>
  </r>
  <r>
    <n v="4084"/>
    <n v="12803"/>
    <x v="3"/>
    <n v="164485.44"/>
    <x v="1"/>
    <n v="26"/>
    <x v="2"/>
    <d v="2024-11-04T00:00:00"/>
    <d v="2024-11-30T00:00:00"/>
  </r>
  <r>
    <n v="4085"/>
    <n v="10888"/>
    <x v="1"/>
    <n v="77995.73"/>
    <x v="0"/>
    <n v="38"/>
    <x v="2"/>
    <d v="2024-09-25T00:00:00"/>
    <d v="2024-11-02T00:00:00"/>
  </r>
  <r>
    <n v="4086"/>
    <n v="19388"/>
    <x v="3"/>
    <n v="170490.39"/>
    <x v="0"/>
    <n v="12"/>
    <x v="1"/>
    <d v="2024-12-23T00:00:00"/>
    <d v="2025-01-04T00:00:00"/>
  </r>
  <r>
    <n v="4087"/>
    <n v="14540"/>
    <x v="3"/>
    <n v="36768.639999999999"/>
    <x v="0"/>
    <n v="10"/>
    <x v="2"/>
    <d v="2024-05-10T00:00:00"/>
    <d v="2024-05-20T00:00:00"/>
  </r>
  <r>
    <n v="4088"/>
    <n v="18090"/>
    <x v="3"/>
    <n v="57822.78"/>
    <x v="0"/>
    <n v="8"/>
    <x v="2"/>
    <d v="2024-09-05T00:00:00"/>
    <d v="2024-09-13T00:00:00"/>
  </r>
  <r>
    <n v="4089"/>
    <n v="12169"/>
    <x v="3"/>
    <n v="13452.4"/>
    <x v="1"/>
    <n v="15"/>
    <x v="3"/>
    <d v="2024-02-27T00:00:00"/>
    <d v="2024-03-13T00:00:00"/>
  </r>
  <r>
    <n v="4090"/>
    <n v="13651"/>
    <x v="1"/>
    <n v="76063.23"/>
    <x v="0"/>
    <n v="31"/>
    <x v="1"/>
    <d v="2024-01-04T00:00:00"/>
    <d v="2024-02-04T00:00:00"/>
  </r>
  <r>
    <n v="4091"/>
    <n v="18017"/>
    <x v="3"/>
    <n v="79082.36"/>
    <x v="0"/>
    <n v="25"/>
    <x v="3"/>
    <d v="2024-08-23T00:00:00"/>
    <d v="2024-09-17T00:00:00"/>
  </r>
  <r>
    <n v="4092"/>
    <n v="18240"/>
    <x v="3"/>
    <n v="162027.76999999999"/>
    <x v="1"/>
    <n v="4"/>
    <x v="0"/>
    <d v="2024-06-21T00:00:00"/>
    <d v="2024-06-25T00:00:00"/>
  </r>
  <r>
    <n v="4093"/>
    <n v="10180"/>
    <x v="3"/>
    <n v="132360.48000000001"/>
    <x v="0"/>
    <n v="40"/>
    <x v="2"/>
    <d v="2024-11-17T00:00:00"/>
    <d v="2024-12-27T00:00:00"/>
  </r>
  <r>
    <n v="4094"/>
    <n v="13878"/>
    <x v="0"/>
    <n v="90160.9"/>
    <x v="0"/>
    <n v="28"/>
    <x v="0"/>
    <d v="2024-02-05T00:00:00"/>
    <d v="2024-03-04T00:00:00"/>
  </r>
  <r>
    <n v="4095"/>
    <n v="19609"/>
    <x v="1"/>
    <n v="132162.23000000001"/>
    <x v="1"/>
    <n v="2"/>
    <x v="3"/>
    <d v="2024-10-05T00:00:00"/>
    <d v="2024-10-07T00:00:00"/>
  </r>
  <r>
    <n v="4096"/>
    <n v="13464"/>
    <x v="3"/>
    <n v="15292.75"/>
    <x v="1"/>
    <n v="39"/>
    <x v="2"/>
    <d v="2024-08-24T00:00:00"/>
    <d v="2024-10-02T00:00:00"/>
  </r>
  <r>
    <n v="4097"/>
    <n v="10529"/>
    <x v="3"/>
    <n v="40152.949999999997"/>
    <x v="0"/>
    <n v="27"/>
    <x v="2"/>
    <d v="2024-10-01T00:00:00"/>
    <d v="2024-10-28T00:00:00"/>
  </r>
  <r>
    <n v="4098"/>
    <n v="15771"/>
    <x v="3"/>
    <n v="127254.83"/>
    <x v="0"/>
    <n v="7"/>
    <x v="3"/>
    <d v="2024-10-22T00:00:00"/>
    <d v="2024-10-29T00:00:00"/>
  </r>
  <r>
    <n v="4099"/>
    <n v="14679"/>
    <x v="2"/>
    <n v="130066.53"/>
    <x v="0"/>
    <n v="43"/>
    <x v="3"/>
    <d v="2024-11-23T00:00:00"/>
    <d v="2025-01-05T00:00:00"/>
  </r>
  <r>
    <n v="4100"/>
    <n v="17940"/>
    <x v="1"/>
    <n v="155956.26"/>
    <x v="0"/>
    <n v="13"/>
    <x v="3"/>
    <d v="2024-02-27T00:00:00"/>
    <d v="2024-03-11T00:00:00"/>
  </r>
  <r>
    <n v="4101"/>
    <n v="11286"/>
    <x v="1"/>
    <n v="83584.95"/>
    <x v="0"/>
    <n v="39"/>
    <x v="3"/>
    <d v="2024-12-28T00:00:00"/>
    <d v="2025-02-05T00:00:00"/>
  </r>
  <r>
    <n v="4102"/>
    <n v="12190"/>
    <x v="1"/>
    <n v="145898.04999999999"/>
    <x v="1"/>
    <n v="36"/>
    <x v="3"/>
    <d v="2024-01-18T00:00:00"/>
    <d v="2024-02-23T00:00:00"/>
  </r>
  <r>
    <n v="4103"/>
    <n v="18898"/>
    <x v="3"/>
    <n v="138376.16"/>
    <x v="2"/>
    <m/>
    <x v="2"/>
    <d v="2024-02-05T00:00:00"/>
    <m/>
  </r>
  <r>
    <n v="4104"/>
    <n v="18485"/>
    <x v="0"/>
    <n v="192861.71"/>
    <x v="1"/>
    <n v="10"/>
    <x v="3"/>
    <d v="2024-05-08T00:00:00"/>
    <d v="2024-05-18T00:00:00"/>
  </r>
  <r>
    <n v="4105"/>
    <n v="11561"/>
    <x v="1"/>
    <n v="46950.39"/>
    <x v="0"/>
    <n v="24"/>
    <x v="2"/>
    <d v="2024-01-01T00:00:00"/>
    <d v="2024-01-25T00:00:00"/>
  </r>
  <r>
    <n v="4106"/>
    <n v="15628"/>
    <x v="3"/>
    <n v="112577.51"/>
    <x v="1"/>
    <n v="31"/>
    <x v="2"/>
    <d v="2024-03-04T00:00:00"/>
    <d v="2024-04-04T00:00:00"/>
  </r>
  <r>
    <n v="4107"/>
    <n v="12611"/>
    <x v="3"/>
    <n v="122344.07"/>
    <x v="0"/>
    <n v="23"/>
    <x v="3"/>
    <d v="2024-03-02T00:00:00"/>
    <d v="2024-03-25T00:00:00"/>
  </r>
  <r>
    <n v="4108"/>
    <n v="16560"/>
    <x v="1"/>
    <n v="199736.34"/>
    <x v="0"/>
    <n v="10"/>
    <x v="3"/>
    <d v="2024-11-26T00:00:00"/>
    <d v="2024-12-06T00:00:00"/>
  </r>
  <r>
    <n v="4109"/>
    <n v="10660"/>
    <x v="2"/>
    <n v="44230.91"/>
    <x v="0"/>
    <n v="20"/>
    <x v="1"/>
    <d v="2024-05-25T00:00:00"/>
    <d v="2024-06-14T00:00:00"/>
  </r>
  <r>
    <n v="4110"/>
    <n v="13178"/>
    <x v="3"/>
    <n v="107027.51"/>
    <x v="0"/>
    <n v="9"/>
    <x v="2"/>
    <d v="2024-09-28T00:00:00"/>
    <d v="2024-10-07T00:00:00"/>
  </r>
  <r>
    <n v="4111"/>
    <n v="13389"/>
    <x v="0"/>
    <n v="72506.14"/>
    <x v="2"/>
    <m/>
    <x v="3"/>
    <d v="2024-01-17T00:00:00"/>
    <m/>
  </r>
  <r>
    <n v="4112"/>
    <n v="13063"/>
    <x v="1"/>
    <n v="107549.13"/>
    <x v="0"/>
    <n v="6"/>
    <x v="3"/>
    <d v="2024-10-06T00:00:00"/>
    <d v="2024-10-12T00:00:00"/>
  </r>
  <r>
    <n v="4113"/>
    <n v="16401"/>
    <x v="3"/>
    <n v="50265.08"/>
    <x v="0"/>
    <n v="20"/>
    <x v="3"/>
    <d v="2024-04-07T00:00:00"/>
    <d v="2024-04-27T00:00:00"/>
  </r>
  <r>
    <n v="4114"/>
    <n v="18127"/>
    <x v="3"/>
    <n v="14284.41"/>
    <x v="2"/>
    <m/>
    <x v="1"/>
    <d v="2024-08-14T00:00:00"/>
    <m/>
  </r>
  <r>
    <n v="4115"/>
    <n v="12840"/>
    <x v="3"/>
    <n v="116650.26"/>
    <x v="0"/>
    <n v="30"/>
    <x v="1"/>
    <d v="2024-08-30T00:00:00"/>
    <d v="2024-09-29T00:00:00"/>
  </r>
  <r>
    <n v="4116"/>
    <n v="16309"/>
    <x v="1"/>
    <n v="70491.59"/>
    <x v="1"/>
    <n v="20"/>
    <x v="0"/>
    <d v="2024-07-19T00:00:00"/>
    <d v="2024-08-08T00:00:00"/>
  </r>
  <r>
    <n v="4117"/>
    <n v="17192"/>
    <x v="3"/>
    <n v="40478.57"/>
    <x v="0"/>
    <n v="7"/>
    <x v="2"/>
    <d v="2024-06-27T00:00:00"/>
    <d v="2024-07-04T00:00:00"/>
  </r>
  <r>
    <n v="4118"/>
    <n v="16054"/>
    <x v="3"/>
    <n v="68167.44"/>
    <x v="0"/>
    <n v="6"/>
    <x v="0"/>
    <d v="2024-09-26T00:00:00"/>
    <d v="2024-10-02T00:00:00"/>
  </r>
  <r>
    <n v="4119"/>
    <n v="16146"/>
    <x v="1"/>
    <n v="14609.64"/>
    <x v="2"/>
    <m/>
    <x v="3"/>
    <d v="2024-08-21T00:00:00"/>
    <m/>
  </r>
  <r>
    <n v="4120"/>
    <n v="16561"/>
    <x v="1"/>
    <n v="190336.24"/>
    <x v="0"/>
    <n v="6"/>
    <x v="1"/>
    <d v="2024-04-21T00:00:00"/>
    <d v="2024-04-27T00:00:00"/>
  </r>
  <r>
    <n v="4121"/>
    <n v="18560"/>
    <x v="3"/>
    <n v="118323.84"/>
    <x v="0"/>
    <n v="9"/>
    <x v="1"/>
    <d v="2024-03-06T00:00:00"/>
    <d v="2024-03-15T00:00:00"/>
  </r>
  <r>
    <n v="4122"/>
    <n v="10538"/>
    <x v="3"/>
    <n v="163879.89000000001"/>
    <x v="0"/>
    <n v="28"/>
    <x v="0"/>
    <d v="2024-12-03T00:00:00"/>
    <d v="2024-12-31T00:00:00"/>
  </r>
  <r>
    <n v="4123"/>
    <n v="12927"/>
    <x v="3"/>
    <n v="87508.05"/>
    <x v="0"/>
    <n v="38"/>
    <x v="1"/>
    <d v="2024-12-14T00:00:00"/>
    <d v="2025-01-21T00:00:00"/>
  </r>
  <r>
    <n v="4124"/>
    <n v="12393"/>
    <x v="1"/>
    <n v="181146.36"/>
    <x v="0"/>
    <n v="44"/>
    <x v="3"/>
    <d v="2024-09-01T00:00:00"/>
    <d v="2024-10-15T00:00:00"/>
  </r>
  <r>
    <n v="4125"/>
    <n v="18922"/>
    <x v="0"/>
    <n v="99247.05"/>
    <x v="0"/>
    <n v="39"/>
    <x v="1"/>
    <d v="2024-09-01T00:00:00"/>
    <d v="2024-10-10T00:00:00"/>
  </r>
  <r>
    <n v="4126"/>
    <n v="10896"/>
    <x v="3"/>
    <n v="116919.34"/>
    <x v="0"/>
    <n v="38"/>
    <x v="0"/>
    <d v="2024-03-12T00:00:00"/>
    <d v="2024-04-19T00:00:00"/>
  </r>
  <r>
    <n v="4127"/>
    <n v="16867"/>
    <x v="0"/>
    <n v="100899.83"/>
    <x v="1"/>
    <n v="19"/>
    <x v="3"/>
    <d v="2024-12-22T00:00:00"/>
    <d v="2025-01-10T00:00:00"/>
  </r>
  <r>
    <n v="4128"/>
    <n v="16345"/>
    <x v="1"/>
    <n v="147989.26999999999"/>
    <x v="0"/>
    <n v="27"/>
    <x v="0"/>
    <d v="2024-02-18T00:00:00"/>
    <d v="2024-03-16T00:00:00"/>
  </r>
  <r>
    <n v="4129"/>
    <n v="12368"/>
    <x v="1"/>
    <n v="115497.94"/>
    <x v="0"/>
    <n v="43"/>
    <x v="1"/>
    <d v="2024-12-11T00:00:00"/>
    <d v="2025-01-23T00:00:00"/>
  </r>
  <r>
    <n v="4130"/>
    <n v="14559"/>
    <x v="1"/>
    <n v="57961.79"/>
    <x v="0"/>
    <n v="17"/>
    <x v="0"/>
    <d v="2024-07-08T00:00:00"/>
    <d v="2024-07-25T00:00:00"/>
  </r>
  <r>
    <n v="4131"/>
    <n v="17747"/>
    <x v="3"/>
    <n v="33380.21"/>
    <x v="2"/>
    <m/>
    <x v="0"/>
    <d v="2024-10-19T00:00:00"/>
    <m/>
  </r>
  <r>
    <n v="4132"/>
    <n v="12380"/>
    <x v="3"/>
    <n v="123194.26"/>
    <x v="2"/>
    <m/>
    <x v="2"/>
    <d v="2024-06-25T00:00:00"/>
    <m/>
  </r>
  <r>
    <n v="4133"/>
    <n v="10014"/>
    <x v="1"/>
    <n v="100390.09"/>
    <x v="1"/>
    <n v="4"/>
    <x v="1"/>
    <d v="2024-06-09T00:00:00"/>
    <d v="2024-06-13T00:00:00"/>
  </r>
  <r>
    <n v="4134"/>
    <n v="19545"/>
    <x v="1"/>
    <n v="23715.26"/>
    <x v="1"/>
    <n v="4"/>
    <x v="1"/>
    <d v="2024-05-29T00:00:00"/>
    <d v="2024-06-02T00:00:00"/>
  </r>
  <r>
    <n v="4135"/>
    <n v="13135"/>
    <x v="1"/>
    <n v="82145.41"/>
    <x v="0"/>
    <n v="13"/>
    <x v="0"/>
    <d v="2024-03-10T00:00:00"/>
    <d v="2024-03-23T00:00:00"/>
  </r>
  <r>
    <n v="4136"/>
    <n v="12277"/>
    <x v="3"/>
    <n v="105381.4"/>
    <x v="0"/>
    <n v="24"/>
    <x v="2"/>
    <d v="2024-02-02T00:00:00"/>
    <d v="2024-02-26T00:00:00"/>
  </r>
  <r>
    <n v="4137"/>
    <n v="18202"/>
    <x v="2"/>
    <n v="166244.18"/>
    <x v="0"/>
    <n v="12"/>
    <x v="1"/>
    <d v="2024-10-10T00:00:00"/>
    <d v="2024-10-22T00:00:00"/>
  </r>
  <r>
    <n v="4138"/>
    <n v="11656"/>
    <x v="1"/>
    <n v="19839.71"/>
    <x v="0"/>
    <n v="43"/>
    <x v="3"/>
    <d v="2024-12-09T00:00:00"/>
    <d v="2025-01-21T00:00:00"/>
  </r>
  <r>
    <n v="4139"/>
    <n v="19439"/>
    <x v="3"/>
    <n v="72956.59"/>
    <x v="0"/>
    <n v="30"/>
    <x v="0"/>
    <d v="2024-09-16T00:00:00"/>
    <d v="2024-10-16T00:00:00"/>
  </r>
  <r>
    <n v="4140"/>
    <n v="11660"/>
    <x v="3"/>
    <n v="165417.94"/>
    <x v="0"/>
    <n v="7"/>
    <x v="1"/>
    <d v="2024-11-17T00:00:00"/>
    <d v="2024-11-24T00:00:00"/>
  </r>
  <r>
    <n v="4141"/>
    <n v="11763"/>
    <x v="1"/>
    <n v="131442.67000000001"/>
    <x v="2"/>
    <m/>
    <x v="3"/>
    <d v="2024-03-17T00:00:00"/>
    <m/>
  </r>
  <r>
    <n v="4142"/>
    <n v="18733"/>
    <x v="1"/>
    <n v="61541.87"/>
    <x v="1"/>
    <n v="35"/>
    <x v="1"/>
    <d v="2024-04-19T00:00:00"/>
    <d v="2024-05-24T00:00:00"/>
  </r>
  <r>
    <n v="4143"/>
    <n v="11529"/>
    <x v="3"/>
    <n v="169840.35"/>
    <x v="0"/>
    <n v="38"/>
    <x v="3"/>
    <d v="2024-10-31T00:00:00"/>
    <d v="2024-12-08T00:00:00"/>
  </r>
  <r>
    <n v="4144"/>
    <n v="17865"/>
    <x v="0"/>
    <n v="101192.25"/>
    <x v="1"/>
    <n v="12"/>
    <x v="0"/>
    <d v="2024-05-18T00:00:00"/>
    <d v="2024-05-30T00:00:00"/>
  </r>
  <r>
    <n v="4145"/>
    <n v="15838"/>
    <x v="3"/>
    <n v="102178.62"/>
    <x v="0"/>
    <n v="12"/>
    <x v="1"/>
    <d v="2024-02-04T00:00:00"/>
    <d v="2024-02-16T00:00:00"/>
  </r>
  <r>
    <n v="4146"/>
    <n v="16910"/>
    <x v="3"/>
    <n v="195434.53"/>
    <x v="0"/>
    <n v="26"/>
    <x v="1"/>
    <d v="2024-08-22T00:00:00"/>
    <d v="2024-09-17T00:00:00"/>
  </r>
  <r>
    <n v="4147"/>
    <n v="19372"/>
    <x v="0"/>
    <n v="189687.72"/>
    <x v="0"/>
    <n v="20"/>
    <x v="2"/>
    <d v="2024-11-25T00:00:00"/>
    <d v="2024-12-15T00:00:00"/>
  </r>
  <r>
    <n v="4148"/>
    <n v="12617"/>
    <x v="0"/>
    <n v="74913.87"/>
    <x v="0"/>
    <n v="33"/>
    <x v="0"/>
    <d v="2024-07-18T00:00:00"/>
    <d v="2024-08-20T00:00:00"/>
  </r>
  <r>
    <n v="4149"/>
    <n v="12754"/>
    <x v="1"/>
    <n v="32412.93"/>
    <x v="0"/>
    <n v="9"/>
    <x v="3"/>
    <d v="2024-11-20T00:00:00"/>
    <d v="2024-11-29T00:00:00"/>
  </r>
  <r>
    <n v="4150"/>
    <n v="19120"/>
    <x v="0"/>
    <n v="68505.009999999995"/>
    <x v="1"/>
    <n v="13"/>
    <x v="1"/>
    <d v="2024-05-30T00:00:00"/>
    <d v="2024-06-12T00:00:00"/>
  </r>
  <r>
    <n v="4151"/>
    <n v="18101"/>
    <x v="3"/>
    <n v="10944.24"/>
    <x v="0"/>
    <n v="42"/>
    <x v="1"/>
    <d v="2024-02-03T00:00:00"/>
    <d v="2024-03-16T00:00:00"/>
  </r>
  <r>
    <n v="4152"/>
    <n v="11426"/>
    <x v="0"/>
    <n v="9049.74"/>
    <x v="0"/>
    <n v="36"/>
    <x v="3"/>
    <d v="2024-05-03T00:00:00"/>
    <d v="2024-06-08T00:00:00"/>
  </r>
  <r>
    <n v="4153"/>
    <n v="18067"/>
    <x v="3"/>
    <n v="82126.820000000007"/>
    <x v="0"/>
    <n v="7"/>
    <x v="0"/>
    <d v="2024-02-01T00:00:00"/>
    <d v="2024-02-08T00:00:00"/>
  </r>
  <r>
    <n v="4154"/>
    <n v="15208"/>
    <x v="3"/>
    <n v="188498.87"/>
    <x v="0"/>
    <n v="22"/>
    <x v="2"/>
    <d v="2024-09-28T00:00:00"/>
    <d v="2024-10-20T00:00:00"/>
  </r>
  <r>
    <n v="4155"/>
    <n v="16222"/>
    <x v="3"/>
    <n v="174914.68"/>
    <x v="1"/>
    <n v="27"/>
    <x v="2"/>
    <d v="2024-11-19T00:00:00"/>
    <d v="2024-12-16T00:00:00"/>
  </r>
  <r>
    <n v="4156"/>
    <n v="17808"/>
    <x v="3"/>
    <n v="104731.35"/>
    <x v="0"/>
    <n v="2"/>
    <x v="1"/>
    <d v="2024-11-05T00:00:00"/>
    <d v="2024-11-07T00:00:00"/>
  </r>
  <r>
    <n v="4157"/>
    <n v="12061"/>
    <x v="3"/>
    <n v="115219.14"/>
    <x v="2"/>
    <m/>
    <x v="3"/>
    <d v="2024-05-03T00:00:00"/>
    <m/>
  </r>
  <r>
    <n v="4158"/>
    <n v="12563"/>
    <x v="3"/>
    <n v="6157.03"/>
    <x v="2"/>
    <m/>
    <x v="1"/>
    <d v="2024-11-11T00:00:00"/>
    <m/>
  </r>
  <r>
    <n v="4159"/>
    <n v="12803"/>
    <x v="3"/>
    <n v="47022.73"/>
    <x v="0"/>
    <n v="28"/>
    <x v="3"/>
    <d v="2024-03-18T00:00:00"/>
    <d v="2024-04-15T00:00:00"/>
  </r>
  <r>
    <n v="4160"/>
    <n v="16209"/>
    <x v="3"/>
    <n v="9830.9500000000007"/>
    <x v="0"/>
    <n v="3"/>
    <x v="2"/>
    <d v="2024-03-16T00:00:00"/>
    <d v="2024-03-19T00:00:00"/>
  </r>
  <r>
    <n v="4161"/>
    <n v="12293"/>
    <x v="1"/>
    <n v="152135.21"/>
    <x v="1"/>
    <n v="37"/>
    <x v="0"/>
    <d v="2024-02-29T00:00:00"/>
    <d v="2024-04-06T00:00:00"/>
  </r>
  <r>
    <n v="4162"/>
    <n v="11625"/>
    <x v="3"/>
    <n v="33400.93"/>
    <x v="2"/>
    <m/>
    <x v="3"/>
    <d v="2024-03-25T00:00:00"/>
    <m/>
  </r>
  <r>
    <n v="4163"/>
    <n v="15809"/>
    <x v="3"/>
    <n v="174464.18"/>
    <x v="0"/>
    <n v="11"/>
    <x v="2"/>
    <d v="2024-03-20T00:00:00"/>
    <d v="2024-03-31T00:00:00"/>
  </r>
  <r>
    <n v="4164"/>
    <n v="10571"/>
    <x v="1"/>
    <n v="130448.24"/>
    <x v="1"/>
    <n v="32"/>
    <x v="1"/>
    <d v="2024-06-20T00:00:00"/>
    <d v="2024-07-22T00:00:00"/>
  </r>
  <r>
    <n v="4165"/>
    <n v="17399"/>
    <x v="0"/>
    <n v="49736.639999999999"/>
    <x v="1"/>
    <n v="38"/>
    <x v="3"/>
    <d v="2024-09-14T00:00:00"/>
    <d v="2024-10-22T00:00:00"/>
  </r>
  <r>
    <n v="4166"/>
    <n v="12400"/>
    <x v="1"/>
    <n v="35755.46"/>
    <x v="0"/>
    <n v="6"/>
    <x v="0"/>
    <d v="2024-10-05T00:00:00"/>
    <d v="2024-10-11T00:00:00"/>
  </r>
  <r>
    <n v="4167"/>
    <n v="19903"/>
    <x v="3"/>
    <n v="127386.82"/>
    <x v="0"/>
    <n v="42"/>
    <x v="1"/>
    <d v="2024-08-08T00:00:00"/>
    <d v="2024-09-19T00:00:00"/>
  </r>
  <r>
    <n v="4168"/>
    <n v="18574"/>
    <x v="1"/>
    <n v="180663.21"/>
    <x v="1"/>
    <n v="14"/>
    <x v="1"/>
    <d v="2024-02-15T00:00:00"/>
    <d v="2024-02-29T00:00:00"/>
  </r>
  <r>
    <n v="4169"/>
    <n v="15829"/>
    <x v="3"/>
    <n v="145080.24"/>
    <x v="0"/>
    <n v="25"/>
    <x v="2"/>
    <d v="2024-03-13T00:00:00"/>
    <d v="2024-04-07T00:00:00"/>
  </r>
  <r>
    <n v="4170"/>
    <n v="11083"/>
    <x v="3"/>
    <n v="72966.600000000006"/>
    <x v="0"/>
    <n v="28"/>
    <x v="3"/>
    <d v="2024-02-23T00:00:00"/>
    <d v="2024-03-22T00:00:00"/>
  </r>
  <r>
    <n v="4171"/>
    <n v="11949"/>
    <x v="3"/>
    <n v="119539.8"/>
    <x v="0"/>
    <n v="2"/>
    <x v="1"/>
    <d v="2024-11-22T00:00:00"/>
    <d v="2024-11-24T00:00:00"/>
  </r>
  <r>
    <n v="4172"/>
    <n v="15530"/>
    <x v="0"/>
    <n v="65598.53"/>
    <x v="0"/>
    <n v="21"/>
    <x v="0"/>
    <d v="2024-08-08T00:00:00"/>
    <d v="2024-08-29T00:00:00"/>
  </r>
  <r>
    <n v="4173"/>
    <n v="15202"/>
    <x v="3"/>
    <n v="199834.17"/>
    <x v="0"/>
    <n v="9"/>
    <x v="3"/>
    <d v="2024-12-02T00:00:00"/>
    <d v="2024-12-11T00:00:00"/>
  </r>
  <r>
    <n v="4174"/>
    <n v="15430"/>
    <x v="3"/>
    <n v="151023.64000000001"/>
    <x v="2"/>
    <m/>
    <x v="0"/>
    <d v="2024-01-09T00:00:00"/>
    <m/>
  </r>
  <r>
    <n v="4175"/>
    <n v="13497"/>
    <x v="3"/>
    <n v="124804.42"/>
    <x v="0"/>
    <n v="33"/>
    <x v="1"/>
    <d v="2024-11-21T00:00:00"/>
    <d v="2024-12-24T00:00:00"/>
  </r>
  <r>
    <n v="4176"/>
    <n v="15496"/>
    <x v="0"/>
    <n v="87535.53"/>
    <x v="0"/>
    <n v="26"/>
    <x v="0"/>
    <d v="2024-06-20T00:00:00"/>
    <d v="2024-07-16T00:00:00"/>
  </r>
  <r>
    <n v="4177"/>
    <n v="14930"/>
    <x v="1"/>
    <n v="125539.7"/>
    <x v="0"/>
    <n v="26"/>
    <x v="2"/>
    <d v="2024-03-24T00:00:00"/>
    <d v="2024-04-19T00:00:00"/>
  </r>
  <r>
    <n v="4178"/>
    <n v="13394"/>
    <x v="3"/>
    <n v="71615.13"/>
    <x v="0"/>
    <n v="15"/>
    <x v="0"/>
    <d v="2024-11-25T00:00:00"/>
    <d v="2024-12-10T00:00:00"/>
  </r>
  <r>
    <n v="4179"/>
    <n v="19395"/>
    <x v="1"/>
    <n v="10628.64"/>
    <x v="0"/>
    <n v="44"/>
    <x v="3"/>
    <d v="2024-11-24T00:00:00"/>
    <d v="2025-01-07T00:00:00"/>
  </r>
  <r>
    <n v="4180"/>
    <n v="10773"/>
    <x v="1"/>
    <n v="82042.259999999995"/>
    <x v="0"/>
    <n v="28"/>
    <x v="0"/>
    <d v="2024-01-12T00:00:00"/>
    <d v="2024-02-09T00:00:00"/>
  </r>
  <r>
    <n v="4181"/>
    <n v="17793"/>
    <x v="1"/>
    <n v="186443.76"/>
    <x v="0"/>
    <n v="33"/>
    <x v="0"/>
    <d v="2024-02-01T00:00:00"/>
    <d v="2024-03-05T00:00:00"/>
  </r>
  <r>
    <n v="4182"/>
    <n v="12597"/>
    <x v="3"/>
    <n v="127128.71"/>
    <x v="0"/>
    <n v="28"/>
    <x v="2"/>
    <d v="2024-12-04T00:00:00"/>
    <d v="2025-01-01T00:00:00"/>
  </r>
  <r>
    <n v="4183"/>
    <n v="19595"/>
    <x v="0"/>
    <n v="21371.360000000001"/>
    <x v="0"/>
    <n v="5"/>
    <x v="0"/>
    <d v="2024-10-15T00:00:00"/>
    <d v="2024-10-20T00:00:00"/>
  </r>
  <r>
    <n v="4184"/>
    <n v="17981"/>
    <x v="3"/>
    <n v="177573.75"/>
    <x v="0"/>
    <n v="40"/>
    <x v="0"/>
    <d v="2024-11-15T00:00:00"/>
    <d v="2024-12-25T00:00:00"/>
  </r>
  <r>
    <n v="4185"/>
    <n v="13061"/>
    <x v="1"/>
    <n v="57430.6"/>
    <x v="2"/>
    <m/>
    <x v="1"/>
    <d v="2024-10-30T00:00:00"/>
    <m/>
  </r>
  <r>
    <n v="4186"/>
    <n v="13325"/>
    <x v="3"/>
    <n v="52535.05"/>
    <x v="0"/>
    <n v="4"/>
    <x v="1"/>
    <d v="2024-09-28T00:00:00"/>
    <d v="2024-10-02T00:00:00"/>
  </r>
  <r>
    <n v="4187"/>
    <n v="11403"/>
    <x v="3"/>
    <n v="62932.74"/>
    <x v="0"/>
    <n v="26"/>
    <x v="3"/>
    <d v="2024-06-26T00:00:00"/>
    <d v="2024-07-22T00:00:00"/>
  </r>
  <r>
    <n v="4188"/>
    <n v="13320"/>
    <x v="3"/>
    <n v="117554.44"/>
    <x v="1"/>
    <n v="25"/>
    <x v="1"/>
    <d v="2024-04-23T00:00:00"/>
    <d v="2024-05-18T00:00:00"/>
  </r>
  <r>
    <n v="4189"/>
    <n v="17239"/>
    <x v="1"/>
    <n v="111214.18"/>
    <x v="0"/>
    <n v="10"/>
    <x v="1"/>
    <d v="2024-01-26T00:00:00"/>
    <d v="2024-02-05T00:00:00"/>
  </r>
  <r>
    <n v="4190"/>
    <n v="16649"/>
    <x v="3"/>
    <n v="100825.68"/>
    <x v="0"/>
    <n v="9"/>
    <x v="1"/>
    <d v="2024-08-24T00:00:00"/>
    <d v="2024-09-02T00:00:00"/>
  </r>
  <r>
    <n v="4191"/>
    <n v="17420"/>
    <x v="1"/>
    <n v="144919.69"/>
    <x v="0"/>
    <n v="40"/>
    <x v="1"/>
    <d v="2024-11-05T00:00:00"/>
    <d v="2024-12-15T00:00:00"/>
  </r>
  <r>
    <n v="4192"/>
    <n v="17139"/>
    <x v="3"/>
    <n v="66724.86"/>
    <x v="0"/>
    <n v="32"/>
    <x v="2"/>
    <d v="2024-06-20T00:00:00"/>
    <d v="2024-07-22T00:00:00"/>
  </r>
  <r>
    <n v="4193"/>
    <n v="10869"/>
    <x v="1"/>
    <n v="157502.57999999999"/>
    <x v="1"/>
    <n v="18"/>
    <x v="1"/>
    <d v="2024-08-20T00:00:00"/>
    <d v="2024-09-07T00:00:00"/>
  </r>
  <r>
    <n v="4194"/>
    <n v="16442"/>
    <x v="0"/>
    <n v="39187.730000000003"/>
    <x v="2"/>
    <m/>
    <x v="2"/>
    <d v="2024-02-06T00:00:00"/>
    <m/>
  </r>
  <r>
    <n v="4195"/>
    <n v="19275"/>
    <x v="1"/>
    <n v="157611.04999999999"/>
    <x v="0"/>
    <n v="32"/>
    <x v="2"/>
    <d v="2024-09-21T00:00:00"/>
    <d v="2024-10-23T00:00:00"/>
  </r>
  <r>
    <n v="4196"/>
    <n v="10973"/>
    <x v="1"/>
    <n v="134442.97"/>
    <x v="0"/>
    <n v="5"/>
    <x v="1"/>
    <d v="2024-01-13T00:00:00"/>
    <d v="2024-01-18T00:00:00"/>
  </r>
  <r>
    <n v="4197"/>
    <n v="19417"/>
    <x v="1"/>
    <n v="138225.62"/>
    <x v="0"/>
    <n v="5"/>
    <x v="0"/>
    <d v="2024-11-11T00:00:00"/>
    <d v="2024-11-16T00:00:00"/>
  </r>
  <r>
    <n v="4198"/>
    <n v="19994"/>
    <x v="3"/>
    <n v="98902.91"/>
    <x v="2"/>
    <m/>
    <x v="2"/>
    <d v="2024-04-15T00:00:00"/>
    <m/>
  </r>
  <r>
    <n v="4199"/>
    <n v="11188"/>
    <x v="0"/>
    <n v="135065.29999999999"/>
    <x v="2"/>
    <m/>
    <x v="0"/>
    <d v="2024-05-05T00:00:00"/>
    <m/>
  </r>
  <r>
    <n v="4200"/>
    <n v="15147"/>
    <x v="3"/>
    <n v="20560.419999999998"/>
    <x v="0"/>
    <n v="43"/>
    <x v="0"/>
    <d v="2024-12-01T00:00:00"/>
    <d v="2025-01-13T00:00:00"/>
  </r>
  <r>
    <n v="4201"/>
    <n v="13443"/>
    <x v="1"/>
    <n v="171052.47"/>
    <x v="0"/>
    <n v="7"/>
    <x v="1"/>
    <d v="2024-05-09T00:00:00"/>
    <d v="2024-05-16T00:00:00"/>
  </r>
  <r>
    <n v="4202"/>
    <n v="15684"/>
    <x v="1"/>
    <n v="15831.71"/>
    <x v="0"/>
    <n v="10"/>
    <x v="3"/>
    <d v="2024-11-11T00:00:00"/>
    <d v="2024-11-21T00:00:00"/>
  </r>
  <r>
    <n v="4203"/>
    <n v="11321"/>
    <x v="3"/>
    <n v="34004.589999999997"/>
    <x v="0"/>
    <n v="43"/>
    <x v="1"/>
    <d v="2024-09-12T00:00:00"/>
    <d v="2024-10-25T00:00:00"/>
  </r>
  <r>
    <n v="4204"/>
    <n v="12023"/>
    <x v="3"/>
    <n v="117473.99"/>
    <x v="0"/>
    <n v="9"/>
    <x v="3"/>
    <d v="2024-04-24T00:00:00"/>
    <d v="2024-05-03T00:00:00"/>
  </r>
  <r>
    <n v="4205"/>
    <n v="16740"/>
    <x v="3"/>
    <n v="149185.23000000001"/>
    <x v="0"/>
    <n v="33"/>
    <x v="3"/>
    <d v="2024-10-25T00:00:00"/>
    <d v="2024-11-27T00:00:00"/>
  </r>
  <r>
    <n v="4206"/>
    <n v="15468"/>
    <x v="0"/>
    <n v="19869.060000000001"/>
    <x v="0"/>
    <n v="16"/>
    <x v="1"/>
    <d v="2024-05-03T00:00:00"/>
    <d v="2024-05-19T00:00:00"/>
  </r>
  <r>
    <n v="4207"/>
    <n v="10438"/>
    <x v="2"/>
    <n v="184549.14"/>
    <x v="2"/>
    <m/>
    <x v="1"/>
    <d v="2024-09-12T00:00:00"/>
    <m/>
  </r>
  <r>
    <n v="4208"/>
    <n v="10164"/>
    <x v="1"/>
    <n v="194853.49"/>
    <x v="2"/>
    <m/>
    <x v="3"/>
    <d v="2024-05-18T00:00:00"/>
    <m/>
  </r>
  <r>
    <n v="4209"/>
    <n v="15678"/>
    <x v="1"/>
    <n v="123160.28"/>
    <x v="0"/>
    <n v="6"/>
    <x v="1"/>
    <d v="2024-07-24T00:00:00"/>
    <d v="2024-07-30T00:00:00"/>
  </r>
  <r>
    <n v="4210"/>
    <n v="17835"/>
    <x v="2"/>
    <n v="98842.47"/>
    <x v="0"/>
    <n v="28"/>
    <x v="3"/>
    <d v="2024-02-16T00:00:00"/>
    <d v="2024-03-15T00:00:00"/>
  </r>
  <r>
    <n v="4211"/>
    <n v="13337"/>
    <x v="3"/>
    <n v="149572.01999999999"/>
    <x v="1"/>
    <n v="34"/>
    <x v="0"/>
    <d v="2024-08-04T00:00:00"/>
    <d v="2024-09-07T00:00:00"/>
  </r>
  <r>
    <n v="4212"/>
    <n v="13350"/>
    <x v="3"/>
    <n v="69029.679999999993"/>
    <x v="0"/>
    <n v="3"/>
    <x v="1"/>
    <d v="2024-11-14T00:00:00"/>
    <d v="2024-11-17T00:00:00"/>
  </r>
  <r>
    <n v="4213"/>
    <n v="10987"/>
    <x v="1"/>
    <n v="101186.56"/>
    <x v="0"/>
    <n v="43"/>
    <x v="0"/>
    <d v="2024-12-15T00:00:00"/>
    <d v="2025-01-27T00:00:00"/>
  </r>
  <r>
    <n v="4214"/>
    <n v="12529"/>
    <x v="0"/>
    <n v="183649.45"/>
    <x v="0"/>
    <n v="39"/>
    <x v="2"/>
    <d v="2024-05-02T00:00:00"/>
    <d v="2024-06-10T00:00:00"/>
  </r>
  <r>
    <n v="4215"/>
    <n v="14612"/>
    <x v="0"/>
    <n v="191352.81"/>
    <x v="0"/>
    <n v="29"/>
    <x v="0"/>
    <d v="2024-01-31T00:00:00"/>
    <d v="2024-02-29T00:00:00"/>
  </r>
  <r>
    <n v="4216"/>
    <n v="13845"/>
    <x v="3"/>
    <n v="185778.48"/>
    <x v="0"/>
    <n v="25"/>
    <x v="0"/>
    <d v="2024-02-24T00:00:00"/>
    <d v="2024-03-20T00:00:00"/>
  </r>
  <r>
    <n v="4217"/>
    <n v="15756"/>
    <x v="3"/>
    <n v="56177.37"/>
    <x v="0"/>
    <n v="22"/>
    <x v="3"/>
    <d v="2024-06-01T00:00:00"/>
    <d v="2024-06-23T00:00:00"/>
  </r>
  <r>
    <n v="4218"/>
    <n v="18105"/>
    <x v="3"/>
    <n v="50331.46"/>
    <x v="0"/>
    <n v="32"/>
    <x v="0"/>
    <d v="2024-10-12T00:00:00"/>
    <d v="2024-11-13T00:00:00"/>
  </r>
  <r>
    <n v="4219"/>
    <n v="11326"/>
    <x v="3"/>
    <n v="63044.58"/>
    <x v="0"/>
    <n v="12"/>
    <x v="1"/>
    <d v="2024-02-05T00:00:00"/>
    <d v="2024-02-17T00:00:00"/>
  </r>
  <r>
    <n v="4220"/>
    <n v="18219"/>
    <x v="3"/>
    <n v="91055.67"/>
    <x v="0"/>
    <n v="29"/>
    <x v="3"/>
    <d v="2024-11-01T00:00:00"/>
    <d v="2024-11-30T00:00:00"/>
  </r>
  <r>
    <n v="4221"/>
    <n v="16924"/>
    <x v="1"/>
    <n v="66262.649999999994"/>
    <x v="0"/>
    <n v="41"/>
    <x v="2"/>
    <d v="2024-10-11T00:00:00"/>
    <d v="2024-11-21T00:00:00"/>
  </r>
  <r>
    <n v="4222"/>
    <n v="14593"/>
    <x v="3"/>
    <n v="77971.5"/>
    <x v="1"/>
    <n v="5"/>
    <x v="1"/>
    <d v="2024-09-12T00:00:00"/>
    <d v="2024-09-17T00:00:00"/>
  </r>
  <r>
    <n v="4223"/>
    <n v="16662"/>
    <x v="0"/>
    <n v="126024.21"/>
    <x v="0"/>
    <n v="44"/>
    <x v="2"/>
    <d v="2024-06-26T00:00:00"/>
    <d v="2024-08-09T00:00:00"/>
  </r>
  <r>
    <n v="4224"/>
    <n v="10193"/>
    <x v="3"/>
    <n v="153692.51"/>
    <x v="0"/>
    <n v="43"/>
    <x v="0"/>
    <d v="2024-02-05T00:00:00"/>
    <d v="2024-03-19T00:00:00"/>
  </r>
  <r>
    <n v="4225"/>
    <n v="18783"/>
    <x v="1"/>
    <n v="148433.85"/>
    <x v="0"/>
    <n v="17"/>
    <x v="1"/>
    <d v="2024-09-10T00:00:00"/>
    <d v="2024-09-27T00:00:00"/>
  </r>
  <r>
    <n v="4226"/>
    <n v="12489"/>
    <x v="3"/>
    <n v="163812.6"/>
    <x v="0"/>
    <n v="13"/>
    <x v="1"/>
    <d v="2024-06-10T00:00:00"/>
    <d v="2024-06-23T00:00:00"/>
  </r>
  <r>
    <n v="4227"/>
    <n v="16401"/>
    <x v="3"/>
    <n v="11275.96"/>
    <x v="0"/>
    <n v="23"/>
    <x v="2"/>
    <d v="2024-01-21T00:00:00"/>
    <d v="2024-02-13T00:00:00"/>
  </r>
  <r>
    <n v="4228"/>
    <n v="18304"/>
    <x v="3"/>
    <n v="14308.09"/>
    <x v="1"/>
    <n v="36"/>
    <x v="1"/>
    <d v="2024-10-20T00:00:00"/>
    <d v="2024-11-25T00:00:00"/>
  </r>
  <r>
    <n v="4229"/>
    <n v="19509"/>
    <x v="2"/>
    <n v="158929.68"/>
    <x v="0"/>
    <n v="44"/>
    <x v="1"/>
    <d v="2024-03-15T00:00:00"/>
    <d v="2024-04-28T00:00:00"/>
  </r>
  <r>
    <n v="4230"/>
    <n v="11737"/>
    <x v="0"/>
    <n v="108950.37"/>
    <x v="0"/>
    <n v="17"/>
    <x v="1"/>
    <d v="2024-07-25T00:00:00"/>
    <d v="2024-08-11T00:00:00"/>
  </r>
  <r>
    <n v="4231"/>
    <n v="12061"/>
    <x v="3"/>
    <n v="117737.43"/>
    <x v="1"/>
    <n v="25"/>
    <x v="0"/>
    <d v="2024-06-26T00:00:00"/>
    <d v="2024-07-21T00:00:00"/>
  </r>
  <r>
    <n v="4232"/>
    <n v="19882"/>
    <x v="3"/>
    <n v="15254.44"/>
    <x v="0"/>
    <n v="36"/>
    <x v="2"/>
    <d v="2024-02-06T00:00:00"/>
    <d v="2024-03-13T00:00:00"/>
  </r>
  <r>
    <n v="4233"/>
    <n v="16283"/>
    <x v="2"/>
    <n v="54786.19"/>
    <x v="0"/>
    <n v="29"/>
    <x v="1"/>
    <d v="2024-04-29T00:00:00"/>
    <d v="2024-05-28T00:00:00"/>
  </r>
  <r>
    <n v="4234"/>
    <n v="19586"/>
    <x v="3"/>
    <n v="129479.09"/>
    <x v="0"/>
    <n v="43"/>
    <x v="3"/>
    <d v="2024-04-27T00:00:00"/>
    <d v="2024-06-09T00:00:00"/>
  </r>
  <r>
    <n v="4235"/>
    <n v="16840"/>
    <x v="3"/>
    <n v="172540.47"/>
    <x v="0"/>
    <n v="30"/>
    <x v="3"/>
    <d v="2024-01-01T00:00:00"/>
    <d v="2024-01-31T00:00:00"/>
  </r>
  <r>
    <n v="4236"/>
    <n v="13559"/>
    <x v="1"/>
    <n v="183811.76"/>
    <x v="1"/>
    <n v="22"/>
    <x v="3"/>
    <d v="2024-07-27T00:00:00"/>
    <d v="2024-08-18T00:00:00"/>
  </r>
  <r>
    <n v="4237"/>
    <n v="15461"/>
    <x v="2"/>
    <n v="102581.8"/>
    <x v="0"/>
    <n v="26"/>
    <x v="3"/>
    <d v="2024-11-06T00:00:00"/>
    <d v="2024-12-02T00:00:00"/>
  </r>
  <r>
    <n v="4238"/>
    <n v="17599"/>
    <x v="3"/>
    <n v="111367.48"/>
    <x v="0"/>
    <n v="40"/>
    <x v="0"/>
    <d v="2024-07-26T00:00:00"/>
    <d v="2024-09-04T00:00:00"/>
  </r>
  <r>
    <n v="4239"/>
    <n v="13883"/>
    <x v="3"/>
    <n v="167444.68"/>
    <x v="1"/>
    <n v="32"/>
    <x v="1"/>
    <d v="2024-06-02T00:00:00"/>
    <d v="2024-07-04T00:00:00"/>
  </r>
  <r>
    <n v="4240"/>
    <n v="13251"/>
    <x v="2"/>
    <n v="109836.8"/>
    <x v="0"/>
    <n v="16"/>
    <x v="2"/>
    <d v="2024-09-06T00:00:00"/>
    <d v="2024-09-22T00:00:00"/>
  </r>
  <r>
    <n v="4241"/>
    <n v="15053"/>
    <x v="3"/>
    <n v="105787.41"/>
    <x v="0"/>
    <n v="43"/>
    <x v="1"/>
    <d v="2024-06-19T00:00:00"/>
    <d v="2024-08-01T00:00:00"/>
  </r>
  <r>
    <n v="4242"/>
    <n v="13014"/>
    <x v="3"/>
    <n v="181491.39"/>
    <x v="0"/>
    <n v="36"/>
    <x v="0"/>
    <d v="2024-11-10T00:00:00"/>
    <d v="2024-12-16T00:00:00"/>
  </r>
  <r>
    <n v="4243"/>
    <n v="11128"/>
    <x v="1"/>
    <n v="159036.88"/>
    <x v="0"/>
    <n v="39"/>
    <x v="3"/>
    <d v="2024-11-02T00:00:00"/>
    <d v="2024-12-11T00:00:00"/>
  </r>
  <r>
    <n v="4244"/>
    <n v="16865"/>
    <x v="0"/>
    <n v="182269.14"/>
    <x v="2"/>
    <m/>
    <x v="0"/>
    <d v="2024-04-16T00:00:00"/>
    <m/>
  </r>
  <r>
    <n v="4245"/>
    <n v="16472"/>
    <x v="3"/>
    <n v="47558.18"/>
    <x v="1"/>
    <n v="6"/>
    <x v="1"/>
    <d v="2024-05-22T00:00:00"/>
    <d v="2024-05-28T00:00:00"/>
  </r>
  <r>
    <n v="4246"/>
    <n v="17416"/>
    <x v="2"/>
    <n v="107253.22"/>
    <x v="0"/>
    <n v="14"/>
    <x v="2"/>
    <d v="2024-01-08T00:00:00"/>
    <d v="2024-01-22T00:00:00"/>
  </r>
  <r>
    <n v="4247"/>
    <n v="11696"/>
    <x v="1"/>
    <n v="169282.07"/>
    <x v="0"/>
    <n v="33"/>
    <x v="0"/>
    <d v="2024-04-03T00:00:00"/>
    <d v="2024-05-06T00:00:00"/>
  </r>
  <r>
    <n v="4248"/>
    <n v="18324"/>
    <x v="3"/>
    <n v="26673.83"/>
    <x v="0"/>
    <n v="4"/>
    <x v="2"/>
    <d v="2024-04-06T00:00:00"/>
    <d v="2024-04-10T00:00:00"/>
  </r>
  <r>
    <n v="4249"/>
    <n v="17407"/>
    <x v="2"/>
    <n v="159959.12"/>
    <x v="0"/>
    <n v="16"/>
    <x v="0"/>
    <d v="2024-01-07T00:00:00"/>
    <d v="2024-01-23T00:00:00"/>
  </r>
  <r>
    <n v="4250"/>
    <n v="17245"/>
    <x v="3"/>
    <n v="40679.81"/>
    <x v="0"/>
    <n v="28"/>
    <x v="2"/>
    <d v="2024-09-30T00:00:00"/>
    <d v="2024-10-28T00:00:00"/>
  </r>
  <r>
    <n v="4251"/>
    <n v="14665"/>
    <x v="3"/>
    <n v="162583.16"/>
    <x v="0"/>
    <n v="28"/>
    <x v="2"/>
    <d v="2024-01-12T00:00:00"/>
    <d v="2024-02-09T00:00:00"/>
  </r>
  <r>
    <n v="4252"/>
    <n v="14220"/>
    <x v="1"/>
    <n v="124340.18"/>
    <x v="1"/>
    <n v="31"/>
    <x v="3"/>
    <d v="2024-01-02T00:00:00"/>
    <d v="2024-02-02T00:00:00"/>
  </r>
  <r>
    <n v="4253"/>
    <n v="17574"/>
    <x v="3"/>
    <n v="42681.02"/>
    <x v="1"/>
    <n v="7"/>
    <x v="2"/>
    <d v="2024-12-14T00:00:00"/>
    <d v="2024-12-21T00:00:00"/>
  </r>
  <r>
    <n v="4254"/>
    <n v="16170"/>
    <x v="3"/>
    <n v="97304.06"/>
    <x v="0"/>
    <n v="26"/>
    <x v="3"/>
    <d v="2024-01-07T00:00:00"/>
    <d v="2024-02-02T00:00:00"/>
  </r>
  <r>
    <n v="4255"/>
    <n v="10311"/>
    <x v="3"/>
    <n v="137971.51"/>
    <x v="0"/>
    <n v="29"/>
    <x v="1"/>
    <d v="2024-01-12T00:00:00"/>
    <d v="2024-02-10T00:00:00"/>
  </r>
  <r>
    <n v="4256"/>
    <n v="19977"/>
    <x v="3"/>
    <n v="128601.32"/>
    <x v="0"/>
    <n v="23"/>
    <x v="1"/>
    <d v="2024-12-05T00:00:00"/>
    <d v="2024-12-28T00:00:00"/>
  </r>
  <r>
    <n v="4257"/>
    <n v="15434"/>
    <x v="0"/>
    <n v="88313.2"/>
    <x v="1"/>
    <n v="5"/>
    <x v="3"/>
    <d v="2024-02-26T00:00:00"/>
    <d v="2024-03-02T00:00:00"/>
  </r>
  <r>
    <n v="4258"/>
    <n v="10401"/>
    <x v="1"/>
    <n v="180376.47"/>
    <x v="1"/>
    <n v="16"/>
    <x v="3"/>
    <d v="2024-03-18T00:00:00"/>
    <d v="2024-04-03T00:00:00"/>
  </r>
  <r>
    <n v="4259"/>
    <n v="15554"/>
    <x v="2"/>
    <n v="106256.37"/>
    <x v="2"/>
    <m/>
    <x v="0"/>
    <d v="2024-03-14T00:00:00"/>
    <m/>
  </r>
  <r>
    <n v="4260"/>
    <n v="11596"/>
    <x v="3"/>
    <n v="103644.12"/>
    <x v="0"/>
    <n v="19"/>
    <x v="0"/>
    <d v="2024-08-20T00:00:00"/>
    <d v="2024-09-08T00:00:00"/>
  </r>
  <r>
    <n v="4261"/>
    <n v="10121"/>
    <x v="3"/>
    <n v="17138.87"/>
    <x v="0"/>
    <n v="10"/>
    <x v="0"/>
    <d v="2024-10-05T00:00:00"/>
    <d v="2024-10-15T00:00:00"/>
  </r>
  <r>
    <n v="4262"/>
    <n v="10750"/>
    <x v="3"/>
    <n v="184813.48"/>
    <x v="0"/>
    <n v="5"/>
    <x v="1"/>
    <d v="2024-01-30T00:00:00"/>
    <d v="2024-02-04T00:00:00"/>
  </r>
  <r>
    <n v="4263"/>
    <n v="10105"/>
    <x v="3"/>
    <n v="39537.730000000003"/>
    <x v="0"/>
    <n v="6"/>
    <x v="0"/>
    <d v="2024-11-09T00:00:00"/>
    <d v="2024-11-15T00:00:00"/>
  </r>
  <r>
    <n v="4264"/>
    <n v="16934"/>
    <x v="3"/>
    <n v="108027.22"/>
    <x v="0"/>
    <n v="7"/>
    <x v="2"/>
    <d v="2024-04-04T00:00:00"/>
    <d v="2024-04-11T00:00:00"/>
  </r>
  <r>
    <n v="4265"/>
    <n v="19251"/>
    <x v="1"/>
    <n v="161695.67999999999"/>
    <x v="0"/>
    <n v="13"/>
    <x v="2"/>
    <d v="2024-11-03T00:00:00"/>
    <d v="2024-11-16T00:00:00"/>
  </r>
  <r>
    <n v="4266"/>
    <n v="13238"/>
    <x v="2"/>
    <n v="47013.39"/>
    <x v="0"/>
    <n v="32"/>
    <x v="0"/>
    <d v="2024-02-25T00:00:00"/>
    <d v="2024-03-28T00:00:00"/>
  </r>
  <r>
    <n v="4267"/>
    <n v="11244"/>
    <x v="2"/>
    <n v="107837.79"/>
    <x v="0"/>
    <n v="10"/>
    <x v="2"/>
    <d v="2024-01-10T00:00:00"/>
    <d v="2024-01-20T00:00:00"/>
  </r>
  <r>
    <n v="4268"/>
    <n v="18267"/>
    <x v="3"/>
    <n v="51933.56"/>
    <x v="0"/>
    <n v="8"/>
    <x v="1"/>
    <d v="2024-05-26T00:00:00"/>
    <d v="2024-06-03T00:00:00"/>
  </r>
  <r>
    <n v="4269"/>
    <n v="16865"/>
    <x v="0"/>
    <n v="153140.51999999999"/>
    <x v="0"/>
    <n v="30"/>
    <x v="2"/>
    <d v="2024-12-29T00:00:00"/>
    <d v="2025-01-28T00:00:00"/>
  </r>
  <r>
    <n v="4270"/>
    <n v="19201"/>
    <x v="3"/>
    <n v="115046.53"/>
    <x v="0"/>
    <n v="15"/>
    <x v="1"/>
    <d v="2024-03-27T00:00:00"/>
    <d v="2024-04-11T00:00:00"/>
  </r>
  <r>
    <n v="4271"/>
    <n v="13282"/>
    <x v="3"/>
    <n v="171915.29"/>
    <x v="0"/>
    <n v="21"/>
    <x v="3"/>
    <d v="2024-09-09T00:00:00"/>
    <d v="2024-09-30T00:00:00"/>
  </r>
  <r>
    <n v="4272"/>
    <n v="12275"/>
    <x v="0"/>
    <n v="179438.81"/>
    <x v="0"/>
    <n v="33"/>
    <x v="3"/>
    <d v="2024-07-05T00:00:00"/>
    <d v="2024-08-07T00:00:00"/>
  </r>
  <r>
    <n v="4273"/>
    <n v="13808"/>
    <x v="1"/>
    <n v="131503.03"/>
    <x v="0"/>
    <n v="23"/>
    <x v="3"/>
    <d v="2024-08-20T00:00:00"/>
    <d v="2024-09-12T00:00:00"/>
  </r>
  <r>
    <n v="4274"/>
    <n v="18644"/>
    <x v="3"/>
    <n v="146451.29"/>
    <x v="0"/>
    <n v="37"/>
    <x v="3"/>
    <d v="2024-09-09T00:00:00"/>
    <d v="2024-10-16T00:00:00"/>
  </r>
  <r>
    <n v="4275"/>
    <n v="10765"/>
    <x v="3"/>
    <n v="112097.92"/>
    <x v="2"/>
    <m/>
    <x v="2"/>
    <d v="2024-08-11T00:00:00"/>
    <m/>
  </r>
  <r>
    <n v="4276"/>
    <n v="14582"/>
    <x v="3"/>
    <n v="79963.600000000006"/>
    <x v="0"/>
    <n v="41"/>
    <x v="0"/>
    <d v="2024-12-05T00:00:00"/>
    <d v="2025-01-15T00:00:00"/>
  </r>
  <r>
    <n v="4277"/>
    <n v="12715"/>
    <x v="1"/>
    <n v="131382.99"/>
    <x v="0"/>
    <n v="26"/>
    <x v="2"/>
    <d v="2024-01-04T00:00:00"/>
    <d v="2024-01-30T00:00:00"/>
  </r>
  <r>
    <n v="4278"/>
    <n v="11497"/>
    <x v="3"/>
    <n v="182116.28"/>
    <x v="0"/>
    <n v="32"/>
    <x v="1"/>
    <d v="2024-12-18T00:00:00"/>
    <d v="2025-01-19T00:00:00"/>
  </r>
  <r>
    <n v="4279"/>
    <n v="12838"/>
    <x v="2"/>
    <n v="86252.67"/>
    <x v="1"/>
    <n v="36"/>
    <x v="2"/>
    <d v="2024-04-21T00:00:00"/>
    <d v="2024-05-27T00:00:00"/>
  </r>
  <r>
    <n v="4280"/>
    <n v="16036"/>
    <x v="3"/>
    <n v="66309.960000000006"/>
    <x v="0"/>
    <n v="27"/>
    <x v="2"/>
    <d v="2024-07-11T00:00:00"/>
    <d v="2024-08-07T00:00:00"/>
  </r>
  <r>
    <n v="4281"/>
    <n v="15066"/>
    <x v="3"/>
    <n v="80745.2"/>
    <x v="0"/>
    <n v="5"/>
    <x v="1"/>
    <d v="2024-05-20T00:00:00"/>
    <d v="2024-05-25T00:00:00"/>
  </r>
  <r>
    <n v="4282"/>
    <n v="10489"/>
    <x v="3"/>
    <n v="89902.54"/>
    <x v="0"/>
    <n v="43"/>
    <x v="3"/>
    <d v="2024-11-18T00:00:00"/>
    <d v="2024-12-31T00:00:00"/>
  </r>
  <r>
    <n v="4283"/>
    <n v="16374"/>
    <x v="1"/>
    <n v="19344.400000000001"/>
    <x v="1"/>
    <n v="21"/>
    <x v="3"/>
    <d v="2024-05-19T00:00:00"/>
    <d v="2024-06-09T00:00:00"/>
  </r>
  <r>
    <n v="4284"/>
    <n v="11935"/>
    <x v="3"/>
    <n v="102196.16"/>
    <x v="1"/>
    <n v="35"/>
    <x v="3"/>
    <d v="2024-12-14T00:00:00"/>
    <d v="2025-01-18T00:00:00"/>
  </r>
  <r>
    <n v="4285"/>
    <n v="12749"/>
    <x v="1"/>
    <n v="101391.28"/>
    <x v="0"/>
    <n v="13"/>
    <x v="0"/>
    <d v="2024-04-04T00:00:00"/>
    <d v="2024-04-17T00:00:00"/>
  </r>
  <r>
    <n v="4286"/>
    <n v="19295"/>
    <x v="0"/>
    <n v="119746.55"/>
    <x v="1"/>
    <n v="17"/>
    <x v="1"/>
    <d v="2024-02-10T00:00:00"/>
    <d v="2024-02-27T00:00:00"/>
  </r>
  <r>
    <n v="4287"/>
    <n v="17812"/>
    <x v="2"/>
    <n v="75749.91"/>
    <x v="1"/>
    <n v="43"/>
    <x v="1"/>
    <d v="2024-01-02T00:00:00"/>
    <d v="2024-02-14T00:00:00"/>
  </r>
  <r>
    <n v="4288"/>
    <n v="19791"/>
    <x v="0"/>
    <n v="124555.98"/>
    <x v="0"/>
    <n v="6"/>
    <x v="2"/>
    <d v="2024-10-04T00:00:00"/>
    <d v="2024-10-10T00:00:00"/>
  </r>
  <r>
    <n v="4289"/>
    <n v="17464"/>
    <x v="0"/>
    <n v="176252.18"/>
    <x v="0"/>
    <n v="36"/>
    <x v="0"/>
    <d v="2024-05-29T00:00:00"/>
    <d v="2024-07-04T00:00:00"/>
  </r>
  <r>
    <n v="4290"/>
    <n v="17777"/>
    <x v="1"/>
    <n v="191316.84"/>
    <x v="0"/>
    <n v="28"/>
    <x v="3"/>
    <d v="2024-02-10T00:00:00"/>
    <d v="2024-03-09T00:00:00"/>
  </r>
  <r>
    <n v="4291"/>
    <n v="18417"/>
    <x v="0"/>
    <n v="118804.38"/>
    <x v="1"/>
    <n v="2"/>
    <x v="0"/>
    <d v="2024-12-16T00:00:00"/>
    <d v="2024-12-18T00:00:00"/>
  </r>
  <r>
    <n v="4292"/>
    <n v="16286"/>
    <x v="3"/>
    <n v="13305.24"/>
    <x v="0"/>
    <n v="35"/>
    <x v="1"/>
    <d v="2024-04-25T00:00:00"/>
    <d v="2024-05-30T00:00:00"/>
  </r>
  <r>
    <n v="4293"/>
    <n v="19906"/>
    <x v="3"/>
    <n v="194001.02"/>
    <x v="2"/>
    <m/>
    <x v="1"/>
    <d v="2024-04-29T00:00:00"/>
    <m/>
  </r>
  <r>
    <n v="4294"/>
    <n v="14149"/>
    <x v="3"/>
    <n v="142643.1"/>
    <x v="0"/>
    <n v="33"/>
    <x v="2"/>
    <d v="2024-08-24T00:00:00"/>
    <d v="2024-09-26T00:00:00"/>
  </r>
  <r>
    <n v="4295"/>
    <n v="15848"/>
    <x v="3"/>
    <n v="70512.91"/>
    <x v="0"/>
    <n v="40"/>
    <x v="2"/>
    <d v="2024-09-26T00:00:00"/>
    <d v="2024-11-05T00:00:00"/>
  </r>
  <r>
    <n v="4296"/>
    <n v="17656"/>
    <x v="3"/>
    <n v="33695.75"/>
    <x v="1"/>
    <n v="34"/>
    <x v="1"/>
    <d v="2024-12-14T00:00:00"/>
    <d v="2025-01-17T00:00:00"/>
  </r>
  <r>
    <n v="4297"/>
    <n v="12345"/>
    <x v="2"/>
    <n v="32966.629999999997"/>
    <x v="0"/>
    <n v="32"/>
    <x v="3"/>
    <d v="2024-10-17T00:00:00"/>
    <d v="2024-11-18T00:00:00"/>
  </r>
  <r>
    <n v="4298"/>
    <n v="15549"/>
    <x v="3"/>
    <n v="37710.160000000003"/>
    <x v="0"/>
    <n v="14"/>
    <x v="3"/>
    <d v="2024-01-09T00:00:00"/>
    <d v="2024-01-23T00:00:00"/>
  </r>
  <r>
    <n v="4299"/>
    <n v="16680"/>
    <x v="3"/>
    <n v="13886.64"/>
    <x v="0"/>
    <n v="3"/>
    <x v="0"/>
    <d v="2024-08-26T00:00:00"/>
    <d v="2024-08-29T00:00:00"/>
  </r>
  <r>
    <n v="4300"/>
    <n v="18770"/>
    <x v="1"/>
    <n v="180920.07"/>
    <x v="0"/>
    <n v="31"/>
    <x v="1"/>
    <d v="2024-04-27T00:00:00"/>
    <d v="2024-05-28T00:00:00"/>
  </r>
  <r>
    <n v="4301"/>
    <n v="11698"/>
    <x v="3"/>
    <n v="110449.81"/>
    <x v="0"/>
    <n v="11"/>
    <x v="1"/>
    <d v="2024-12-17T00:00:00"/>
    <d v="2024-12-28T00:00:00"/>
  </r>
  <r>
    <n v="4302"/>
    <n v="16984"/>
    <x v="3"/>
    <n v="141492.09"/>
    <x v="0"/>
    <n v="24"/>
    <x v="3"/>
    <d v="2024-11-10T00:00:00"/>
    <d v="2024-12-04T00:00:00"/>
  </r>
  <r>
    <n v="4303"/>
    <n v="16037"/>
    <x v="3"/>
    <n v="166481.16"/>
    <x v="0"/>
    <n v="34"/>
    <x v="3"/>
    <d v="2024-11-07T00:00:00"/>
    <d v="2024-12-11T00:00:00"/>
  </r>
  <r>
    <n v="4304"/>
    <n v="15256"/>
    <x v="3"/>
    <n v="159350.5"/>
    <x v="2"/>
    <m/>
    <x v="1"/>
    <d v="2024-01-10T00:00:00"/>
    <m/>
  </r>
  <r>
    <n v="4305"/>
    <n v="16551"/>
    <x v="3"/>
    <n v="177108.1"/>
    <x v="2"/>
    <m/>
    <x v="2"/>
    <d v="2024-01-25T00:00:00"/>
    <m/>
  </r>
  <r>
    <n v="4306"/>
    <n v="10278"/>
    <x v="1"/>
    <n v="193614.65"/>
    <x v="0"/>
    <n v="31"/>
    <x v="1"/>
    <d v="2024-06-21T00:00:00"/>
    <d v="2024-07-22T00:00:00"/>
  </r>
  <r>
    <n v="4307"/>
    <n v="11468"/>
    <x v="1"/>
    <n v="90618.77"/>
    <x v="1"/>
    <n v="35"/>
    <x v="1"/>
    <d v="2024-08-12T00:00:00"/>
    <d v="2024-09-16T00:00:00"/>
  </r>
  <r>
    <n v="4308"/>
    <n v="19132"/>
    <x v="3"/>
    <n v="190315.42"/>
    <x v="0"/>
    <n v="40"/>
    <x v="3"/>
    <d v="2024-01-11T00:00:00"/>
    <d v="2024-02-20T00:00:00"/>
  </r>
  <r>
    <n v="4309"/>
    <n v="12318"/>
    <x v="3"/>
    <n v="146041.54"/>
    <x v="0"/>
    <n v="18"/>
    <x v="3"/>
    <d v="2024-04-10T00:00:00"/>
    <d v="2024-04-28T00:00:00"/>
  </r>
  <r>
    <n v="4310"/>
    <n v="14536"/>
    <x v="3"/>
    <n v="18780.3"/>
    <x v="0"/>
    <n v="23"/>
    <x v="2"/>
    <d v="2024-09-21T00:00:00"/>
    <d v="2024-10-14T00:00:00"/>
  </r>
  <r>
    <n v="4311"/>
    <n v="15347"/>
    <x v="1"/>
    <n v="137947.71"/>
    <x v="2"/>
    <m/>
    <x v="2"/>
    <d v="2024-11-22T00:00:00"/>
    <m/>
  </r>
  <r>
    <n v="4312"/>
    <n v="15939"/>
    <x v="3"/>
    <n v="138909.75"/>
    <x v="2"/>
    <m/>
    <x v="0"/>
    <d v="2024-03-23T00:00:00"/>
    <m/>
  </r>
  <r>
    <n v="4313"/>
    <n v="11783"/>
    <x v="3"/>
    <n v="181642.81"/>
    <x v="0"/>
    <n v="23"/>
    <x v="1"/>
    <d v="2024-10-02T00:00:00"/>
    <d v="2024-10-25T00:00:00"/>
  </r>
  <r>
    <n v="4314"/>
    <n v="16630"/>
    <x v="1"/>
    <n v="77721.77"/>
    <x v="0"/>
    <n v="33"/>
    <x v="3"/>
    <d v="2024-12-10T00:00:00"/>
    <d v="2025-01-12T00:00:00"/>
  </r>
  <r>
    <n v="4315"/>
    <n v="13226"/>
    <x v="3"/>
    <n v="119057.74"/>
    <x v="0"/>
    <n v="25"/>
    <x v="2"/>
    <d v="2024-09-17T00:00:00"/>
    <d v="2024-10-12T00:00:00"/>
  </r>
  <r>
    <n v="4316"/>
    <n v="19177"/>
    <x v="3"/>
    <n v="7376.57"/>
    <x v="0"/>
    <n v="12"/>
    <x v="0"/>
    <d v="2024-08-08T00:00:00"/>
    <d v="2024-08-20T00:00:00"/>
  </r>
  <r>
    <n v="4317"/>
    <n v="12819"/>
    <x v="3"/>
    <n v="69754.67"/>
    <x v="0"/>
    <n v="12"/>
    <x v="0"/>
    <d v="2024-11-06T00:00:00"/>
    <d v="2024-11-18T00:00:00"/>
  </r>
  <r>
    <n v="4318"/>
    <n v="13970"/>
    <x v="2"/>
    <n v="17137.53"/>
    <x v="0"/>
    <n v="18"/>
    <x v="3"/>
    <d v="2024-08-06T00:00:00"/>
    <d v="2024-08-24T00:00:00"/>
  </r>
  <r>
    <n v="4319"/>
    <n v="10424"/>
    <x v="0"/>
    <n v="106765.23"/>
    <x v="1"/>
    <n v="33"/>
    <x v="3"/>
    <d v="2024-03-29T00:00:00"/>
    <d v="2024-05-01T00:00:00"/>
  </r>
  <r>
    <n v="4320"/>
    <n v="12105"/>
    <x v="1"/>
    <n v="164402.29"/>
    <x v="0"/>
    <n v="20"/>
    <x v="0"/>
    <d v="2024-01-15T00:00:00"/>
    <d v="2024-02-04T00:00:00"/>
  </r>
  <r>
    <n v="4321"/>
    <n v="12470"/>
    <x v="3"/>
    <n v="45256.32"/>
    <x v="2"/>
    <m/>
    <x v="2"/>
    <d v="2024-09-02T00:00:00"/>
    <m/>
  </r>
  <r>
    <n v="4322"/>
    <n v="15894"/>
    <x v="1"/>
    <n v="107851"/>
    <x v="0"/>
    <n v="33"/>
    <x v="0"/>
    <d v="2024-06-24T00:00:00"/>
    <d v="2024-07-27T00:00:00"/>
  </r>
  <r>
    <n v="4323"/>
    <n v="13794"/>
    <x v="2"/>
    <n v="44781.68"/>
    <x v="0"/>
    <n v="26"/>
    <x v="1"/>
    <d v="2024-01-04T00:00:00"/>
    <d v="2024-01-30T00:00:00"/>
  </r>
  <r>
    <n v="4324"/>
    <n v="12891"/>
    <x v="2"/>
    <n v="28534.25"/>
    <x v="1"/>
    <n v="29"/>
    <x v="1"/>
    <d v="2024-11-29T00:00:00"/>
    <d v="2024-12-28T00:00:00"/>
  </r>
  <r>
    <n v="4325"/>
    <n v="19875"/>
    <x v="3"/>
    <n v="104644.37"/>
    <x v="1"/>
    <n v="41"/>
    <x v="3"/>
    <d v="2024-01-21T00:00:00"/>
    <d v="2024-03-02T00:00:00"/>
  </r>
  <r>
    <n v="4326"/>
    <n v="13147"/>
    <x v="0"/>
    <n v="20433.98"/>
    <x v="0"/>
    <n v="28"/>
    <x v="2"/>
    <d v="2024-07-26T00:00:00"/>
    <d v="2024-08-23T00:00:00"/>
  </r>
  <r>
    <n v="4327"/>
    <n v="14051"/>
    <x v="3"/>
    <n v="119534.15"/>
    <x v="0"/>
    <n v="15"/>
    <x v="2"/>
    <d v="2024-05-16T00:00:00"/>
    <d v="2024-05-31T00:00:00"/>
  </r>
  <r>
    <n v="4328"/>
    <n v="13651"/>
    <x v="3"/>
    <n v="11110.8"/>
    <x v="2"/>
    <m/>
    <x v="1"/>
    <d v="2024-11-17T00:00:00"/>
    <m/>
  </r>
  <r>
    <n v="4329"/>
    <n v="17901"/>
    <x v="1"/>
    <n v="25809.42"/>
    <x v="0"/>
    <n v="40"/>
    <x v="0"/>
    <d v="2024-12-28T00:00:00"/>
    <d v="2025-02-06T00:00:00"/>
  </r>
  <r>
    <n v="4330"/>
    <n v="11174"/>
    <x v="3"/>
    <n v="112249.51"/>
    <x v="0"/>
    <n v="3"/>
    <x v="3"/>
    <d v="2024-08-03T00:00:00"/>
    <d v="2024-08-06T00:00:00"/>
  </r>
  <r>
    <n v="4331"/>
    <n v="12949"/>
    <x v="2"/>
    <n v="120324.45"/>
    <x v="0"/>
    <n v="18"/>
    <x v="0"/>
    <d v="2024-04-26T00:00:00"/>
    <d v="2024-05-14T00:00:00"/>
  </r>
  <r>
    <n v="4332"/>
    <n v="18628"/>
    <x v="3"/>
    <n v="10652.45"/>
    <x v="1"/>
    <n v="2"/>
    <x v="0"/>
    <d v="2024-06-27T00:00:00"/>
    <d v="2024-06-29T00:00:00"/>
  </r>
  <r>
    <n v="4333"/>
    <n v="16116"/>
    <x v="1"/>
    <n v="116808.47"/>
    <x v="1"/>
    <n v="33"/>
    <x v="0"/>
    <d v="2024-09-02T00:00:00"/>
    <d v="2024-10-05T00:00:00"/>
  </r>
  <r>
    <n v="4334"/>
    <n v="10234"/>
    <x v="2"/>
    <n v="168507.99"/>
    <x v="2"/>
    <m/>
    <x v="2"/>
    <d v="2024-05-07T00:00:00"/>
    <m/>
  </r>
  <r>
    <n v="4335"/>
    <n v="17912"/>
    <x v="2"/>
    <n v="145851.65"/>
    <x v="0"/>
    <n v="15"/>
    <x v="1"/>
    <d v="2024-12-23T00:00:00"/>
    <d v="2025-01-07T00:00:00"/>
  </r>
  <r>
    <n v="4336"/>
    <n v="14770"/>
    <x v="3"/>
    <n v="30581.1"/>
    <x v="0"/>
    <n v="32"/>
    <x v="2"/>
    <d v="2024-03-18T00:00:00"/>
    <d v="2024-04-19T00:00:00"/>
  </r>
  <r>
    <n v="4337"/>
    <n v="15128"/>
    <x v="3"/>
    <n v="120532.56"/>
    <x v="0"/>
    <n v="19"/>
    <x v="1"/>
    <d v="2024-08-16T00:00:00"/>
    <d v="2024-09-04T00:00:00"/>
  </r>
  <r>
    <n v="4338"/>
    <n v="14856"/>
    <x v="1"/>
    <n v="136089.24"/>
    <x v="1"/>
    <n v="15"/>
    <x v="3"/>
    <d v="2024-10-19T00:00:00"/>
    <d v="2024-11-03T00:00:00"/>
  </r>
  <r>
    <n v="4339"/>
    <n v="18159"/>
    <x v="3"/>
    <n v="12260.08"/>
    <x v="0"/>
    <n v="15"/>
    <x v="3"/>
    <d v="2024-09-18T00:00:00"/>
    <d v="2024-10-03T00:00:00"/>
  </r>
  <r>
    <n v="4340"/>
    <n v="12474"/>
    <x v="2"/>
    <n v="171792.8"/>
    <x v="0"/>
    <n v="25"/>
    <x v="0"/>
    <d v="2024-03-22T00:00:00"/>
    <d v="2024-04-16T00:00:00"/>
  </r>
  <r>
    <n v="4341"/>
    <n v="10226"/>
    <x v="2"/>
    <n v="181722.14"/>
    <x v="0"/>
    <n v="6"/>
    <x v="1"/>
    <d v="2024-12-07T00:00:00"/>
    <d v="2024-12-13T00:00:00"/>
  </r>
  <r>
    <n v="4342"/>
    <n v="16160"/>
    <x v="3"/>
    <n v="170838.19"/>
    <x v="0"/>
    <n v="17"/>
    <x v="1"/>
    <d v="2024-12-03T00:00:00"/>
    <d v="2024-12-20T00:00:00"/>
  </r>
  <r>
    <n v="4343"/>
    <n v="14801"/>
    <x v="3"/>
    <n v="165803.14000000001"/>
    <x v="1"/>
    <n v="6"/>
    <x v="1"/>
    <d v="2024-11-02T00:00:00"/>
    <d v="2024-11-08T00:00:00"/>
  </r>
  <r>
    <n v="4344"/>
    <n v="15357"/>
    <x v="3"/>
    <n v="150268.21"/>
    <x v="0"/>
    <n v="14"/>
    <x v="0"/>
    <d v="2024-03-06T00:00:00"/>
    <d v="2024-03-20T00:00:00"/>
  </r>
  <r>
    <n v="4345"/>
    <n v="17548"/>
    <x v="2"/>
    <n v="128519.25"/>
    <x v="2"/>
    <m/>
    <x v="0"/>
    <d v="2024-04-05T00:00:00"/>
    <m/>
  </r>
  <r>
    <n v="4346"/>
    <n v="13995"/>
    <x v="3"/>
    <n v="137332.26999999999"/>
    <x v="0"/>
    <n v="16"/>
    <x v="3"/>
    <d v="2024-05-24T00:00:00"/>
    <d v="2024-06-09T00:00:00"/>
  </r>
  <r>
    <n v="4347"/>
    <n v="11410"/>
    <x v="3"/>
    <n v="162247.07999999999"/>
    <x v="2"/>
    <m/>
    <x v="2"/>
    <d v="2024-03-05T00:00:00"/>
    <m/>
  </r>
  <r>
    <n v="4348"/>
    <n v="14764"/>
    <x v="3"/>
    <n v="134187.20000000001"/>
    <x v="1"/>
    <n v="6"/>
    <x v="1"/>
    <d v="2024-01-09T00:00:00"/>
    <d v="2024-01-15T00:00:00"/>
  </r>
  <r>
    <n v="4349"/>
    <n v="11337"/>
    <x v="1"/>
    <n v="68906.759999999995"/>
    <x v="0"/>
    <n v="22"/>
    <x v="1"/>
    <d v="2024-12-22T00:00:00"/>
    <d v="2025-01-13T00:00:00"/>
  </r>
  <r>
    <n v="4350"/>
    <n v="15420"/>
    <x v="3"/>
    <n v="78312.41"/>
    <x v="2"/>
    <m/>
    <x v="2"/>
    <d v="2024-07-04T00:00:00"/>
    <m/>
  </r>
  <r>
    <n v="4351"/>
    <n v="10117"/>
    <x v="3"/>
    <n v="179926.21"/>
    <x v="0"/>
    <n v="24"/>
    <x v="1"/>
    <d v="2024-06-06T00:00:00"/>
    <d v="2024-06-30T00:00:00"/>
  </r>
  <r>
    <n v="4352"/>
    <n v="11868"/>
    <x v="2"/>
    <n v="8338.81"/>
    <x v="1"/>
    <n v="39"/>
    <x v="0"/>
    <d v="2024-01-31T00:00:00"/>
    <d v="2024-03-10T00:00:00"/>
  </r>
  <r>
    <n v="4353"/>
    <n v="12097"/>
    <x v="2"/>
    <n v="141270.01"/>
    <x v="1"/>
    <n v="30"/>
    <x v="0"/>
    <d v="2024-05-30T00:00:00"/>
    <d v="2024-06-29T00:00:00"/>
  </r>
  <r>
    <n v="4354"/>
    <n v="11813"/>
    <x v="1"/>
    <n v="191181.62"/>
    <x v="1"/>
    <n v="14"/>
    <x v="1"/>
    <d v="2024-11-14T00:00:00"/>
    <d v="2024-11-28T00:00:00"/>
  </r>
  <r>
    <n v="4355"/>
    <n v="19779"/>
    <x v="3"/>
    <n v="142714.49"/>
    <x v="0"/>
    <n v="33"/>
    <x v="0"/>
    <d v="2024-08-29T00:00:00"/>
    <d v="2024-10-01T00:00:00"/>
  </r>
  <r>
    <n v="4356"/>
    <n v="18734"/>
    <x v="3"/>
    <n v="198812.84"/>
    <x v="0"/>
    <n v="43"/>
    <x v="0"/>
    <d v="2024-06-04T00:00:00"/>
    <d v="2024-07-17T00:00:00"/>
  </r>
  <r>
    <n v="4357"/>
    <n v="12374"/>
    <x v="1"/>
    <n v="139071.26"/>
    <x v="0"/>
    <n v="28"/>
    <x v="1"/>
    <d v="2024-02-28T00:00:00"/>
    <d v="2024-03-27T00:00:00"/>
  </r>
  <r>
    <n v="4358"/>
    <n v="11526"/>
    <x v="3"/>
    <n v="11700.79"/>
    <x v="0"/>
    <n v="35"/>
    <x v="3"/>
    <d v="2024-01-10T00:00:00"/>
    <d v="2024-02-14T00:00:00"/>
  </r>
  <r>
    <n v="4359"/>
    <n v="17087"/>
    <x v="2"/>
    <n v="166266.93"/>
    <x v="1"/>
    <n v="34"/>
    <x v="2"/>
    <d v="2024-12-10T00:00:00"/>
    <d v="2025-01-13T00:00:00"/>
  </r>
  <r>
    <n v="4360"/>
    <n v="19461"/>
    <x v="1"/>
    <n v="60502.83"/>
    <x v="1"/>
    <n v="5"/>
    <x v="0"/>
    <d v="2024-05-03T00:00:00"/>
    <d v="2024-05-08T00:00:00"/>
  </r>
  <r>
    <n v="4361"/>
    <n v="18793"/>
    <x v="3"/>
    <n v="91981.16"/>
    <x v="2"/>
    <m/>
    <x v="3"/>
    <d v="2024-12-21T00:00:00"/>
    <m/>
  </r>
  <r>
    <n v="4362"/>
    <n v="13614"/>
    <x v="2"/>
    <n v="65857.919999999998"/>
    <x v="0"/>
    <n v="7"/>
    <x v="0"/>
    <d v="2024-12-11T00:00:00"/>
    <d v="2024-12-18T00:00:00"/>
  </r>
  <r>
    <n v="4363"/>
    <n v="12149"/>
    <x v="2"/>
    <n v="57368.05"/>
    <x v="1"/>
    <n v="29"/>
    <x v="0"/>
    <d v="2024-10-08T00:00:00"/>
    <d v="2024-11-06T00:00:00"/>
  </r>
  <r>
    <n v="4364"/>
    <n v="13301"/>
    <x v="3"/>
    <n v="89124.11"/>
    <x v="2"/>
    <m/>
    <x v="2"/>
    <d v="2024-08-24T00:00:00"/>
    <m/>
  </r>
  <r>
    <n v="4365"/>
    <n v="18579"/>
    <x v="1"/>
    <n v="78856.53"/>
    <x v="1"/>
    <n v="27"/>
    <x v="0"/>
    <d v="2024-11-28T00:00:00"/>
    <d v="2024-12-25T00:00:00"/>
  </r>
  <r>
    <n v="4366"/>
    <n v="13680"/>
    <x v="3"/>
    <n v="128501.02"/>
    <x v="0"/>
    <n v="21"/>
    <x v="2"/>
    <d v="2024-01-17T00:00:00"/>
    <d v="2024-02-07T00:00:00"/>
  </r>
  <r>
    <n v="4367"/>
    <n v="19794"/>
    <x v="3"/>
    <n v="163564.48000000001"/>
    <x v="0"/>
    <n v="14"/>
    <x v="2"/>
    <d v="2024-11-19T00:00:00"/>
    <d v="2024-12-03T00:00:00"/>
  </r>
  <r>
    <n v="4368"/>
    <n v="13282"/>
    <x v="3"/>
    <n v="62932.29"/>
    <x v="0"/>
    <n v="29"/>
    <x v="2"/>
    <d v="2024-01-23T00:00:00"/>
    <d v="2024-02-21T00:00:00"/>
  </r>
  <r>
    <n v="4369"/>
    <n v="12696"/>
    <x v="1"/>
    <n v="46675.62"/>
    <x v="0"/>
    <n v="35"/>
    <x v="3"/>
    <d v="2024-01-09T00:00:00"/>
    <d v="2024-02-13T00:00:00"/>
  </r>
  <r>
    <n v="4370"/>
    <n v="14151"/>
    <x v="2"/>
    <n v="135044.57999999999"/>
    <x v="0"/>
    <n v="24"/>
    <x v="1"/>
    <d v="2024-07-25T00:00:00"/>
    <d v="2024-08-18T00:00:00"/>
  </r>
  <r>
    <n v="4371"/>
    <n v="11305"/>
    <x v="1"/>
    <n v="135712.41"/>
    <x v="2"/>
    <m/>
    <x v="3"/>
    <d v="2024-02-14T00:00:00"/>
    <m/>
  </r>
  <r>
    <n v="4372"/>
    <n v="10716"/>
    <x v="3"/>
    <n v="180720.59"/>
    <x v="0"/>
    <n v="31"/>
    <x v="1"/>
    <d v="2024-11-26T00:00:00"/>
    <d v="2024-12-27T00:00:00"/>
  </r>
  <r>
    <n v="4373"/>
    <n v="15845"/>
    <x v="1"/>
    <n v="8109.41"/>
    <x v="0"/>
    <n v="23"/>
    <x v="1"/>
    <d v="2024-01-27T00:00:00"/>
    <d v="2024-02-19T00:00:00"/>
  </r>
  <r>
    <n v="4374"/>
    <n v="15758"/>
    <x v="3"/>
    <n v="171342.93"/>
    <x v="0"/>
    <n v="6"/>
    <x v="2"/>
    <d v="2024-07-06T00:00:00"/>
    <d v="2024-07-12T00:00:00"/>
  </r>
  <r>
    <n v="4375"/>
    <n v="13655"/>
    <x v="0"/>
    <n v="106595.42"/>
    <x v="1"/>
    <n v="10"/>
    <x v="0"/>
    <d v="2024-05-19T00:00:00"/>
    <d v="2024-05-29T00:00:00"/>
  </r>
  <r>
    <n v="4376"/>
    <n v="16359"/>
    <x v="3"/>
    <n v="126153.91"/>
    <x v="2"/>
    <m/>
    <x v="2"/>
    <d v="2024-01-09T00:00:00"/>
    <m/>
  </r>
  <r>
    <n v="4377"/>
    <n v="18505"/>
    <x v="3"/>
    <n v="22817.43"/>
    <x v="1"/>
    <n v="5"/>
    <x v="0"/>
    <d v="2024-08-21T00:00:00"/>
    <d v="2024-08-26T00:00:00"/>
  </r>
  <r>
    <n v="4378"/>
    <n v="12280"/>
    <x v="3"/>
    <n v="89359.91"/>
    <x v="0"/>
    <n v="43"/>
    <x v="1"/>
    <d v="2024-04-01T00:00:00"/>
    <d v="2024-05-14T00:00:00"/>
  </r>
  <r>
    <n v="4379"/>
    <n v="12622"/>
    <x v="1"/>
    <n v="49323.97"/>
    <x v="0"/>
    <n v="2"/>
    <x v="2"/>
    <d v="2024-03-17T00:00:00"/>
    <d v="2024-03-19T00:00:00"/>
  </r>
  <r>
    <n v="4380"/>
    <n v="19079"/>
    <x v="3"/>
    <n v="54573.88"/>
    <x v="1"/>
    <n v="35"/>
    <x v="0"/>
    <d v="2024-12-05T00:00:00"/>
    <d v="2025-01-09T00:00:00"/>
  </r>
  <r>
    <n v="4381"/>
    <n v="14342"/>
    <x v="1"/>
    <n v="103298.55"/>
    <x v="0"/>
    <n v="42"/>
    <x v="3"/>
    <d v="2024-08-31T00:00:00"/>
    <d v="2024-10-12T00:00:00"/>
  </r>
  <r>
    <n v="4382"/>
    <n v="12489"/>
    <x v="3"/>
    <n v="163428.91"/>
    <x v="0"/>
    <n v="27"/>
    <x v="0"/>
    <d v="2024-11-28T00:00:00"/>
    <d v="2024-12-25T00:00:00"/>
  </r>
  <r>
    <n v="4383"/>
    <n v="11922"/>
    <x v="3"/>
    <n v="150037.28"/>
    <x v="0"/>
    <n v="19"/>
    <x v="2"/>
    <d v="2024-06-03T00:00:00"/>
    <d v="2024-06-22T00:00:00"/>
  </r>
  <r>
    <n v="4384"/>
    <n v="16278"/>
    <x v="3"/>
    <n v="120244.99"/>
    <x v="0"/>
    <n v="17"/>
    <x v="3"/>
    <d v="2024-08-05T00:00:00"/>
    <d v="2024-08-22T00:00:00"/>
  </r>
  <r>
    <n v="4385"/>
    <n v="18115"/>
    <x v="2"/>
    <n v="110186.55"/>
    <x v="1"/>
    <n v="24"/>
    <x v="0"/>
    <d v="2024-10-11T00:00:00"/>
    <d v="2024-11-04T00:00:00"/>
  </r>
  <r>
    <n v="4386"/>
    <n v="18049"/>
    <x v="2"/>
    <n v="88324.68"/>
    <x v="0"/>
    <n v="37"/>
    <x v="0"/>
    <d v="2024-05-29T00:00:00"/>
    <d v="2024-07-05T00:00:00"/>
  </r>
  <r>
    <n v="4387"/>
    <n v="14029"/>
    <x v="3"/>
    <n v="194678.44"/>
    <x v="0"/>
    <n v="27"/>
    <x v="0"/>
    <d v="2024-11-24T00:00:00"/>
    <d v="2024-12-21T00:00:00"/>
  </r>
  <r>
    <n v="4388"/>
    <n v="13063"/>
    <x v="3"/>
    <n v="114237.55"/>
    <x v="0"/>
    <n v="3"/>
    <x v="0"/>
    <d v="2024-03-28T00:00:00"/>
    <d v="2024-03-31T00:00:00"/>
  </r>
  <r>
    <n v="4389"/>
    <n v="18352"/>
    <x v="3"/>
    <n v="54523.45"/>
    <x v="0"/>
    <n v="6"/>
    <x v="0"/>
    <d v="2024-04-15T00:00:00"/>
    <d v="2024-04-21T00:00:00"/>
  </r>
  <r>
    <n v="4390"/>
    <n v="19675"/>
    <x v="1"/>
    <n v="49867.7"/>
    <x v="0"/>
    <n v="30"/>
    <x v="3"/>
    <d v="2024-10-20T00:00:00"/>
    <d v="2024-11-19T00:00:00"/>
  </r>
  <r>
    <n v="4391"/>
    <n v="13892"/>
    <x v="3"/>
    <n v="124213.84"/>
    <x v="0"/>
    <n v="5"/>
    <x v="1"/>
    <d v="2024-04-04T00:00:00"/>
    <d v="2024-04-09T00:00:00"/>
  </r>
  <r>
    <n v="4392"/>
    <n v="11737"/>
    <x v="2"/>
    <n v="106951.37"/>
    <x v="0"/>
    <n v="36"/>
    <x v="3"/>
    <d v="2024-09-09T00:00:00"/>
    <d v="2024-10-15T00:00:00"/>
  </r>
  <r>
    <n v="4393"/>
    <n v="14220"/>
    <x v="2"/>
    <n v="6501.07"/>
    <x v="0"/>
    <n v="23"/>
    <x v="3"/>
    <d v="2024-02-08T00:00:00"/>
    <d v="2024-03-02T00:00:00"/>
  </r>
  <r>
    <n v="4394"/>
    <n v="17080"/>
    <x v="3"/>
    <n v="166862.75"/>
    <x v="0"/>
    <n v="9"/>
    <x v="3"/>
    <d v="2024-09-11T00:00:00"/>
    <d v="2024-09-20T00:00:00"/>
  </r>
  <r>
    <n v="4395"/>
    <n v="19562"/>
    <x v="3"/>
    <n v="142303.85999999999"/>
    <x v="0"/>
    <n v="22"/>
    <x v="1"/>
    <d v="2024-02-23T00:00:00"/>
    <d v="2024-03-16T00:00:00"/>
  </r>
  <r>
    <n v="4396"/>
    <n v="13395"/>
    <x v="0"/>
    <n v="134056.71"/>
    <x v="0"/>
    <n v="9"/>
    <x v="2"/>
    <d v="2024-08-30T00:00:00"/>
    <d v="2024-09-08T00:00:00"/>
  </r>
  <r>
    <n v="4397"/>
    <n v="12454"/>
    <x v="0"/>
    <n v="18412.23"/>
    <x v="0"/>
    <n v="6"/>
    <x v="1"/>
    <d v="2024-04-19T00:00:00"/>
    <d v="2024-04-25T00:00:00"/>
  </r>
  <r>
    <n v="4398"/>
    <n v="14957"/>
    <x v="3"/>
    <n v="75600.89"/>
    <x v="1"/>
    <n v="22"/>
    <x v="3"/>
    <d v="2024-09-10T00:00:00"/>
    <d v="2024-10-02T00:00:00"/>
  </r>
  <r>
    <n v="4399"/>
    <n v="12287"/>
    <x v="3"/>
    <n v="187399.54"/>
    <x v="0"/>
    <n v="28"/>
    <x v="0"/>
    <d v="2024-04-21T00:00:00"/>
    <d v="2024-05-19T00:00:00"/>
  </r>
  <r>
    <n v="4400"/>
    <n v="19428"/>
    <x v="3"/>
    <n v="173204.9"/>
    <x v="0"/>
    <n v="39"/>
    <x v="0"/>
    <d v="2024-06-22T00:00:00"/>
    <d v="2024-07-31T00:00:00"/>
  </r>
  <r>
    <n v="4401"/>
    <n v="18150"/>
    <x v="3"/>
    <n v="60680.87"/>
    <x v="0"/>
    <n v="6"/>
    <x v="3"/>
    <d v="2024-07-07T00:00:00"/>
    <d v="2024-07-13T00:00:00"/>
  </r>
  <r>
    <n v="4402"/>
    <n v="16292"/>
    <x v="3"/>
    <n v="35626.480000000003"/>
    <x v="2"/>
    <m/>
    <x v="0"/>
    <d v="2024-08-08T00:00:00"/>
    <m/>
  </r>
  <r>
    <n v="4403"/>
    <n v="19398"/>
    <x v="3"/>
    <n v="92572.15"/>
    <x v="0"/>
    <n v="9"/>
    <x v="3"/>
    <d v="2024-09-05T00:00:00"/>
    <d v="2024-09-14T00:00:00"/>
  </r>
  <r>
    <n v="4404"/>
    <n v="18696"/>
    <x v="1"/>
    <n v="74386.92"/>
    <x v="0"/>
    <n v="23"/>
    <x v="0"/>
    <d v="2024-02-21T00:00:00"/>
    <d v="2024-03-15T00:00:00"/>
  </r>
  <r>
    <n v="4405"/>
    <n v="19595"/>
    <x v="3"/>
    <n v="138034.14000000001"/>
    <x v="1"/>
    <n v="19"/>
    <x v="1"/>
    <d v="2024-06-10T00:00:00"/>
    <d v="2024-06-29T00:00:00"/>
  </r>
  <r>
    <n v="4406"/>
    <n v="19959"/>
    <x v="3"/>
    <n v="193454.79"/>
    <x v="1"/>
    <n v="5"/>
    <x v="2"/>
    <d v="2024-02-04T00:00:00"/>
    <d v="2024-02-09T00:00:00"/>
  </r>
  <r>
    <n v="4407"/>
    <n v="13733"/>
    <x v="3"/>
    <n v="75785.279999999999"/>
    <x v="1"/>
    <n v="5"/>
    <x v="2"/>
    <d v="2024-02-06T00:00:00"/>
    <d v="2024-02-11T00:00:00"/>
  </r>
  <r>
    <n v="4408"/>
    <n v="18892"/>
    <x v="0"/>
    <n v="17133.71"/>
    <x v="0"/>
    <n v="38"/>
    <x v="1"/>
    <d v="2024-11-29T00:00:00"/>
    <d v="2025-01-06T00:00:00"/>
  </r>
  <r>
    <n v="4409"/>
    <n v="15113"/>
    <x v="0"/>
    <n v="180034.73"/>
    <x v="0"/>
    <n v="16"/>
    <x v="1"/>
    <d v="2024-11-12T00:00:00"/>
    <d v="2024-11-28T00:00:00"/>
  </r>
  <r>
    <n v="4410"/>
    <n v="13005"/>
    <x v="3"/>
    <n v="12400.2"/>
    <x v="0"/>
    <n v="39"/>
    <x v="3"/>
    <d v="2024-04-20T00:00:00"/>
    <d v="2024-05-29T00:00:00"/>
  </r>
  <r>
    <n v="4411"/>
    <n v="14790"/>
    <x v="3"/>
    <n v="190789.35"/>
    <x v="2"/>
    <m/>
    <x v="3"/>
    <d v="2024-06-25T00:00:00"/>
    <m/>
  </r>
  <r>
    <n v="4412"/>
    <n v="10010"/>
    <x v="2"/>
    <n v="134592.99"/>
    <x v="0"/>
    <n v="22"/>
    <x v="3"/>
    <d v="2024-01-09T00:00:00"/>
    <d v="2024-01-31T00:00:00"/>
  </r>
  <r>
    <n v="4413"/>
    <n v="15221"/>
    <x v="3"/>
    <n v="188629.4"/>
    <x v="0"/>
    <n v="5"/>
    <x v="0"/>
    <d v="2024-10-01T00:00:00"/>
    <d v="2024-10-06T00:00:00"/>
  </r>
  <r>
    <n v="4414"/>
    <n v="13677"/>
    <x v="3"/>
    <n v="43933.64"/>
    <x v="2"/>
    <m/>
    <x v="3"/>
    <d v="2024-04-30T00:00:00"/>
    <m/>
  </r>
  <r>
    <n v="4415"/>
    <n v="19164"/>
    <x v="3"/>
    <n v="12936.46"/>
    <x v="2"/>
    <m/>
    <x v="1"/>
    <d v="2024-04-14T00:00:00"/>
    <m/>
  </r>
  <r>
    <n v="4416"/>
    <n v="17334"/>
    <x v="3"/>
    <n v="100200.95"/>
    <x v="2"/>
    <m/>
    <x v="2"/>
    <d v="2024-06-04T00:00:00"/>
    <m/>
  </r>
  <r>
    <n v="4417"/>
    <n v="15164"/>
    <x v="3"/>
    <n v="92871.57"/>
    <x v="1"/>
    <n v="28"/>
    <x v="0"/>
    <d v="2024-12-01T00:00:00"/>
    <d v="2024-12-29T00:00:00"/>
  </r>
  <r>
    <n v="4418"/>
    <n v="19033"/>
    <x v="2"/>
    <n v="69640.990000000005"/>
    <x v="2"/>
    <m/>
    <x v="3"/>
    <d v="2024-01-26T00:00:00"/>
    <m/>
  </r>
  <r>
    <n v="4419"/>
    <n v="16860"/>
    <x v="1"/>
    <n v="191743.01"/>
    <x v="0"/>
    <n v="43"/>
    <x v="0"/>
    <d v="2024-10-22T00:00:00"/>
    <d v="2024-12-04T00:00:00"/>
  </r>
  <r>
    <n v="4420"/>
    <n v="18105"/>
    <x v="3"/>
    <n v="165403.82999999999"/>
    <x v="1"/>
    <n v="29"/>
    <x v="0"/>
    <d v="2024-01-25T00:00:00"/>
    <d v="2024-02-23T00:00:00"/>
  </r>
  <r>
    <n v="4421"/>
    <n v="10284"/>
    <x v="2"/>
    <n v="134008.49"/>
    <x v="1"/>
    <n v="6"/>
    <x v="3"/>
    <d v="2024-12-20T00:00:00"/>
    <d v="2024-12-26T00:00:00"/>
  </r>
  <r>
    <n v="4422"/>
    <n v="16543"/>
    <x v="3"/>
    <n v="36757.370000000003"/>
    <x v="0"/>
    <n v="26"/>
    <x v="0"/>
    <d v="2024-03-09T00:00:00"/>
    <d v="2024-04-04T00:00:00"/>
  </r>
  <r>
    <n v="4423"/>
    <n v="15570"/>
    <x v="3"/>
    <n v="148193.06"/>
    <x v="0"/>
    <n v="4"/>
    <x v="2"/>
    <d v="2024-11-22T00:00:00"/>
    <d v="2024-11-26T00:00:00"/>
  </r>
  <r>
    <n v="4424"/>
    <n v="15731"/>
    <x v="1"/>
    <n v="146767.43"/>
    <x v="2"/>
    <m/>
    <x v="1"/>
    <d v="2024-05-30T00:00:00"/>
    <m/>
  </r>
  <r>
    <n v="4425"/>
    <n v="17611"/>
    <x v="1"/>
    <n v="87888.29"/>
    <x v="0"/>
    <n v="11"/>
    <x v="1"/>
    <d v="2024-12-10T00:00:00"/>
    <d v="2024-12-21T00:00:00"/>
  </r>
  <r>
    <n v="4426"/>
    <n v="12435"/>
    <x v="3"/>
    <n v="185333.25"/>
    <x v="1"/>
    <n v="25"/>
    <x v="2"/>
    <d v="2024-03-05T00:00:00"/>
    <d v="2024-03-30T00:00:00"/>
  </r>
  <r>
    <n v="4427"/>
    <n v="17523"/>
    <x v="3"/>
    <n v="37560.69"/>
    <x v="0"/>
    <n v="30"/>
    <x v="0"/>
    <d v="2024-05-29T00:00:00"/>
    <d v="2024-06-28T00:00:00"/>
  </r>
  <r>
    <n v="4428"/>
    <n v="11029"/>
    <x v="1"/>
    <n v="57130.82"/>
    <x v="0"/>
    <n v="8"/>
    <x v="3"/>
    <d v="2024-11-15T00:00:00"/>
    <d v="2024-11-23T00:00:00"/>
  </r>
  <r>
    <n v="4429"/>
    <n v="16584"/>
    <x v="1"/>
    <n v="17328.75"/>
    <x v="0"/>
    <n v="24"/>
    <x v="0"/>
    <d v="2024-09-01T00:00:00"/>
    <d v="2024-09-25T00:00:00"/>
  </r>
  <r>
    <n v="4430"/>
    <n v="18091"/>
    <x v="1"/>
    <n v="160112.94"/>
    <x v="0"/>
    <n v="28"/>
    <x v="2"/>
    <d v="2024-02-27T00:00:00"/>
    <d v="2024-03-26T00:00:00"/>
  </r>
  <r>
    <n v="4431"/>
    <n v="14451"/>
    <x v="3"/>
    <n v="126243.08"/>
    <x v="0"/>
    <n v="43"/>
    <x v="0"/>
    <d v="2024-06-04T00:00:00"/>
    <d v="2024-07-17T00:00:00"/>
  </r>
  <r>
    <n v="4432"/>
    <n v="12966"/>
    <x v="3"/>
    <n v="66413.36"/>
    <x v="0"/>
    <n v="10"/>
    <x v="1"/>
    <d v="2024-04-21T00:00:00"/>
    <d v="2024-05-01T00:00:00"/>
  </r>
  <r>
    <n v="4433"/>
    <n v="17755"/>
    <x v="3"/>
    <n v="36943.660000000003"/>
    <x v="0"/>
    <n v="4"/>
    <x v="0"/>
    <d v="2024-05-02T00:00:00"/>
    <d v="2024-05-06T00:00:00"/>
  </r>
  <r>
    <n v="4434"/>
    <n v="10553"/>
    <x v="3"/>
    <n v="12828.82"/>
    <x v="0"/>
    <n v="14"/>
    <x v="2"/>
    <d v="2024-12-18T00:00:00"/>
    <d v="2025-01-01T00:00:00"/>
  </r>
  <r>
    <n v="4435"/>
    <n v="10267"/>
    <x v="2"/>
    <n v="37515.39"/>
    <x v="0"/>
    <n v="7"/>
    <x v="1"/>
    <d v="2024-12-27T00:00:00"/>
    <d v="2025-01-03T00:00:00"/>
  </r>
  <r>
    <n v="4436"/>
    <n v="17135"/>
    <x v="3"/>
    <n v="93390.51"/>
    <x v="0"/>
    <n v="39"/>
    <x v="0"/>
    <d v="2024-07-21T00:00:00"/>
    <d v="2024-08-29T00:00:00"/>
  </r>
  <r>
    <n v="4437"/>
    <n v="11240"/>
    <x v="3"/>
    <n v="53199.51"/>
    <x v="1"/>
    <n v="22"/>
    <x v="0"/>
    <d v="2024-01-04T00:00:00"/>
    <d v="2024-01-26T00:00:00"/>
  </r>
  <r>
    <n v="4438"/>
    <n v="14159"/>
    <x v="1"/>
    <n v="55501.52"/>
    <x v="0"/>
    <n v="20"/>
    <x v="1"/>
    <d v="2024-05-08T00:00:00"/>
    <d v="2024-05-28T00:00:00"/>
  </r>
  <r>
    <n v="4439"/>
    <n v="12489"/>
    <x v="3"/>
    <n v="175737.39"/>
    <x v="0"/>
    <n v="26"/>
    <x v="3"/>
    <d v="2024-01-26T00:00:00"/>
    <d v="2024-02-21T00:00:00"/>
  </r>
  <r>
    <n v="4440"/>
    <n v="17858"/>
    <x v="3"/>
    <n v="105451.85"/>
    <x v="0"/>
    <n v="40"/>
    <x v="1"/>
    <d v="2024-10-15T00:00:00"/>
    <d v="2024-11-24T00:00:00"/>
  </r>
  <r>
    <n v="4441"/>
    <n v="15394"/>
    <x v="0"/>
    <n v="147204.13"/>
    <x v="0"/>
    <n v="5"/>
    <x v="3"/>
    <d v="2024-01-27T00:00:00"/>
    <d v="2024-02-01T00:00:00"/>
  </r>
  <r>
    <n v="4442"/>
    <n v="18661"/>
    <x v="0"/>
    <n v="11963.64"/>
    <x v="0"/>
    <n v="23"/>
    <x v="2"/>
    <d v="2024-02-11T00:00:00"/>
    <d v="2024-03-05T00:00:00"/>
  </r>
  <r>
    <n v="4443"/>
    <n v="13287"/>
    <x v="1"/>
    <n v="76206.850000000006"/>
    <x v="0"/>
    <n v="6"/>
    <x v="2"/>
    <d v="2024-03-11T00:00:00"/>
    <d v="2024-03-17T00:00:00"/>
  </r>
  <r>
    <n v="4444"/>
    <n v="12019"/>
    <x v="3"/>
    <n v="98438.02"/>
    <x v="1"/>
    <n v="2"/>
    <x v="1"/>
    <d v="2024-03-04T00:00:00"/>
    <d v="2024-03-06T00:00:00"/>
  </r>
  <r>
    <n v="4445"/>
    <n v="19781"/>
    <x v="1"/>
    <n v="41351.29"/>
    <x v="2"/>
    <m/>
    <x v="1"/>
    <d v="2024-01-25T00:00:00"/>
    <m/>
  </r>
  <r>
    <n v="4446"/>
    <n v="15313"/>
    <x v="1"/>
    <n v="28437.35"/>
    <x v="1"/>
    <n v="10"/>
    <x v="2"/>
    <d v="2024-03-12T00:00:00"/>
    <d v="2024-03-22T00:00:00"/>
  </r>
  <r>
    <n v="4447"/>
    <n v="14317"/>
    <x v="3"/>
    <n v="174709.24"/>
    <x v="0"/>
    <n v="10"/>
    <x v="3"/>
    <d v="2024-12-26T00:00:00"/>
    <d v="2025-01-05T00:00:00"/>
  </r>
  <r>
    <n v="4448"/>
    <n v="15824"/>
    <x v="3"/>
    <n v="188189.17"/>
    <x v="0"/>
    <n v="25"/>
    <x v="2"/>
    <d v="2024-09-24T00:00:00"/>
    <d v="2024-10-19T00:00:00"/>
  </r>
  <r>
    <n v="4449"/>
    <n v="19611"/>
    <x v="0"/>
    <n v="20367.310000000001"/>
    <x v="0"/>
    <n v="11"/>
    <x v="1"/>
    <d v="2024-11-09T00:00:00"/>
    <d v="2024-11-20T00:00:00"/>
  </r>
  <r>
    <n v="4450"/>
    <n v="19072"/>
    <x v="3"/>
    <n v="73058.649999999994"/>
    <x v="1"/>
    <n v="21"/>
    <x v="2"/>
    <d v="2024-04-04T00:00:00"/>
    <d v="2024-04-25T00:00:00"/>
  </r>
  <r>
    <n v="4451"/>
    <n v="10838"/>
    <x v="1"/>
    <n v="191865.7"/>
    <x v="2"/>
    <m/>
    <x v="1"/>
    <d v="2024-12-22T00:00:00"/>
    <m/>
  </r>
  <r>
    <n v="4452"/>
    <n v="18943"/>
    <x v="3"/>
    <n v="21216.54"/>
    <x v="0"/>
    <n v="14"/>
    <x v="1"/>
    <d v="2024-12-29T00:00:00"/>
    <d v="2025-01-12T00:00:00"/>
  </r>
  <r>
    <n v="4453"/>
    <n v="18461"/>
    <x v="3"/>
    <n v="130510.07"/>
    <x v="0"/>
    <n v="30"/>
    <x v="2"/>
    <d v="2024-11-10T00:00:00"/>
    <d v="2024-12-10T00:00:00"/>
  </r>
  <r>
    <n v="4454"/>
    <n v="14827"/>
    <x v="3"/>
    <n v="194583.17"/>
    <x v="0"/>
    <n v="37"/>
    <x v="3"/>
    <d v="2024-04-26T00:00:00"/>
    <d v="2024-06-02T00:00:00"/>
  </r>
  <r>
    <n v="4455"/>
    <n v="16987"/>
    <x v="0"/>
    <n v="195753.62"/>
    <x v="1"/>
    <n v="24"/>
    <x v="0"/>
    <d v="2024-06-12T00:00:00"/>
    <d v="2024-07-06T00:00:00"/>
  </r>
  <r>
    <n v="4456"/>
    <n v="13503"/>
    <x v="3"/>
    <n v="96888.55"/>
    <x v="1"/>
    <n v="28"/>
    <x v="2"/>
    <d v="2024-12-30T00:00:00"/>
    <d v="2025-01-27T00:00:00"/>
  </r>
  <r>
    <n v="4457"/>
    <n v="17824"/>
    <x v="1"/>
    <n v="36736.080000000002"/>
    <x v="0"/>
    <n v="19"/>
    <x v="0"/>
    <d v="2024-10-04T00:00:00"/>
    <d v="2024-10-23T00:00:00"/>
  </r>
  <r>
    <n v="4458"/>
    <n v="12075"/>
    <x v="1"/>
    <n v="44406.44"/>
    <x v="2"/>
    <m/>
    <x v="2"/>
    <d v="2024-03-05T00:00:00"/>
    <m/>
  </r>
  <r>
    <n v="4459"/>
    <n v="11312"/>
    <x v="1"/>
    <n v="178472.27"/>
    <x v="0"/>
    <n v="10"/>
    <x v="0"/>
    <d v="2024-11-01T00:00:00"/>
    <d v="2024-11-11T00:00:00"/>
  </r>
  <r>
    <n v="4460"/>
    <n v="12284"/>
    <x v="2"/>
    <n v="182778.19"/>
    <x v="2"/>
    <m/>
    <x v="3"/>
    <d v="2024-09-16T00:00:00"/>
    <m/>
  </r>
  <r>
    <n v="4461"/>
    <n v="18575"/>
    <x v="1"/>
    <n v="123536.53"/>
    <x v="2"/>
    <m/>
    <x v="3"/>
    <d v="2024-08-15T00:00:00"/>
    <m/>
  </r>
  <r>
    <n v="4462"/>
    <n v="12808"/>
    <x v="3"/>
    <n v="154404.4"/>
    <x v="1"/>
    <n v="16"/>
    <x v="2"/>
    <d v="2024-07-18T00:00:00"/>
    <d v="2024-08-03T00:00:00"/>
  </r>
  <r>
    <n v="4463"/>
    <n v="18995"/>
    <x v="2"/>
    <n v="149286.59"/>
    <x v="0"/>
    <n v="31"/>
    <x v="1"/>
    <d v="2024-08-07T00:00:00"/>
    <d v="2024-09-07T00:00:00"/>
  </r>
  <r>
    <n v="4464"/>
    <n v="19288"/>
    <x v="1"/>
    <n v="134055.21"/>
    <x v="0"/>
    <n v="10"/>
    <x v="0"/>
    <d v="2024-06-28T00:00:00"/>
    <d v="2024-07-08T00:00:00"/>
  </r>
  <r>
    <n v="4465"/>
    <n v="16521"/>
    <x v="3"/>
    <n v="166319.01"/>
    <x v="0"/>
    <n v="42"/>
    <x v="1"/>
    <d v="2024-12-23T00:00:00"/>
    <d v="2025-02-03T00:00:00"/>
  </r>
  <r>
    <n v="4466"/>
    <n v="16355"/>
    <x v="3"/>
    <n v="138654.29"/>
    <x v="0"/>
    <n v="28"/>
    <x v="1"/>
    <d v="2024-08-15T00:00:00"/>
    <d v="2024-09-12T00:00:00"/>
  </r>
  <r>
    <n v="4467"/>
    <n v="13719"/>
    <x v="0"/>
    <n v="109130.45"/>
    <x v="1"/>
    <n v="37"/>
    <x v="1"/>
    <d v="2024-09-08T00:00:00"/>
    <d v="2024-10-15T00:00:00"/>
  </r>
  <r>
    <n v="4468"/>
    <n v="14771"/>
    <x v="3"/>
    <n v="51206.49"/>
    <x v="0"/>
    <n v="19"/>
    <x v="3"/>
    <d v="2024-10-25T00:00:00"/>
    <d v="2024-11-13T00:00:00"/>
  </r>
  <r>
    <n v="4469"/>
    <n v="12696"/>
    <x v="1"/>
    <n v="150058.19"/>
    <x v="0"/>
    <n v="32"/>
    <x v="2"/>
    <d v="2024-12-26T00:00:00"/>
    <d v="2025-01-27T00:00:00"/>
  </r>
  <r>
    <n v="4470"/>
    <n v="15796"/>
    <x v="3"/>
    <n v="97320.38"/>
    <x v="1"/>
    <n v="18"/>
    <x v="2"/>
    <d v="2024-01-04T00:00:00"/>
    <d v="2024-01-22T00:00:00"/>
  </r>
  <r>
    <n v="4471"/>
    <n v="10808"/>
    <x v="3"/>
    <n v="62484.38"/>
    <x v="0"/>
    <n v="7"/>
    <x v="3"/>
    <d v="2024-05-20T00:00:00"/>
    <d v="2024-05-27T00:00:00"/>
  </r>
  <r>
    <n v="4472"/>
    <n v="13293"/>
    <x v="1"/>
    <n v="161379.51999999999"/>
    <x v="0"/>
    <n v="40"/>
    <x v="3"/>
    <d v="2024-06-14T00:00:00"/>
    <d v="2024-07-24T00:00:00"/>
  </r>
  <r>
    <n v="4473"/>
    <n v="19497"/>
    <x v="3"/>
    <n v="140859.15"/>
    <x v="0"/>
    <n v="26"/>
    <x v="2"/>
    <d v="2024-09-10T00:00:00"/>
    <d v="2024-10-06T00:00:00"/>
  </r>
  <r>
    <n v="4474"/>
    <n v="13459"/>
    <x v="3"/>
    <n v="187781.21"/>
    <x v="0"/>
    <n v="43"/>
    <x v="1"/>
    <d v="2024-06-01T00:00:00"/>
    <d v="2024-07-14T00:00:00"/>
  </r>
  <r>
    <n v="4475"/>
    <n v="12419"/>
    <x v="1"/>
    <n v="37261.120000000003"/>
    <x v="0"/>
    <n v="43"/>
    <x v="0"/>
    <d v="2024-03-07T00:00:00"/>
    <d v="2024-04-19T00:00:00"/>
  </r>
  <r>
    <n v="4476"/>
    <n v="14224"/>
    <x v="3"/>
    <n v="131591.91"/>
    <x v="1"/>
    <n v="39"/>
    <x v="0"/>
    <d v="2024-02-24T00:00:00"/>
    <d v="2024-04-03T00:00:00"/>
  </r>
  <r>
    <n v="4477"/>
    <n v="17571"/>
    <x v="1"/>
    <n v="52626.7"/>
    <x v="0"/>
    <n v="39"/>
    <x v="0"/>
    <d v="2024-04-05T00:00:00"/>
    <d v="2024-05-14T00:00:00"/>
  </r>
  <r>
    <n v="4478"/>
    <n v="16363"/>
    <x v="0"/>
    <n v="181198.68"/>
    <x v="2"/>
    <m/>
    <x v="1"/>
    <d v="2024-06-15T00:00:00"/>
    <m/>
  </r>
  <r>
    <n v="4479"/>
    <n v="19388"/>
    <x v="1"/>
    <n v="24402.39"/>
    <x v="0"/>
    <n v="30"/>
    <x v="2"/>
    <d v="2024-11-16T00:00:00"/>
    <d v="2024-12-16T00:00:00"/>
  </r>
  <r>
    <n v="4480"/>
    <n v="14567"/>
    <x v="3"/>
    <n v="132951.54999999999"/>
    <x v="0"/>
    <n v="41"/>
    <x v="3"/>
    <d v="2024-11-26T00:00:00"/>
    <d v="2025-01-06T00:00:00"/>
  </r>
  <r>
    <n v="4481"/>
    <n v="13524"/>
    <x v="3"/>
    <n v="159261.72"/>
    <x v="0"/>
    <n v="10"/>
    <x v="2"/>
    <d v="2024-12-07T00:00:00"/>
    <d v="2024-12-17T00:00:00"/>
  </r>
  <r>
    <n v="4482"/>
    <n v="16751"/>
    <x v="1"/>
    <n v="74208.98"/>
    <x v="0"/>
    <n v="2"/>
    <x v="1"/>
    <d v="2024-03-02T00:00:00"/>
    <d v="2024-03-04T00:00:00"/>
  </r>
  <r>
    <n v="4483"/>
    <n v="19717"/>
    <x v="2"/>
    <n v="191056.93"/>
    <x v="0"/>
    <n v="17"/>
    <x v="3"/>
    <d v="2024-06-22T00:00:00"/>
    <d v="2024-07-09T00:00:00"/>
  </r>
  <r>
    <n v="4484"/>
    <n v="16237"/>
    <x v="0"/>
    <n v="170892.48"/>
    <x v="0"/>
    <n v="39"/>
    <x v="1"/>
    <d v="2024-09-09T00:00:00"/>
    <d v="2024-10-18T00:00:00"/>
  </r>
  <r>
    <n v="4485"/>
    <n v="19791"/>
    <x v="0"/>
    <n v="62450.57"/>
    <x v="0"/>
    <n v="24"/>
    <x v="0"/>
    <d v="2024-04-21T00:00:00"/>
    <d v="2024-05-15T00:00:00"/>
  </r>
  <r>
    <n v="4486"/>
    <n v="19236"/>
    <x v="3"/>
    <n v="6470.51"/>
    <x v="0"/>
    <n v="9"/>
    <x v="0"/>
    <d v="2024-08-02T00:00:00"/>
    <d v="2024-08-11T00:00:00"/>
  </r>
  <r>
    <n v="4487"/>
    <n v="15319"/>
    <x v="3"/>
    <n v="62848.15"/>
    <x v="0"/>
    <n v="13"/>
    <x v="1"/>
    <d v="2024-08-26T00:00:00"/>
    <d v="2024-09-08T00:00:00"/>
  </r>
  <r>
    <n v="4488"/>
    <n v="11867"/>
    <x v="3"/>
    <n v="59855.54"/>
    <x v="0"/>
    <n v="11"/>
    <x v="3"/>
    <d v="2024-08-14T00:00:00"/>
    <d v="2024-08-25T00:00:00"/>
  </r>
  <r>
    <n v="4489"/>
    <n v="11375"/>
    <x v="3"/>
    <n v="178543.1"/>
    <x v="1"/>
    <n v="17"/>
    <x v="3"/>
    <d v="2024-08-17T00:00:00"/>
    <d v="2024-09-03T00:00:00"/>
  </r>
  <r>
    <n v="4490"/>
    <n v="18130"/>
    <x v="3"/>
    <n v="193588.63"/>
    <x v="2"/>
    <m/>
    <x v="2"/>
    <d v="2024-08-20T00:00:00"/>
    <m/>
  </r>
  <r>
    <n v="4491"/>
    <n v="15401"/>
    <x v="2"/>
    <n v="18735.8"/>
    <x v="0"/>
    <n v="25"/>
    <x v="0"/>
    <d v="2024-06-11T00:00:00"/>
    <d v="2024-07-06T00:00:00"/>
  </r>
  <r>
    <n v="4492"/>
    <n v="18803"/>
    <x v="3"/>
    <n v="96902.49"/>
    <x v="0"/>
    <n v="40"/>
    <x v="2"/>
    <d v="2024-05-05T00:00:00"/>
    <d v="2024-06-14T00:00:00"/>
  </r>
  <r>
    <n v="4493"/>
    <n v="16992"/>
    <x v="3"/>
    <n v="111924.74"/>
    <x v="2"/>
    <m/>
    <x v="2"/>
    <d v="2024-09-09T00:00:00"/>
    <m/>
  </r>
  <r>
    <n v="4494"/>
    <n v="13316"/>
    <x v="3"/>
    <n v="23117.77"/>
    <x v="0"/>
    <n v="12"/>
    <x v="1"/>
    <d v="2024-11-28T00:00:00"/>
    <d v="2024-12-10T00:00:00"/>
  </r>
  <r>
    <n v="4495"/>
    <n v="11598"/>
    <x v="2"/>
    <n v="78612.05"/>
    <x v="2"/>
    <m/>
    <x v="1"/>
    <d v="2024-07-17T00:00:00"/>
    <m/>
  </r>
  <r>
    <n v="4496"/>
    <n v="14949"/>
    <x v="1"/>
    <n v="66831.070000000007"/>
    <x v="0"/>
    <n v="27"/>
    <x v="2"/>
    <d v="2024-07-15T00:00:00"/>
    <d v="2024-08-11T00:00:00"/>
  </r>
  <r>
    <n v="4497"/>
    <n v="16572"/>
    <x v="1"/>
    <n v="109530.99"/>
    <x v="1"/>
    <n v="8"/>
    <x v="0"/>
    <d v="2024-05-01T00:00:00"/>
    <d v="2024-05-09T00:00:00"/>
  </r>
  <r>
    <n v="4498"/>
    <n v="10638"/>
    <x v="2"/>
    <n v="133932.23000000001"/>
    <x v="0"/>
    <n v="16"/>
    <x v="1"/>
    <d v="2024-09-20T00:00:00"/>
    <d v="2024-10-06T00:00:00"/>
  </r>
  <r>
    <n v="4499"/>
    <n v="14166"/>
    <x v="3"/>
    <n v="142179.6"/>
    <x v="2"/>
    <m/>
    <x v="2"/>
    <d v="2024-02-23T00:00:00"/>
    <m/>
  </r>
  <r>
    <n v="4500"/>
    <n v="10645"/>
    <x v="1"/>
    <n v="31667.23"/>
    <x v="0"/>
    <n v="4"/>
    <x v="2"/>
    <d v="2024-05-14T00:00:00"/>
    <d v="2024-05-18T00:00:00"/>
  </r>
  <r>
    <n v="4501"/>
    <n v="15884"/>
    <x v="3"/>
    <n v="163524.79999999999"/>
    <x v="0"/>
    <n v="17"/>
    <x v="2"/>
    <d v="2024-12-04T00:00:00"/>
    <d v="2024-12-21T00:00:00"/>
  </r>
  <r>
    <n v="4502"/>
    <n v="16668"/>
    <x v="3"/>
    <n v="137315.70000000001"/>
    <x v="0"/>
    <n v="16"/>
    <x v="2"/>
    <d v="2024-12-24T00:00:00"/>
    <d v="2025-01-09T00:00:00"/>
  </r>
  <r>
    <n v="4503"/>
    <n v="10089"/>
    <x v="0"/>
    <n v="178369.61"/>
    <x v="0"/>
    <n v="26"/>
    <x v="2"/>
    <d v="2024-05-30T00:00:00"/>
    <d v="2024-06-25T00:00:00"/>
  </r>
  <r>
    <n v="4504"/>
    <n v="19015"/>
    <x v="1"/>
    <n v="92620.53"/>
    <x v="1"/>
    <n v="34"/>
    <x v="2"/>
    <d v="2024-04-09T00:00:00"/>
    <d v="2024-05-13T00:00:00"/>
  </r>
  <r>
    <n v="4505"/>
    <n v="10550"/>
    <x v="3"/>
    <n v="179308.5"/>
    <x v="0"/>
    <n v="15"/>
    <x v="1"/>
    <d v="2024-08-21T00:00:00"/>
    <d v="2024-09-05T00:00:00"/>
  </r>
  <r>
    <n v="4506"/>
    <n v="18251"/>
    <x v="3"/>
    <n v="173825.95"/>
    <x v="2"/>
    <m/>
    <x v="0"/>
    <d v="2024-02-01T00:00:00"/>
    <m/>
  </r>
  <r>
    <n v="4507"/>
    <n v="15224"/>
    <x v="1"/>
    <n v="90489.82"/>
    <x v="0"/>
    <n v="12"/>
    <x v="2"/>
    <d v="2024-03-02T00:00:00"/>
    <d v="2024-03-14T00:00:00"/>
  </r>
  <r>
    <n v="4508"/>
    <n v="15581"/>
    <x v="3"/>
    <n v="79322.95"/>
    <x v="1"/>
    <n v="4"/>
    <x v="3"/>
    <d v="2024-07-14T00:00:00"/>
    <d v="2024-07-18T00:00:00"/>
  </r>
  <r>
    <n v="4509"/>
    <n v="14178"/>
    <x v="3"/>
    <n v="186898.34"/>
    <x v="0"/>
    <n v="10"/>
    <x v="1"/>
    <d v="2024-01-30T00:00:00"/>
    <d v="2024-02-09T00:00:00"/>
  </r>
  <r>
    <n v="4510"/>
    <n v="19435"/>
    <x v="3"/>
    <n v="144457.12"/>
    <x v="2"/>
    <m/>
    <x v="1"/>
    <d v="2024-08-30T00:00:00"/>
    <m/>
  </r>
  <r>
    <n v="4511"/>
    <n v="13479"/>
    <x v="3"/>
    <n v="186007.84"/>
    <x v="2"/>
    <m/>
    <x v="2"/>
    <d v="2024-04-15T00:00:00"/>
    <m/>
  </r>
  <r>
    <n v="4512"/>
    <n v="19137"/>
    <x v="0"/>
    <n v="160410.07999999999"/>
    <x v="0"/>
    <n v="17"/>
    <x v="1"/>
    <d v="2024-10-21T00:00:00"/>
    <d v="2024-11-07T00:00:00"/>
  </r>
  <r>
    <n v="4513"/>
    <n v="19832"/>
    <x v="3"/>
    <n v="123813"/>
    <x v="1"/>
    <n v="12"/>
    <x v="2"/>
    <d v="2024-05-12T00:00:00"/>
    <d v="2024-05-24T00:00:00"/>
  </r>
  <r>
    <n v="4514"/>
    <n v="16091"/>
    <x v="3"/>
    <n v="27591.29"/>
    <x v="1"/>
    <n v="18"/>
    <x v="0"/>
    <d v="2024-01-22T00:00:00"/>
    <d v="2024-02-09T00:00:00"/>
  </r>
  <r>
    <n v="4515"/>
    <n v="12633"/>
    <x v="1"/>
    <n v="61838.73"/>
    <x v="0"/>
    <n v="4"/>
    <x v="0"/>
    <d v="2024-06-04T00:00:00"/>
    <d v="2024-06-08T00:00:00"/>
  </r>
  <r>
    <n v="4516"/>
    <n v="16790"/>
    <x v="0"/>
    <n v="193924.27"/>
    <x v="0"/>
    <n v="20"/>
    <x v="1"/>
    <d v="2024-08-01T00:00:00"/>
    <d v="2024-08-21T00:00:00"/>
  </r>
  <r>
    <n v="4517"/>
    <n v="13501"/>
    <x v="3"/>
    <n v="67287.31"/>
    <x v="0"/>
    <n v="25"/>
    <x v="1"/>
    <d v="2024-08-13T00:00:00"/>
    <d v="2024-09-07T00:00:00"/>
  </r>
  <r>
    <n v="4518"/>
    <n v="10889"/>
    <x v="3"/>
    <n v="23184.7"/>
    <x v="1"/>
    <n v="43"/>
    <x v="3"/>
    <d v="2024-10-11T00:00:00"/>
    <d v="2024-11-23T00:00:00"/>
  </r>
  <r>
    <n v="4519"/>
    <n v="18765"/>
    <x v="3"/>
    <n v="142972.9"/>
    <x v="0"/>
    <n v="9"/>
    <x v="1"/>
    <d v="2024-06-19T00:00:00"/>
    <d v="2024-06-28T00:00:00"/>
  </r>
  <r>
    <n v="4520"/>
    <n v="18704"/>
    <x v="1"/>
    <n v="148130.82999999999"/>
    <x v="0"/>
    <n v="37"/>
    <x v="3"/>
    <d v="2024-02-11T00:00:00"/>
    <d v="2024-03-19T00:00:00"/>
  </r>
  <r>
    <n v="4521"/>
    <n v="17246"/>
    <x v="1"/>
    <n v="60664.26"/>
    <x v="0"/>
    <n v="41"/>
    <x v="0"/>
    <d v="2024-02-29T00:00:00"/>
    <d v="2024-04-10T00:00:00"/>
  </r>
  <r>
    <n v="4522"/>
    <n v="14160"/>
    <x v="0"/>
    <n v="63046.04"/>
    <x v="0"/>
    <n v="3"/>
    <x v="0"/>
    <d v="2024-03-17T00:00:00"/>
    <d v="2024-03-20T00:00:00"/>
  </r>
  <r>
    <n v="4523"/>
    <n v="14051"/>
    <x v="2"/>
    <n v="96434.13"/>
    <x v="1"/>
    <n v="24"/>
    <x v="2"/>
    <d v="2024-07-20T00:00:00"/>
    <d v="2024-08-13T00:00:00"/>
  </r>
  <r>
    <n v="4524"/>
    <n v="12230"/>
    <x v="1"/>
    <n v="9248.85"/>
    <x v="2"/>
    <m/>
    <x v="0"/>
    <d v="2024-08-07T00:00:00"/>
    <m/>
  </r>
  <r>
    <n v="4525"/>
    <n v="15185"/>
    <x v="1"/>
    <n v="158917.99"/>
    <x v="0"/>
    <n v="31"/>
    <x v="3"/>
    <d v="2024-07-05T00:00:00"/>
    <d v="2024-08-05T00:00:00"/>
  </r>
  <r>
    <n v="4526"/>
    <n v="17375"/>
    <x v="3"/>
    <n v="66832.31"/>
    <x v="0"/>
    <n v="26"/>
    <x v="1"/>
    <d v="2024-04-05T00:00:00"/>
    <d v="2024-05-01T00:00:00"/>
  </r>
  <r>
    <n v="4527"/>
    <n v="16197"/>
    <x v="3"/>
    <n v="171483.8"/>
    <x v="1"/>
    <n v="8"/>
    <x v="2"/>
    <d v="2024-12-07T00:00:00"/>
    <d v="2024-12-15T00:00:00"/>
  </r>
  <r>
    <n v="4528"/>
    <n v="12283"/>
    <x v="2"/>
    <n v="161512.93"/>
    <x v="0"/>
    <n v="29"/>
    <x v="3"/>
    <d v="2024-07-30T00:00:00"/>
    <d v="2024-08-28T00:00:00"/>
  </r>
  <r>
    <n v="4529"/>
    <n v="14984"/>
    <x v="3"/>
    <n v="133973.4"/>
    <x v="0"/>
    <n v="42"/>
    <x v="1"/>
    <d v="2024-12-05T00:00:00"/>
    <d v="2025-01-16T00:00:00"/>
  </r>
  <r>
    <n v="4530"/>
    <n v="10611"/>
    <x v="3"/>
    <n v="68350.600000000006"/>
    <x v="0"/>
    <n v="18"/>
    <x v="2"/>
    <d v="2024-09-18T00:00:00"/>
    <d v="2024-10-06T00:00:00"/>
  </r>
  <r>
    <n v="4531"/>
    <n v="18629"/>
    <x v="1"/>
    <n v="105681.73"/>
    <x v="0"/>
    <n v="33"/>
    <x v="0"/>
    <d v="2024-11-24T00:00:00"/>
    <d v="2024-12-27T00:00:00"/>
  </r>
  <r>
    <n v="4532"/>
    <n v="19651"/>
    <x v="3"/>
    <n v="91741.71"/>
    <x v="0"/>
    <n v="2"/>
    <x v="3"/>
    <d v="2024-03-17T00:00:00"/>
    <d v="2024-03-19T00:00:00"/>
  </r>
  <r>
    <n v="4533"/>
    <n v="16837"/>
    <x v="1"/>
    <n v="71081.97"/>
    <x v="1"/>
    <n v="28"/>
    <x v="1"/>
    <d v="2024-01-31T00:00:00"/>
    <d v="2024-02-28T00:00:00"/>
  </r>
  <r>
    <n v="4534"/>
    <n v="17106"/>
    <x v="1"/>
    <n v="170386.58"/>
    <x v="0"/>
    <n v="37"/>
    <x v="2"/>
    <d v="2024-02-08T00:00:00"/>
    <d v="2024-03-16T00:00:00"/>
  </r>
  <r>
    <n v="4535"/>
    <n v="17275"/>
    <x v="3"/>
    <n v="99283.88"/>
    <x v="1"/>
    <n v="8"/>
    <x v="2"/>
    <d v="2024-11-01T00:00:00"/>
    <d v="2024-11-09T00:00:00"/>
  </r>
  <r>
    <n v="4536"/>
    <n v="18715"/>
    <x v="0"/>
    <n v="167381"/>
    <x v="0"/>
    <n v="4"/>
    <x v="0"/>
    <d v="2024-11-29T00:00:00"/>
    <d v="2024-12-03T00:00:00"/>
  </r>
  <r>
    <n v="4537"/>
    <n v="13577"/>
    <x v="3"/>
    <n v="25517.599999999999"/>
    <x v="0"/>
    <n v="31"/>
    <x v="1"/>
    <d v="2024-08-01T00:00:00"/>
    <d v="2024-09-01T00:00:00"/>
  </r>
  <r>
    <n v="4538"/>
    <n v="16486"/>
    <x v="3"/>
    <n v="32499.83"/>
    <x v="1"/>
    <n v="2"/>
    <x v="0"/>
    <d v="2024-05-05T00:00:00"/>
    <d v="2024-05-07T00:00:00"/>
  </r>
  <r>
    <n v="4539"/>
    <n v="12261"/>
    <x v="1"/>
    <n v="195577.46"/>
    <x v="0"/>
    <n v="35"/>
    <x v="0"/>
    <d v="2024-06-13T00:00:00"/>
    <d v="2024-07-18T00:00:00"/>
  </r>
  <r>
    <n v="4540"/>
    <n v="11023"/>
    <x v="1"/>
    <n v="119614.85"/>
    <x v="0"/>
    <n v="39"/>
    <x v="1"/>
    <d v="2024-09-02T00:00:00"/>
    <d v="2024-10-11T00:00:00"/>
  </r>
  <r>
    <n v="4541"/>
    <n v="19771"/>
    <x v="1"/>
    <n v="104405.09"/>
    <x v="0"/>
    <n v="44"/>
    <x v="1"/>
    <d v="2024-04-18T00:00:00"/>
    <d v="2024-06-01T00:00:00"/>
  </r>
  <r>
    <n v="4542"/>
    <n v="18513"/>
    <x v="3"/>
    <n v="107015.43"/>
    <x v="0"/>
    <n v="37"/>
    <x v="1"/>
    <d v="2024-03-28T00:00:00"/>
    <d v="2024-05-04T00:00:00"/>
  </r>
  <r>
    <n v="4543"/>
    <n v="17235"/>
    <x v="1"/>
    <n v="46977.41"/>
    <x v="1"/>
    <n v="34"/>
    <x v="3"/>
    <d v="2024-07-18T00:00:00"/>
    <d v="2024-08-21T00:00:00"/>
  </r>
  <r>
    <n v="4544"/>
    <n v="13757"/>
    <x v="3"/>
    <n v="145147.26999999999"/>
    <x v="0"/>
    <n v="44"/>
    <x v="1"/>
    <d v="2024-09-27T00:00:00"/>
    <d v="2024-11-10T00:00:00"/>
  </r>
  <r>
    <n v="4545"/>
    <n v="18068"/>
    <x v="2"/>
    <n v="21532.22"/>
    <x v="1"/>
    <n v="17"/>
    <x v="2"/>
    <d v="2024-02-20T00:00:00"/>
    <d v="2024-03-08T00:00:00"/>
  </r>
  <r>
    <n v="4546"/>
    <n v="18641"/>
    <x v="3"/>
    <n v="116798.12"/>
    <x v="0"/>
    <n v="39"/>
    <x v="0"/>
    <d v="2024-07-16T00:00:00"/>
    <d v="2024-08-24T00:00:00"/>
  </r>
  <r>
    <n v="4547"/>
    <n v="11284"/>
    <x v="1"/>
    <n v="116299.92"/>
    <x v="0"/>
    <n v="12"/>
    <x v="3"/>
    <d v="2024-01-23T00:00:00"/>
    <d v="2024-02-04T00:00:00"/>
  </r>
  <r>
    <n v="4548"/>
    <n v="11660"/>
    <x v="3"/>
    <n v="183266.74"/>
    <x v="2"/>
    <m/>
    <x v="1"/>
    <d v="2024-06-01T00:00:00"/>
    <m/>
  </r>
  <r>
    <n v="4549"/>
    <n v="15353"/>
    <x v="3"/>
    <n v="107605.65"/>
    <x v="1"/>
    <n v="2"/>
    <x v="3"/>
    <d v="2024-08-10T00:00:00"/>
    <d v="2024-08-12T00:00:00"/>
  </r>
  <r>
    <n v="4550"/>
    <n v="10903"/>
    <x v="3"/>
    <n v="31727.23"/>
    <x v="0"/>
    <n v="15"/>
    <x v="1"/>
    <d v="2024-08-08T00:00:00"/>
    <d v="2024-08-23T00:00:00"/>
  </r>
  <r>
    <n v="4551"/>
    <n v="19369"/>
    <x v="0"/>
    <n v="116686.89"/>
    <x v="0"/>
    <n v="31"/>
    <x v="3"/>
    <d v="2024-05-30T00:00:00"/>
    <d v="2024-06-30T00:00:00"/>
  </r>
  <r>
    <n v="4552"/>
    <n v="18521"/>
    <x v="1"/>
    <n v="22808.89"/>
    <x v="0"/>
    <n v="22"/>
    <x v="0"/>
    <d v="2024-09-22T00:00:00"/>
    <d v="2024-10-14T00:00:00"/>
  </r>
  <r>
    <n v="4553"/>
    <n v="18828"/>
    <x v="2"/>
    <n v="44739.8"/>
    <x v="0"/>
    <n v="22"/>
    <x v="0"/>
    <d v="2024-03-13T00:00:00"/>
    <d v="2024-04-04T00:00:00"/>
  </r>
  <r>
    <n v="4554"/>
    <n v="16010"/>
    <x v="3"/>
    <n v="11066.17"/>
    <x v="1"/>
    <n v="35"/>
    <x v="2"/>
    <d v="2024-03-17T00:00:00"/>
    <d v="2024-04-21T00:00:00"/>
  </r>
  <r>
    <n v="4555"/>
    <n v="10412"/>
    <x v="3"/>
    <n v="105092.25"/>
    <x v="1"/>
    <n v="39"/>
    <x v="2"/>
    <d v="2024-02-01T00:00:00"/>
    <d v="2024-03-11T00:00:00"/>
  </r>
  <r>
    <n v="4556"/>
    <n v="16639"/>
    <x v="3"/>
    <n v="21483.86"/>
    <x v="0"/>
    <n v="27"/>
    <x v="1"/>
    <d v="2024-03-05T00:00:00"/>
    <d v="2024-04-01T00:00:00"/>
  </r>
  <r>
    <n v="4557"/>
    <n v="13833"/>
    <x v="0"/>
    <n v="96531.9"/>
    <x v="1"/>
    <n v="42"/>
    <x v="0"/>
    <d v="2024-12-22T00:00:00"/>
    <d v="2025-02-02T00:00:00"/>
  </r>
  <r>
    <n v="4558"/>
    <n v="12415"/>
    <x v="3"/>
    <n v="186924.28"/>
    <x v="0"/>
    <n v="15"/>
    <x v="3"/>
    <d v="2024-01-18T00:00:00"/>
    <d v="2024-02-02T00:00:00"/>
  </r>
  <r>
    <n v="4559"/>
    <n v="12586"/>
    <x v="0"/>
    <n v="145353.48000000001"/>
    <x v="0"/>
    <n v="41"/>
    <x v="3"/>
    <d v="2024-06-12T00:00:00"/>
    <d v="2024-07-23T00:00:00"/>
  </r>
  <r>
    <n v="4560"/>
    <n v="15571"/>
    <x v="2"/>
    <n v="20095.28"/>
    <x v="0"/>
    <n v="36"/>
    <x v="3"/>
    <d v="2024-10-13T00:00:00"/>
    <d v="2024-11-18T00:00:00"/>
  </r>
  <r>
    <n v="4561"/>
    <n v="19756"/>
    <x v="2"/>
    <n v="48720.91"/>
    <x v="2"/>
    <m/>
    <x v="2"/>
    <d v="2024-02-23T00:00:00"/>
    <m/>
  </r>
  <r>
    <n v="4562"/>
    <n v="18672"/>
    <x v="1"/>
    <n v="136364.17000000001"/>
    <x v="1"/>
    <n v="19"/>
    <x v="3"/>
    <d v="2024-03-03T00:00:00"/>
    <d v="2024-03-22T00:00:00"/>
  </r>
  <r>
    <n v="4563"/>
    <n v="16557"/>
    <x v="1"/>
    <n v="179466.86"/>
    <x v="0"/>
    <n v="21"/>
    <x v="2"/>
    <d v="2024-09-13T00:00:00"/>
    <d v="2024-10-04T00:00:00"/>
  </r>
  <r>
    <n v="4564"/>
    <n v="16280"/>
    <x v="1"/>
    <n v="11419.12"/>
    <x v="0"/>
    <n v="10"/>
    <x v="2"/>
    <d v="2024-08-26T00:00:00"/>
    <d v="2024-09-05T00:00:00"/>
  </r>
  <r>
    <n v="4565"/>
    <n v="12882"/>
    <x v="3"/>
    <n v="163427.97"/>
    <x v="2"/>
    <m/>
    <x v="1"/>
    <d v="2024-01-09T00:00:00"/>
    <m/>
  </r>
  <r>
    <n v="4566"/>
    <n v="12519"/>
    <x v="1"/>
    <n v="114553.71"/>
    <x v="0"/>
    <n v="34"/>
    <x v="3"/>
    <d v="2024-04-29T00:00:00"/>
    <d v="2024-06-02T00:00:00"/>
  </r>
  <r>
    <n v="4567"/>
    <n v="14400"/>
    <x v="3"/>
    <n v="111487.81"/>
    <x v="0"/>
    <n v="5"/>
    <x v="3"/>
    <d v="2024-12-13T00:00:00"/>
    <d v="2024-12-18T00:00:00"/>
  </r>
  <r>
    <n v="4568"/>
    <n v="18846"/>
    <x v="3"/>
    <n v="191773.57"/>
    <x v="2"/>
    <m/>
    <x v="0"/>
    <d v="2024-03-30T00:00:00"/>
    <m/>
  </r>
  <r>
    <n v="4569"/>
    <n v="10180"/>
    <x v="3"/>
    <n v="150790.70000000001"/>
    <x v="1"/>
    <n v="17"/>
    <x v="1"/>
    <d v="2024-11-07T00:00:00"/>
    <d v="2024-11-24T00:00:00"/>
  </r>
  <r>
    <n v="4570"/>
    <n v="14125"/>
    <x v="3"/>
    <n v="170773.18"/>
    <x v="0"/>
    <n v="27"/>
    <x v="0"/>
    <d v="2024-06-23T00:00:00"/>
    <d v="2024-07-20T00:00:00"/>
  </r>
  <r>
    <n v="4571"/>
    <n v="13019"/>
    <x v="3"/>
    <n v="74029.14"/>
    <x v="0"/>
    <n v="7"/>
    <x v="1"/>
    <d v="2024-01-03T00:00:00"/>
    <d v="2024-01-10T00:00:00"/>
  </r>
  <r>
    <n v="4572"/>
    <n v="10764"/>
    <x v="3"/>
    <n v="113100.99"/>
    <x v="0"/>
    <n v="38"/>
    <x v="3"/>
    <d v="2024-05-09T00:00:00"/>
    <d v="2024-06-16T00:00:00"/>
  </r>
  <r>
    <n v="4573"/>
    <n v="14135"/>
    <x v="1"/>
    <n v="125004.11"/>
    <x v="0"/>
    <n v="23"/>
    <x v="2"/>
    <d v="2024-02-23T00:00:00"/>
    <d v="2024-03-17T00:00:00"/>
  </r>
  <r>
    <n v="4574"/>
    <n v="15038"/>
    <x v="3"/>
    <n v="67708.87"/>
    <x v="2"/>
    <m/>
    <x v="2"/>
    <d v="2024-10-19T00:00:00"/>
    <m/>
  </r>
  <r>
    <n v="4575"/>
    <n v="16799"/>
    <x v="1"/>
    <n v="116198.38"/>
    <x v="0"/>
    <n v="40"/>
    <x v="2"/>
    <d v="2024-07-02T00:00:00"/>
    <d v="2024-08-11T00:00:00"/>
  </r>
  <r>
    <n v="4576"/>
    <n v="13390"/>
    <x v="3"/>
    <n v="51147.8"/>
    <x v="1"/>
    <n v="8"/>
    <x v="2"/>
    <d v="2024-12-18T00:00:00"/>
    <d v="2024-12-26T00:00:00"/>
  </r>
  <r>
    <n v="4577"/>
    <n v="19974"/>
    <x v="1"/>
    <n v="32958.26"/>
    <x v="0"/>
    <n v="43"/>
    <x v="2"/>
    <d v="2024-08-11T00:00:00"/>
    <d v="2024-09-23T00:00:00"/>
  </r>
  <r>
    <n v="4578"/>
    <n v="11064"/>
    <x v="1"/>
    <n v="77924.2"/>
    <x v="0"/>
    <n v="31"/>
    <x v="0"/>
    <d v="2024-01-12T00:00:00"/>
    <d v="2024-02-12T00:00:00"/>
  </r>
  <r>
    <n v="4579"/>
    <n v="12456"/>
    <x v="1"/>
    <n v="149161.48000000001"/>
    <x v="0"/>
    <n v="11"/>
    <x v="1"/>
    <d v="2024-07-13T00:00:00"/>
    <d v="2024-07-24T00:00:00"/>
  </r>
  <r>
    <n v="4580"/>
    <n v="15681"/>
    <x v="1"/>
    <n v="183656.49"/>
    <x v="1"/>
    <n v="16"/>
    <x v="3"/>
    <d v="2024-09-03T00:00:00"/>
    <d v="2024-09-19T00:00:00"/>
  </r>
  <r>
    <n v="4581"/>
    <n v="11346"/>
    <x v="3"/>
    <n v="94254.24"/>
    <x v="0"/>
    <n v="7"/>
    <x v="0"/>
    <d v="2024-06-02T00:00:00"/>
    <d v="2024-06-09T00:00:00"/>
  </r>
  <r>
    <n v="4582"/>
    <n v="16997"/>
    <x v="1"/>
    <n v="130350.62"/>
    <x v="0"/>
    <n v="25"/>
    <x v="1"/>
    <d v="2024-03-18T00:00:00"/>
    <d v="2024-04-12T00:00:00"/>
  </r>
  <r>
    <n v="4583"/>
    <n v="19374"/>
    <x v="3"/>
    <n v="25092.240000000002"/>
    <x v="0"/>
    <n v="3"/>
    <x v="2"/>
    <d v="2024-05-19T00:00:00"/>
    <d v="2024-05-22T00:00:00"/>
  </r>
  <r>
    <n v="4584"/>
    <n v="14132"/>
    <x v="3"/>
    <n v="181370.43"/>
    <x v="0"/>
    <n v="41"/>
    <x v="1"/>
    <d v="2024-03-30T00:00:00"/>
    <d v="2024-05-10T00:00:00"/>
  </r>
  <r>
    <n v="4585"/>
    <n v="12453"/>
    <x v="1"/>
    <n v="115877.82"/>
    <x v="0"/>
    <n v="16"/>
    <x v="1"/>
    <d v="2024-05-23T00:00:00"/>
    <d v="2024-06-08T00:00:00"/>
  </r>
  <r>
    <n v="4586"/>
    <n v="10538"/>
    <x v="3"/>
    <n v="157165.96"/>
    <x v="0"/>
    <n v="22"/>
    <x v="2"/>
    <d v="2024-03-12T00:00:00"/>
    <d v="2024-04-03T00:00:00"/>
  </r>
  <r>
    <n v="4587"/>
    <n v="12303"/>
    <x v="1"/>
    <n v="159916.03"/>
    <x v="0"/>
    <n v="19"/>
    <x v="2"/>
    <d v="2024-06-25T00:00:00"/>
    <d v="2024-07-14T00:00:00"/>
  </r>
  <r>
    <n v="4588"/>
    <n v="16421"/>
    <x v="1"/>
    <n v="55013.7"/>
    <x v="0"/>
    <n v="6"/>
    <x v="2"/>
    <d v="2024-12-13T00:00:00"/>
    <d v="2024-12-19T00:00:00"/>
  </r>
  <r>
    <n v="4589"/>
    <n v="10248"/>
    <x v="3"/>
    <n v="108189.02"/>
    <x v="0"/>
    <n v="26"/>
    <x v="3"/>
    <d v="2024-09-19T00:00:00"/>
    <d v="2024-10-15T00:00:00"/>
  </r>
  <r>
    <n v="4590"/>
    <n v="19232"/>
    <x v="3"/>
    <n v="192293.55"/>
    <x v="0"/>
    <n v="37"/>
    <x v="2"/>
    <d v="2024-09-27T00:00:00"/>
    <d v="2024-11-03T00:00:00"/>
  </r>
  <r>
    <n v="4591"/>
    <n v="11391"/>
    <x v="3"/>
    <n v="22478.74"/>
    <x v="0"/>
    <n v="11"/>
    <x v="3"/>
    <d v="2024-04-14T00:00:00"/>
    <d v="2024-04-25T00:00:00"/>
  </r>
  <r>
    <n v="4592"/>
    <n v="12172"/>
    <x v="2"/>
    <n v="138194.73000000001"/>
    <x v="0"/>
    <n v="24"/>
    <x v="2"/>
    <d v="2024-03-12T00:00:00"/>
    <d v="2024-04-05T00:00:00"/>
  </r>
  <r>
    <n v="4593"/>
    <n v="11335"/>
    <x v="1"/>
    <n v="192641.5"/>
    <x v="0"/>
    <n v="25"/>
    <x v="3"/>
    <d v="2024-03-14T00:00:00"/>
    <d v="2024-04-08T00:00:00"/>
  </r>
  <r>
    <n v="4594"/>
    <n v="12259"/>
    <x v="3"/>
    <n v="63612.54"/>
    <x v="1"/>
    <n v="11"/>
    <x v="1"/>
    <d v="2024-05-22T00:00:00"/>
    <d v="2024-06-02T00:00:00"/>
  </r>
  <r>
    <n v="4595"/>
    <n v="16615"/>
    <x v="3"/>
    <n v="172982.34"/>
    <x v="0"/>
    <n v="7"/>
    <x v="0"/>
    <d v="2024-03-02T00:00:00"/>
    <d v="2024-03-09T00:00:00"/>
  </r>
  <r>
    <n v="4596"/>
    <n v="15534"/>
    <x v="1"/>
    <n v="187063.22"/>
    <x v="0"/>
    <n v="14"/>
    <x v="1"/>
    <d v="2024-05-25T00:00:00"/>
    <d v="2024-06-08T00:00:00"/>
  </r>
  <r>
    <n v="4597"/>
    <n v="18691"/>
    <x v="0"/>
    <n v="150681.81"/>
    <x v="0"/>
    <n v="22"/>
    <x v="1"/>
    <d v="2024-02-15T00:00:00"/>
    <d v="2024-03-08T00:00:00"/>
  </r>
  <r>
    <n v="4598"/>
    <n v="10810"/>
    <x v="3"/>
    <n v="50109.02"/>
    <x v="1"/>
    <n v="33"/>
    <x v="2"/>
    <d v="2024-08-16T00:00:00"/>
    <d v="2024-09-18T00:00:00"/>
  </r>
  <r>
    <n v="4599"/>
    <n v="14984"/>
    <x v="3"/>
    <n v="70130.14"/>
    <x v="1"/>
    <n v="44"/>
    <x v="3"/>
    <d v="2024-04-14T00:00:00"/>
    <d v="2024-05-28T00:00:00"/>
  </r>
  <r>
    <n v="4600"/>
    <n v="17348"/>
    <x v="0"/>
    <n v="11982.81"/>
    <x v="0"/>
    <n v="16"/>
    <x v="0"/>
    <d v="2024-04-18T00:00:00"/>
    <d v="2024-05-04T00:00:00"/>
  </r>
  <r>
    <n v="4601"/>
    <n v="17556"/>
    <x v="3"/>
    <n v="167133.38"/>
    <x v="0"/>
    <n v="3"/>
    <x v="2"/>
    <d v="2024-11-12T00:00:00"/>
    <d v="2024-11-15T00:00:00"/>
  </r>
  <r>
    <n v="4602"/>
    <n v="13713"/>
    <x v="3"/>
    <n v="170674.18"/>
    <x v="0"/>
    <n v="16"/>
    <x v="2"/>
    <d v="2024-04-30T00:00:00"/>
    <d v="2024-05-16T00:00:00"/>
  </r>
  <r>
    <n v="4603"/>
    <n v="13704"/>
    <x v="2"/>
    <n v="128378.51"/>
    <x v="2"/>
    <m/>
    <x v="2"/>
    <d v="2024-02-12T00:00:00"/>
    <m/>
  </r>
  <r>
    <n v="4604"/>
    <n v="11210"/>
    <x v="1"/>
    <n v="73742.929999999993"/>
    <x v="1"/>
    <n v="21"/>
    <x v="1"/>
    <d v="2024-04-08T00:00:00"/>
    <d v="2024-04-29T00:00:00"/>
  </r>
  <r>
    <n v="4605"/>
    <n v="13745"/>
    <x v="3"/>
    <n v="19978.150000000001"/>
    <x v="0"/>
    <n v="7"/>
    <x v="3"/>
    <d v="2024-07-12T00:00:00"/>
    <d v="2024-07-19T00:00:00"/>
  </r>
  <r>
    <n v="4606"/>
    <n v="17791"/>
    <x v="3"/>
    <n v="151846.23000000001"/>
    <x v="1"/>
    <n v="16"/>
    <x v="3"/>
    <d v="2024-11-06T00:00:00"/>
    <d v="2024-11-22T00:00:00"/>
  </r>
  <r>
    <n v="4607"/>
    <n v="11491"/>
    <x v="3"/>
    <n v="146672.60999999999"/>
    <x v="1"/>
    <n v="18"/>
    <x v="0"/>
    <d v="2024-08-01T00:00:00"/>
    <d v="2024-08-19T00:00:00"/>
  </r>
  <r>
    <n v="4608"/>
    <n v="17301"/>
    <x v="3"/>
    <n v="182957.49"/>
    <x v="0"/>
    <n v="27"/>
    <x v="3"/>
    <d v="2024-08-16T00:00:00"/>
    <d v="2024-09-12T00:00:00"/>
  </r>
  <r>
    <n v="4609"/>
    <n v="16460"/>
    <x v="0"/>
    <n v="147453.74"/>
    <x v="0"/>
    <n v="23"/>
    <x v="3"/>
    <d v="2024-07-03T00:00:00"/>
    <d v="2024-07-26T00:00:00"/>
  </r>
  <r>
    <n v="4610"/>
    <n v="13048"/>
    <x v="3"/>
    <n v="166595.51"/>
    <x v="0"/>
    <n v="10"/>
    <x v="2"/>
    <d v="2024-04-21T00:00:00"/>
    <d v="2024-05-01T00:00:00"/>
  </r>
  <r>
    <n v="4611"/>
    <n v="14919"/>
    <x v="1"/>
    <n v="150461.15"/>
    <x v="0"/>
    <n v="13"/>
    <x v="2"/>
    <d v="2024-12-12T00:00:00"/>
    <d v="2024-12-25T00:00:00"/>
  </r>
  <r>
    <n v="4612"/>
    <n v="12934"/>
    <x v="2"/>
    <n v="127984"/>
    <x v="1"/>
    <n v="23"/>
    <x v="1"/>
    <d v="2024-09-28T00:00:00"/>
    <d v="2024-10-21T00:00:00"/>
  </r>
  <r>
    <n v="4613"/>
    <n v="16110"/>
    <x v="3"/>
    <n v="88258.45"/>
    <x v="0"/>
    <n v="24"/>
    <x v="2"/>
    <d v="2024-11-08T00:00:00"/>
    <d v="2024-12-02T00:00:00"/>
  </r>
  <r>
    <n v="4614"/>
    <n v="11817"/>
    <x v="3"/>
    <n v="180912.88"/>
    <x v="1"/>
    <n v="38"/>
    <x v="2"/>
    <d v="2024-04-11T00:00:00"/>
    <d v="2024-05-19T00:00:00"/>
  </r>
  <r>
    <n v="4615"/>
    <n v="16613"/>
    <x v="1"/>
    <n v="131938.87"/>
    <x v="2"/>
    <m/>
    <x v="2"/>
    <d v="2024-07-28T00:00:00"/>
    <m/>
  </r>
  <r>
    <n v="4616"/>
    <n v="14319"/>
    <x v="2"/>
    <n v="82679.289999999994"/>
    <x v="0"/>
    <n v="25"/>
    <x v="2"/>
    <d v="2024-08-14T00:00:00"/>
    <d v="2024-09-08T00:00:00"/>
  </r>
  <r>
    <n v="4617"/>
    <n v="11275"/>
    <x v="0"/>
    <n v="21276.51"/>
    <x v="0"/>
    <n v="9"/>
    <x v="1"/>
    <d v="2024-10-07T00:00:00"/>
    <d v="2024-10-16T00:00:00"/>
  </r>
  <r>
    <n v="4618"/>
    <n v="17231"/>
    <x v="3"/>
    <n v="61687.45"/>
    <x v="1"/>
    <n v="27"/>
    <x v="2"/>
    <d v="2024-01-22T00:00:00"/>
    <d v="2024-02-18T00:00:00"/>
  </r>
  <r>
    <n v="4619"/>
    <n v="12877"/>
    <x v="1"/>
    <n v="111026.71"/>
    <x v="1"/>
    <n v="33"/>
    <x v="0"/>
    <d v="2024-09-04T00:00:00"/>
    <d v="2024-10-07T00:00:00"/>
  </r>
  <r>
    <n v="4620"/>
    <n v="14014"/>
    <x v="1"/>
    <n v="58748.9"/>
    <x v="1"/>
    <n v="29"/>
    <x v="0"/>
    <d v="2024-06-07T00:00:00"/>
    <d v="2024-07-06T00:00:00"/>
  </r>
  <r>
    <n v="4621"/>
    <n v="14087"/>
    <x v="2"/>
    <n v="48140.89"/>
    <x v="0"/>
    <n v="33"/>
    <x v="0"/>
    <d v="2024-08-16T00:00:00"/>
    <d v="2024-09-18T00:00:00"/>
  </r>
  <r>
    <n v="4622"/>
    <n v="11147"/>
    <x v="3"/>
    <n v="107841.74"/>
    <x v="0"/>
    <n v="23"/>
    <x v="0"/>
    <d v="2024-12-08T00:00:00"/>
    <d v="2024-12-31T00:00:00"/>
  </r>
  <r>
    <n v="4623"/>
    <n v="10237"/>
    <x v="1"/>
    <n v="38114.97"/>
    <x v="0"/>
    <n v="10"/>
    <x v="2"/>
    <d v="2024-07-05T00:00:00"/>
    <d v="2024-07-15T00:00:00"/>
  </r>
  <r>
    <n v="4624"/>
    <n v="12122"/>
    <x v="0"/>
    <n v="161079.96"/>
    <x v="2"/>
    <m/>
    <x v="0"/>
    <d v="2024-05-22T00:00:00"/>
    <m/>
  </r>
  <r>
    <n v="4625"/>
    <n v="17609"/>
    <x v="3"/>
    <n v="99451.79"/>
    <x v="0"/>
    <n v="26"/>
    <x v="2"/>
    <d v="2024-12-03T00:00:00"/>
    <d v="2024-12-29T00:00:00"/>
  </r>
  <r>
    <n v="4626"/>
    <n v="14595"/>
    <x v="3"/>
    <n v="116903.24"/>
    <x v="2"/>
    <m/>
    <x v="1"/>
    <d v="2024-12-23T00:00:00"/>
    <m/>
  </r>
  <r>
    <n v="4627"/>
    <n v="19737"/>
    <x v="3"/>
    <n v="33739.74"/>
    <x v="0"/>
    <n v="13"/>
    <x v="0"/>
    <d v="2024-01-24T00:00:00"/>
    <d v="2024-02-06T00:00:00"/>
  </r>
  <r>
    <n v="4628"/>
    <n v="13983"/>
    <x v="3"/>
    <n v="68292.39"/>
    <x v="2"/>
    <m/>
    <x v="3"/>
    <d v="2024-05-20T00:00:00"/>
    <m/>
  </r>
  <r>
    <n v="4629"/>
    <n v="18134"/>
    <x v="3"/>
    <n v="84967.49"/>
    <x v="0"/>
    <n v="4"/>
    <x v="0"/>
    <d v="2024-08-27T00:00:00"/>
    <d v="2024-08-31T00:00:00"/>
  </r>
  <r>
    <n v="4630"/>
    <n v="15606"/>
    <x v="2"/>
    <n v="162601.5"/>
    <x v="0"/>
    <n v="42"/>
    <x v="0"/>
    <d v="2024-10-18T00:00:00"/>
    <d v="2024-11-29T00:00:00"/>
  </r>
  <r>
    <n v="4631"/>
    <n v="19178"/>
    <x v="3"/>
    <n v="155181.10999999999"/>
    <x v="0"/>
    <n v="24"/>
    <x v="2"/>
    <d v="2024-10-31T00:00:00"/>
    <d v="2024-11-24T00:00:00"/>
  </r>
  <r>
    <n v="4632"/>
    <n v="11623"/>
    <x v="3"/>
    <n v="48480.61"/>
    <x v="0"/>
    <n v="24"/>
    <x v="0"/>
    <d v="2024-03-22T00:00:00"/>
    <d v="2024-04-15T00:00:00"/>
  </r>
  <r>
    <n v="4633"/>
    <n v="17226"/>
    <x v="1"/>
    <n v="125154.92"/>
    <x v="0"/>
    <n v="19"/>
    <x v="3"/>
    <d v="2024-02-17T00:00:00"/>
    <d v="2024-03-07T00:00:00"/>
  </r>
  <r>
    <n v="4634"/>
    <n v="10722"/>
    <x v="3"/>
    <n v="52473.99"/>
    <x v="0"/>
    <n v="12"/>
    <x v="2"/>
    <d v="2024-12-18T00:00:00"/>
    <d v="2024-12-30T00:00:00"/>
  </r>
  <r>
    <n v="4635"/>
    <n v="11095"/>
    <x v="3"/>
    <n v="197708.2"/>
    <x v="0"/>
    <n v="37"/>
    <x v="2"/>
    <d v="2024-12-23T00:00:00"/>
    <d v="2025-01-29T00:00:00"/>
  </r>
  <r>
    <n v="4636"/>
    <n v="13827"/>
    <x v="1"/>
    <n v="190664.16"/>
    <x v="0"/>
    <n v="27"/>
    <x v="1"/>
    <d v="2024-06-19T00:00:00"/>
    <d v="2024-07-16T00:00:00"/>
  </r>
  <r>
    <n v="4637"/>
    <n v="14285"/>
    <x v="0"/>
    <n v="114836.62"/>
    <x v="1"/>
    <n v="9"/>
    <x v="1"/>
    <d v="2024-09-18T00:00:00"/>
    <d v="2024-09-27T00:00:00"/>
  </r>
  <r>
    <n v="4638"/>
    <n v="10995"/>
    <x v="1"/>
    <n v="141286"/>
    <x v="0"/>
    <n v="29"/>
    <x v="0"/>
    <d v="2024-03-08T00:00:00"/>
    <d v="2024-04-06T00:00:00"/>
  </r>
  <r>
    <n v="4639"/>
    <n v="15681"/>
    <x v="1"/>
    <n v="161278.92000000001"/>
    <x v="0"/>
    <n v="19"/>
    <x v="1"/>
    <d v="2024-01-14T00:00:00"/>
    <d v="2024-02-02T00:00:00"/>
  </r>
  <r>
    <n v="4640"/>
    <n v="14661"/>
    <x v="3"/>
    <n v="145594.69"/>
    <x v="1"/>
    <n v="14"/>
    <x v="1"/>
    <d v="2024-01-30T00:00:00"/>
    <d v="2024-02-13T00:00:00"/>
  </r>
  <r>
    <n v="4641"/>
    <n v="10992"/>
    <x v="2"/>
    <n v="141466.59"/>
    <x v="0"/>
    <n v="37"/>
    <x v="1"/>
    <d v="2024-04-19T00:00:00"/>
    <d v="2024-05-26T00:00:00"/>
  </r>
  <r>
    <n v="4642"/>
    <n v="12783"/>
    <x v="3"/>
    <n v="191918.03"/>
    <x v="2"/>
    <m/>
    <x v="2"/>
    <d v="2024-07-30T00:00:00"/>
    <m/>
  </r>
  <r>
    <n v="4643"/>
    <n v="18347"/>
    <x v="1"/>
    <n v="121308.94"/>
    <x v="0"/>
    <n v="41"/>
    <x v="2"/>
    <d v="2024-09-20T00:00:00"/>
    <d v="2024-10-31T00:00:00"/>
  </r>
  <r>
    <n v="4644"/>
    <n v="15682"/>
    <x v="3"/>
    <n v="129079.02"/>
    <x v="0"/>
    <n v="13"/>
    <x v="2"/>
    <d v="2024-11-17T00:00:00"/>
    <d v="2024-11-30T00:00:00"/>
  </r>
  <r>
    <n v="4645"/>
    <n v="19968"/>
    <x v="2"/>
    <n v="170607.41"/>
    <x v="0"/>
    <n v="23"/>
    <x v="1"/>
    <d v="2024-07-20T00:00:00"/>
    <d v="2024-08-12T00:00:00"/>
  </r>
  <r>
    <n v="4646"/>
    <n v="15961"/>
    <x v="1"/>
    <n v="135628.72"/>
    <x v="0"/>
    <n v="3"/>
    <x v="2"/>
    <d v="2024-03-24T00:00:00"/>
    <d v="2024-03-27T00:00:00"/>
  </r>
  <r>
    <n v="4647"/>
    <n v="14768"/>
    <x v="1"/>
    <n v="147921.85999999999"/>
    <x v="0"/>
    <n v="41"/>
    <x v="1"/>
    <d v="2024-02-22T00:00:00"/>
    <d v="2024-04-03T00:00:00"/>
  </r>
  <r>
    <n v="4648"/>
    <n v="15760"/>
    <x v="3"/>
    <n v="50662.89"/>
    <x v="0"/>
    <n v="29"/>
    <x v="2"/>
    <d v="2024-12-20T00:00:00"/>
    <d v="2025-01-18T00:00:00"/>
  </r>
  <r>
    <n v="4649"/>
    <n v="15204"/>
    <x v="3"/>
    <n v="77397.05"/>
    <x v="0"/>
    <n v="14"/>
    <x v="2"/>
    <d v="2024-09-12T00:00:00"/>
    <d v="2024-09-26T00:00:00"/>
  </r>
  <r>
    <n v="4650"/>
    <n v="17552"/>
    <x v="1"/>
    <n v="33723.760000000002"/>
    <x v="0"/>
    <n v="34"/>
    <x v="3"/>
    <d v="2024-03-14T00:00:00"/>
    <d v="2024-04-17T00:00:00"/>
  </r>
  <r>
    <n v="4651"/>
    <n v="18246"/>
    <x v="1"/>
    <n v="103624.26"/>
    <x v="0"/>
    <n v="4"/>
    <x v="0"/>
    <d v="2024-08-07T00:00:00"/>
    <d v="2024-08-11T00:00:00"/>
  </r>
  <r>
    <n v="4652"/>
    <n v="10084"/>
    <x v="3"/>
    <n v="93866.84"/>
    <x v="0"/>
    <n v="35"/>
    <x v="1"/>
    <d v="2024-05-22T00:00:00"/>
    <d v="2024-06-26T00:00:00"/>
  </r>
  <r>
    <n v="4653"/>
    <n v="15976"/>
    <x v="2"/>
    <n v="199446.75"/>
    <x v="0"/>
    <n v="24"/>
    <x v="3"/>
    <d v="2024-04-09T00:00:00"/>
    <d v="2024-05-03T00:00:00"/>
  </r>
  <r>
    <n v="4654"/>
    <n v="18147"/>
    <x v="0"/>
    <n v="124185.69"/>
    <x v="0"/>
    <n v="33"/>
    <x v="2"/>
    <d v="2024-05-08T00:00:00"/>
    <d v="2024-06-10T00:00:00"/>
  </r>
  <r>
    <n v="4655"/>
    <n v="17084"/>
    <x v="3"/>
    <n v="158356.74"/>
    <x v="0"/>
    <n v="21"/>
    <x v="1"/>
    <d v="2024-08-06T00:00:00"/>
    <d v="2024-08-27T00:00:00"/>
  </r>
  <r>
    <n v="4656"/>
    <n v="12779"/>
    <x v="0"/>
    <n v="70132.86"/>
    <x v="0"/>
    <n v="29"/>
    <x v="2"/>
    <d v="2024-09-27T00:00:00"/>
    <d v="2024-10-26T00:00:00"/>
  </r>
  <r>
    <n v="4657"/>
    <n v="16055"/>
    <x v="1"/>
    <n v="167151.34"/>
    <x v="0"/>
    <n v="9"/>
    <x v="0"/>
    <d v="2024-01-22T00:00:00"/>
    <d v="2024-01-31T00:00:00"/>
  </r>
  <r>
    <n v="4658"/>
    <n v="12669"/>
    <x v="3"/>
    <n v="124941.57"/>
    <x v="0"/>
    <n v="4"/>
    <x v="3"/>
    <d v="2024-06-26T00:00:00"/>
    <d v="2024-06-30T00:00:00"/>
  </r>
  <r>
    <n v="4659"/>
    <n v="11008"/>
    <x v="3"/>
    <n v="140913.5"/>
    <x v="0"/>
    <n v="31"/>
    <x v="0"/>
    <d v="2024-02-17T00:00:00"/>
    <d v="2024-03-19T00:00:00"/>
  </r>
  <r>
    <n v="4660"/>
    <n v="12364"/>
    <x v="1"/>
    <n v="62414"/>
    <x v="0"/>
    <n v="26"/>
    <x v="3"/>
    <d v="2024-04-26T00:00:00"/>
    <d v="2024-05-22T00:00:00"/>
  </r>
  <r>
    <n v="4661"/>
    <n v="13686"/>
    <x v="1"/>
    <n v="111984.49"/>
    <x v="0"/>
    <n v="31"/>
    <x v="2"/>
    <d v="2024-11-24T00:00:00"/>
    <d v="2024-12-25T00:00:00"/>
  </r>
  <r>
    <n v="4662"/>
    <n v="16768"/>
    <x v="3"/>
    <n v="128637.21"/>
    <x v="0"/>
    <n v="30"/>
    <x v="0"/>
    <d v="2024-06-27T00:00:00"/>
    <d v="2024-07-27T00:00:00"/>
  </r>
  <r>
    <n v="4663"/>
    <n v="12199"/>
    <x v="1"/>
    <n v="119873.46"/>
    <x v="0"/>
    <n v="31"/>
    <x v="0"/>
    <d v="2024-09-29T00:00:00"/>
    <d v="2024-10-30T00:00:00"/>
  </r>
  <r>
    <n v="4664"/>
    <n v="19551"/>
    <x v="1"/>
    <n v="183462.77"/>
    <x v="0"/>
    <n v="35"/>
    <x v="2"/>
    <d v="2024-12-27T00:00:00"/>
    <d v="2025-01-31T00:00:00"/>
  </r>
  <r>
    <n v="4665"/>
    <n v="10909"/>
    <x v="1"/>
    <n v="180163.17"/>
    <x v="0"/>
    <n v="26"/>
    <x v="0"/>
    <d v="2024-12-04T00:00:00"/>
    <d v="2024-12-30T00:00:00"/>
  </r>
  <r>
    <n v="4666"/>
    <n v="13439"/>
    <x v="3"/>
    <n v="194341.89"/>
    <x v="0"/>
    <n v="18"/>
    <x v="1"/>
    <d v="2024-12-25T00:00:00"/>
    <d v="2025-01-12T00:00:00"/>
  </r>
  <r>
    <n v="4667"/>
    <n v="15882"/>
    <x v="0"/>
    <n v="135148.46"/>
    <x v="1"/>
    <n v="25"/>
    <x v="3"/>
    <d v="2024-12-12T00:00:00"/>
    <d v="2025-01-06T00:00:00"/>
  </r>
  <r>
    <n v="4668"/>
    <n v="12913"/>
    <x v="3"/>
    <n v="194523.26"/>
    <x v="1"/>
    <n v="39"/>
    <x v="3"/>
    <d v="2024-06-27T00:00:00"/>
    <d v="2024-08-05T00:00:00"/>
  </r>
  <r>
    <n v="4669"/>
    <n v="14695"/>
    <x v="3"/>
    <n v="167333.21"/>
    <x v="0"/>
    <n v="29"/>
    <x v="3"/>
    <d v="2024-02-18T00:00:00"/>
    <d v="2024-03-18T00:00:00"/>
  </r>
  <r>
    <n v="4670"/>
    <n v="11006"/>
    <x v="3"/>
    <n v="57812.27"/>
    <x v="0"/>
    <n v="34"/>
    <x v="1"/>
    <d v="2024-11-10T00:00:00"/>
    <d v="2024-12-14T00:00:00"/>
  </r>
  <r>
    <n v="4671"/>
    <n v="17114"/>
    <x v="3"/>
    <n v="88349.96"/>
    <x v="0"/>
    <n v="37"/>
    <x v="3"/>
    <d v="2024-09-11T00:00:00"/>
    <d v="2024-10-18T00:00:00"/>
  </r>
  <r>
    <n v="4672"/>
    <n v="11143"/>
    <x v="0"/>
    <n v="51486.53"/>
    <x v="1"/>
    <n v="8"/>
    <x v="2"/>
    <d v="2024-01-30T00:00:00"/>
    <d v="2024-02-07T00:00:00"/>
  </r>
  <r>
    <n v="4673"/>
    <n v="17552"/>
    <x v="3"/>
    <n v="5818.45"/>
    <x v="0"/>
    <n v="24"/>
    <x v="0"/>
    <d v="2024-03-25T00:00:00"/>
    <d v="2024-04-18T00:00:00"/>
  </r>
  <r>
    <n v="4674"/>
    <n v="11224"/>
    <x v="1"/>
    <n v="41669.51"/>
    <x v="2"/>
    <m/>
    <x v="1"/>
    <d v="2024-10-03T00:00:00"/>
    <m/>
  </r>
  <r>
    <n v="4675"/>
    <n v="14495"/>
    <x v="3"/>
    <n v="5791.81"/>
    <x v="0"/>
    <n v="15"/>
    <x v="3"/>
    <d v="2024-02-03T00:00:00"/>
    <d v="2024-02-18T00:00:00"/>
  </r>
  <r>
    <n v="4676"/>
    <n v="18259"/>
    <x v="3"/>
    <n v="145368.5"/>
    <x v="0"/>
    <n v="43"/>
    <x v="2"/>
    <d v="2024-11-24T00:00:00"/>
    <d v="2025-01-06T00:00:00"/>
  </r>
  <r>
    <n v="4677"/>
    <n v="19206"/>
    <x v="2"/>
    <n v="87979.19"/>
    <x v="0"/>
    <n v="29"/>
    <x v="0"/>
    <d v="2024-04-07T00:00:00"/>
    <d v="2024-05-06T00:00:00"/>
  </r>
  <r>
    <n v="4678"/>
    <n v="10181"/>
    <x v="1"/>
    <n v="65952.070000000007"/>
    <x v="0"/>
    <n v="25"/>
    <x v="0"/>
    <d v="2024-03-16T00:00:00"/>
    <d v="2024-04-10T00:00:00"/>
  </r>
  <r>
    <n v="4679"/>
    <n v="16332"/>
    <x v="3"/>
    <n v="153535.57"/>
    <x v="0"/>
    <n v="8"/>
    <x v="1"/>
    <d v="2024-06-23T00:00:00"/>
    <d v="2024-07-01T00:00:00"/>
  </r>
  <r>
    <n v="4680"/>
    <n v="14946"/>
    <x v="1"/>
    <n v="167334.92000000001"/>
    <x v="0"/>
    <n v="37"/>
    <x v="1"/>
    <d v="2024-12-06T00:00:00"/>
    <d v="2025-01-12T00:00:00"/>
  </r>
  <r>
    <n v="4681"/>
    <n v="17450"/>
    <x v="3"/>
    <n v="195183.41"/>
    <x v="0"/>
    <n v="40"/>
    <x v="1"/>
    <d v="2024-09-05T00:00:00"/>
    <d v="2024-10-15T00:00:00"/>
  </r>
  <r>
    <n v="4682"/>
    <n v="12945"/>
    <x v="3"/>
    <n v="130192.65"/>
    <x v="1"/>
    <n v="16"/>
    <x v="2"/>
    <d v="2024-12-05T00:00:00"/>
    <d v="2024-12-21T00:00:00"/>
  </r>
  <r>
    <n v="4683"/>
    <n v="18846"/>
    <x v="1"/>
    <n v="94998.15"/>
    <x v="0"/>
    <n v="4"/>
    <x v="2"/>
    <d v="2024-05-13T00:00:00"/>
    <d v="2024-05-17T00:00:00"/>
  </r>
  <r>
    <n v="4684"/>
    <n v="13686"/>
    <x v="1"/>
    <n v="64526.54"/>
    <x v="0"/>
    <n v="3"/>
    <x v="1"/>
    <d v="2024-06-26T00:00:00"/>
    <d v="2024-06-29T00:00:00"/>
  </r>
  <r>
    <n v="4685"/>
    <n v="12288"/>
    <x v="3"/>
    <n v="48352.05"/>
    <x v="0"/>
    <n v="8"/>
    <x v="3"/>
    <d v="2024-12-30T00:00:00"/>
    <d v="2025-01-07T00:00:00"/>
  </r>
  <r>
    <n v="4686"/>
    <n v="12831"/>
    <x v="2"/>
    <n v="46520.56"/>
    <x v="1"/>
    <n v="17"/>
    <x v="0"/>
    <d v="2024-08-15T00:00:00"/>
    <d v="2024-09-01T00:00:00"/>
  </r>
  <r>
    <n v="4687"/>
    <n v="18913"/>
    <x v="1"/>
    <n v="84791.93"/>
    <x v="1"/>
    <n v="22"/>
    <x v="0"/>
    <d v="2024-03-03T00:00:00"/>
    <d v="2024-03-25T00:00:00"/>
  </r>
  <r>
    <n v="4688"/>
    <n v="13248"/>
    <x v="3"/>
    <n v="198398.34"/>
    <x v="0"/>
    <n v="10"/>
    <x v="2"/>
    <d v="2024-09-24T00:00:00"/>
    <d v="2024-10-04T00:00:00"/>
  </r>
  <r>
    <n v="4689"/>
    <n v="19392"/>
    <x v="1"/>
    <n v="5166.47"/>
    <x v="0"/>
    <n v="13"/>
    <x v="0"/>
    <d v="2024-09-14T00:00:00"/>
    <d v="2024-09-27T00:00:00"/>
  </r>
  <r>
    <n v="4690"/>
    <n v="18501"/>
    <x v="1"/>
    <n v="43455.15"/>
    <x v="0"/>
    <n v="30"/>
    <x v="3"/>
    <d v="2024-05-23T00:00:00"/>
    <d v="2024-06-22T00:00:00"/>
  </r>
  <r>
    <n v="4691"/>
    <n v="11025"/>
    <x v="1"/>
    <n v="41736.629999999997"/>
    <x v="0"/>
    <n v="25"/>
    <x v="0"/>
    <d v="2024-10-29T00:00:00"/>
    <d v="2024-11-23T00:00:00"/>
  </r>
  <r>
    <n v="4692"/>
    <n v="14412"/>
    <x v="3"/>
    <n v="144838.29999999999"/>
    <x v="0"/>
    <n v="34"/>
    <x v="2"/>
    <d v="2024-02-21T00:00:00"/>
    <d v="2024-03-26T00:00:00"/>
  </r>
  <r>
    <n v="4693"/>
    <n v="15902"/>
    <x v="1"/>
    <n v="73734.52"/>
    <x v="2"/>
    <m/>
    <x v="2"/>
    <d v="2024-10-29T00:00:00"/>
    <m/>
  </r>
  <r>
    <n v="4694"/>
    <n v="19724"/>
    <x v="3"/>
    <n v="94165.86"/>
    <x v="0"/>
    <n v="44"/>
    <x v="3"/>
    <d v="2024-04-08T00:00:00"/>
    <d v="2024-05-22T00:00:00"/>
  </r>
  <r>
    <n v="4695"/>
    <n v="13643"/>
    <x v="0"/>
    <n v="33981.71"/>
    <x v="0"/>
    <n v="19"/>
    <x v="3"/>
    <d v="2024-11-01T00:00:00"/>
    <d v="2024-11-20T00:00:00"/>
  </r>
  <r>
    <n v="4696"/>
    <n v="18559"/>
    <x v="1"/>
    <n v="83974.42"/>
    <x v="0"/>
    <n v="6"/>
    <x v="0"/>
    <d v="2024-02-14T00:00:00"/>
    <d v="2024-02-20T00:00:00"/>
  </r>
  <r>
    <n v="4697"/>
    <n v="14650"/>
    <x v="3"/>
    <n v="25123.96"/>
    <x v="1"/>
    <n v="16"/>
    <x v="0"/>
    <d v="2024-02-11T00:00:00"/>
    <d v="2024-02-27T00:00:00"/>
  </r>
  <r>
    <n v="4698"/>
    <n v="11249"/>
    <x v="1"/>
    <n v="108943.44"/>
    <x v="0"/>
    <n v="8"/>
    <x v="2"/>
    <d v="2024-11-22T00:00:00"/>
    <d v="2024-11-30T00:00:00"/>
  </r>
  <r>
    <n v="4699"/>
    <n v="12983"/>
    <x v="2"/>
    <n v="24097.98"/>
    <x v="0"/>
    <n v="26"/>
    <x v="3"/>
    <d v="2024-02-26T00:00:00"/>
    <d v="2024-03-23T00:00:00"/>
  </r>
  <r>
    <n v="4700"/>
    <n v="14575"/>
    <x v="2"/>
    <n v="159149.13"/>
    <x v="0"/>
    <n v="15"/>
    <x v="3"/>
    <d v="2024-02-02T00:00:00"/>
    <d v="2024-02-17T00:00:00"/>
  </r>
  <r>
    <n v="4701"/>
    <n v="17447"/>
    <x v="3"/>
    <n v="115487.33"/>
    <x v="0"/>
    <n v="41"/>
    <x v="3"/>
    <d v="2024-04-23T00:00:00"/>
    <d v="2024-06-03T00:00:00"/>
  </r>
  <r>
    <n v="4702"/>
    <n v="19131"/>
    <x v="3"/>
    <n v="146173.74"/>
    <x v="1"/>
    <n v="37"/>
    <x v="0"/>
    <d v="2024-10-26T00:00:00"/>
    <d v="2024-12-02T00:00:00"/>
  </r>
  <r>
    <n v="4703"/>
    <n v="14109"/>
    <x v="1"/>
    <n v="86610.7"/>
    <x v="0"/>
    <n v="36"/>
    <x v="3"/>
    <d v="2024-04-23T00:00:00"/>
    <d v="2024-05-29T00:00:00"/>
  </r>
  <r>
    <n v="4704"/>
    <n v="14023"/>
    <x v="3"/>
    <n v="79390.8"/>
    <x v="1"/>
    <n v="25"/>
    <x v="2"/>
    <d v="2024-02-25T00:00:00"/>
    <d v="2024-03-21T00:00:00"/>
  </r>
  <r>
    <n v="4705"/>
    <n v="17969"/>
    <x v="2"/>
    <n v="24150.73"/>
    <x v="0"/>
    <n v="16"/>
    <x v="2"/>
    <d v="2024-02-13T00:00:00"/>
    <d v="2024-02-29T00:00:00"/>
  </r>
  <r>
    <n v="4706"/>
    <n v="10589"/>
    <x v="3"/>
    <n v="107151.84"/>
    <x v="0"/>
    <n v="12"/>
    <x v="0"/>
    <d v="2024-07-30T00:00:00"/>
    <d v="2024-08-11T00:00:00"/>
  </r>
  <r>
    <n v="4707"/>
    <n v="11782"/>
    <x v="3"/>
    <n v="105327.92"/>
    <x v="1"/>
    <n v="25"/>
    <x v="1"/>
    <d v="2024-12-17T00:00:00"/>
    <d v="2025-01-11T00:00:00"/>
  </r>
  <r>
    <n v="4708"/>
    <n v="14568"/>
    <x v="3"/>
    <n v="96279.9"/>
    <x v="0"/>
    <n v="12"/>
    <x v="0"/>
    <d v="2024-11-24T00:00:00"/>
    <d v="2024-12-06T00:00:00"/>
  </r>
  <r>
    <n v="4709"/>
    <n v="19399"/>
    <x v="3"/>
    <n v="149401.07999999999"/>
    <x v="0"/>
    <n v="18"/>
    <x v="1"/>
    <d v="2024-02-03T00:00:00"/>
    <d v="2024-02-21T00:00:00"/>
  </r>
  <r>
    <n v="4710"/>
    <n v="14412"/>
    <x v="1"/>
    <n v="167338.35999999999"/>
    <x v="0"/>
    <n v="7"/>
    <x v="3"/>
    <d v="2024-09-26T00:00:00"/>
    <d v="2024-10-03T00:00:00"/>
  </r>
  <r>
    <n v="4711"/>
    <n v="19038"/>
    <x v="3"/>
    <n v="151403.99"/>
    <x v="0"/>
    <n v="22"/>
    <x v="0"/>
    <d v="2024-07-14T00:00:00"/>
    <d v="2024-08-05T00:00:00"/>
  </r>
  <r>
    <n v="4712"/>
    <n v="14680"/>
    <x v="3"/>
    <n v="33053.82"/>
    <x v="0"/>
    <n v="9"/>
    <x v="2"/>
    <d v="2024-05-04T00:00:00"/>
    <d v="2024-05-13T00:00:00"/>
  </r>
  <r>
    <n v="4713"/>
    <n v="18990"/>
    <x v="3"/>
    <n v="126301.6"/>
    <x v="2"/>
    <m/>
    <x v="3"/>
    <d v="2024-03-19T00:00:00"/>
    <m/>
  </r>
  <r>
    <n v="4714"/>
    <n v="10470"/>
    <x v="1"/>
    <n v="20663.009999999998"/>
    <x v="2"/>
    <m/>
    <x v="2"/>
    <d v="2024-09-11T00:00:00"/>
    <m/>
  </r>
  <r>
    <n v="4715"/>
    <n v="14827"/>
    <x v="3"/>
    <n v="140451.35"/>
    <x v="0"/>
    <n v="11"/>
    <x v="3"/>
    <d v="2024-05-24T00:00:00"/>
    <d v="2024-06-04T00:00:00"/>
  </r>
  <r>
    <n v="4716"/>
    <n v="15067"/>
    <x v="1"/>
    <n v="79458.62"/>
    <x v="0"/>
    <n v="29"/>
    <x v="0"/>
    <d v="2024-03-23T00:00:00"/>
    <d v="2024-04-21T00:00:00"/>
  </r>
  <r>
    <n v="4717"/>
    <n v="12994"/>
    <x v="1"/>
    <n v="30837.3"/>
    <x v="0"/>
    <n v="16"/>
    <x v="1"/>
    <d v="2024-08-17T00:00:00"/>
    <d v="2024-09-02T00:00:00"/>
  </r>
  <r>
    <n v="4718"/>
    <n v="13129"/>
    <x v="1"/>
    <n v="173099.92"/>
    <x v="0"/>
    <n v="13"/>
    <x v="3"/>
    <d v="2024-05-16T00:00:00"/>
    <d v="2024-05-29T00:00:00"/>
  </r>
  <r>
    <n v="4719"/>
    <n v="16167"/>
    <x v="2"/>
    <n v="124731.63"/>
    <x v="0"/>
    <n v="44"/>
    <x v="1"/>
    <d v="2024-01-27T00:00:00"/>
    <d v="2024-03-11T00:00:00"/>
  </r>
  <r>
    <n v="4720"/>
    <n v="11313"/>
    <x v="2"/>
    <n v="74171.37"/>
    <x v="0"/>
    <n v="19"/>
    <x v="3"/>
    <d v="2024-06-25T00:00:00"/>
    <d v="2024-07-14T00:00:00"/>
  </r>
  <r>
    <n v="4721"/>
    <n v="16546"/>
    <x v="2"/>
    <n v="10991.8"/>
    <x v="0"/>
    <n v="38"/>
    <x v="2"/>
    <d v="2024-07-25T00:00:00"/>
    <d v="2024-09-01T00:00:00"/>
  </r>
  <r>
    <n v="4722"/>
    <n v="19239"/>
    <x v="3"/>
    <n v="109775.5"/>
    <x v="0"/>
    <n v="25"/>
    <x v="2"/>
    <d v="2024-11-01T00:00:00"/>
    <d v="2024-11-26T00:00:00"/>
  </r>
  <r>
    <n v="4723"/>
    <n v="19279"/>
    <x v="3"/>
    <n v="185029.05"/>
    <x v="0"/>
    <n v="38"/>
    <x v="3"/>
    <d v="2024-11-06T00:00:00"/>
    <d v="2024-12-14T00:00:00"/>
  </r>
  <r>
    <n v="4724"/>
    <n v="17934"/>
    <x v="3"/>
    <n v="121294.07"/>
    <x v="0"/>
    <n v="30"/>
    <x v="1"/>
    <d v="2024-07-31T00:00:00"/>
    <d v="2024-08-30T00:00:00"/>
  </r>
  <r>
    <n v="4725"/>
    <n v="15358"/>
    <x v="0"/>
    <n v="194471.87"/>
    <x v="1"/>
    <n v="11"/>
    <x v="0"/>
    <d v="2024-12-19T00:00:00"/>
    <d v="2024-12-30T00:00:00"/>
  </r>
  <r>
    <n v="4726"/>
    <n v="10282"/>
    <x v="2"/>
    <n v="31607.97"/>
    <x v="0"/>
    <n v="15"/>
    <x v="0"/>
    <d v="2024-02-06T00:00:00"/>
    <d v="2024-02-21T00:00:00"/>
  </r>
  <r>
    <n v="4727"/>
    <n v="17609"/>
    <x v="0"/>
    <n v="115819.5"/>
    <x v="0"/>
    <n v="17"/>
    <x v="2"/>
    <d v="2024-10-19T00:00:00"/>
    <d v="2024-11-05T00:00:00"/>
  </r>
  <r>
    <n v="4728"/>
    <n v="11398"/>
    <x v="3"/>
    <n v="160634.38"/>
    <x v="0"/>
    <n v="38"/>
    <x v="0"/>
    <d v="2024-06-27T00:00:00"/>
    <d v="2024-08-04T00:00:00"/>
  </r>
  <r>
    <n v="4729"/>
    <n v="12733"/>
    <x v="2"/>
    <n v="107480.44"/>
    <x v="0"/>
    <n v="12"/>
    <x v="2"/>
    <d v="2024-06-08T00:00:00"/>
    <d v="2024-06-20T00:00:00"/>
  </r>
  <r>
    <n v="4730"/>
    <n v="14067"/>
    <x v="3"/>
    <n v="22757.94"/>
    <x v="0"/>
    <n v="27"/>
    <x v="0"/>
    <d v="2024-01-12T00:00:00"/>
    <d v="2024-02-08T00:00:00"/>
  </r>
  <r>
    <n v="4731"/>
    <n v="12357"/>
    <x v="3"/>
    <n v="118662.77"/>
    <x v="0"/>
    <n v="41"/>
    <x v="3"/>
    <d v="2024-06-17T00:00:00"/>
    <d v="2024-07-28T00:00:00"/>
  </r>
  <r>
    <n v="4732"/>
    <n v="13238"/>
    <x v="3"/>
    <n v="124288.89"/>
    <x v="2"/>
    <m/>
    <x v="2"/>
    <d v="2024-11-07T00:00:00"/>
    <m/>
  </r>
  <r>
    <n v="4733"/>
    <n v="19964"/>
    <x v="3"/>
    <n v="147098.29999999999"/>
    <x v="0"/>
    <n v="19"/>
    <x v="2"/>
    <d v="2024-03-20T00:00:00"/>
    <d v="2024-04-08T00:00:00"/>
  </r>
  <r>
    <n v="4734"/>
    <n v="17989"/>
    <x v="1"/>
    <n v="153436.25"/>
    <x v="0"/>
    <n v="31"/>
    <x v="3"/>
    <d v="2024-01-14T00:00:00"/>
    <d v="2024-02-14T00:00:00"/>
  </r>
  <r>
    <n v="4735"/>
    <n v="17210"/>
    <x v="3"/>
    <n v="155300.67000000001"/>
    <x v="0"/>
    <n v="33"/>
    <x v="2"/>
    <d v="2024-02-23T00:00:00"/>
    <d v="2024-03-27T00:00:00"/>
  </r>
  <r>
    <n v="4736"/>
    <n v="10787"/>
    <x v="3"/>
    <n v="134371.66"/>
    <x v="2"/>
    <m/>
    <x v="0"/>
    <d v="2024-09-10T00:00:00"/>
    <m/>
  </r>
  <r>
    <n v="4737"/>
    <n v="18234"/>
    <x v="1"/>
    <n v="47083.18"/>
    <x v="1"/>
    <n v="13"/>
    <x v="0"/>
    <d v="2024-03-05T00:00:00"/>
    <d v="2024-03-18T00:00:00"/>
  </r>
  <r>
    <n v="4738"/>
    <n v="15784"/>
    <x v="0"/>
    <n v="83825.97"/>
    <x v="1"/>
    <n v="14"/>
    <x v="2"/>
    <d v="2024-02-27T00:00:00"/>
    <d v="2024-03-12T00:00:00"/>
  </r>
  <r>
    <n v="4739"/>
    <n v="14643"/>
    <x v="1"/>
    <n v="156345.34"/>
    <x v="0"/>
    <n v="22"/>
    <x v="0"/>
    <d v="2024-04-05T00:00:00"/>
    <d v="2024-04-27T00:00:00"/>
  </r>
  <r>
    <n v="4740"/>
    <n v="14321"/>
    <x v="3"/>
    <n v="190918.26"/>
    <x v="2"/>
    <m/>
    <x v="1"/>
    <d v="2024-01-21T00:00:00"/>
    <m/>
  </r>
  <r>
    <n v="4741"/>
    <n v="14728"/>
    <x v="0"/>
    <n v="20394.66"/>
    <x v="0"/>
    <n v="30"/>
    <x v="2"/>
    <d v="2024-09-16T00:00:00"/>
    <d v="2024-10-16T00:00:00"/>
  </r>
  <r>
    <n v="4742"/>
    <n v="15640"/>
    <x v="2"/>
    <n v="109429.65"/>
    <x v="0"/>
    <n v="30"/>
    <x v="3"/>
    <d v="2024-03-13T00:00:00"/>
    <d v="2024-04-12T00:00:00"/>
  </r>
  <r>
    <n v="4743"/>
    <n v="13410"/>
    <x v="3"/>
    <n v="65941.84"/>
    <x v="1"/>
    <n v="28"/>
    <x v="1"/>
    <d v="2024-09-04T00:00:00"/>
    <d v="2024-10-02T00:00:00"/>
  </r>
  <r>
    <n v="4744"/>
    <n v="11358"/>
    <x v="1"/>
    <n v="48951.81"/>
    <x v="2"/>
    <m/>
    <x v="2"/>
    <d v="2024-05-06T00:00:00"/>
    <m/>
  </r>
  <r>
    <n v="4745"/>
    <n v="19396"/>
    <x v="3"/>
    <n v="103633.08"/>
    <x v="0"/>
    <n v="16"/>
    <x v="3"/>
    <d v="2024-02-15T00:00:00"/>
    <d v="2024-03-02T00:00:00"/>
  </r>
  <r>
    <n v="4746"/>
    <n v="10537"/>
    <x v="3"/>
    <n v="123187.42"/>
    <x v="0"/>
    <n v="13"/>
    <x v="0"/>
    <d v="2024-09-24T00:00:00"/>
    <d v="2024-10-07T00:00:00"/>
  </r>
  <r>
    <n v="4747"/>
    <n v="13868"/>
    <x v="1"/>
    <n v="6905.59"/>
    <x v="0"/>
    <n v="42"/>
    <x v="3"/>
    <d v="2024-05-07T00:00:00"/>
    <d v="2024-06-18T00:00:00"/>
  </r>
  <r>
    <n v="4748"/>
    <n v="14576"/>
    <x v="0"/>
    <n v="157140.28"/>
    <x v="0"/>
    <n v="20"/>
    <x v="1"/>
    <d v="2024-01-30T00:00:00"/>
    <d v="2024-02-19T00:00:00"/>
  </r>
  <r>
    <n v="4749"/>
    <n v="14525"/>
    <x v="3"/>
    <n v="164877.01999999999"/>
    <x v="0"/>
    <n v="13"/>
    <x v="0"/>
    <d v="2024-04-03T00:00:00"/>
    <d v="2024-04-16T00:00:00"/>
  </r>
  <r>
    <n v="4750"/>
    <n v="13583"/>
    <x v="0"/>
    <n v="193274.61"/>
    <x v="2"/>
    <m/>
    <x v="2"/>
    <d v="2024-08-11T00:00:00"/>
    <m/>
  </r>
  <r>
    <n v="4751"/>
    <n v="17898"/>
    <x v="0"/>
    <n v="40225.53"/>
    <x v="0"/>
    <n v="6"/>
    <x v="0"/>
    <d v="2024-11-11T00:00:00"/>
    <d v="2024-11-17T00:00:00"/>
  </r>
  <r>
    <n v="4752"/>
    <n v="11350"/>
    <x v="2"/>
    <n v="120937.75"/>
    <x v="1"/>
    <n v="27"/>
    <x v="2"/>
    <d v="2024-04-09T00:00:00"/>
    <d v="2024-05-06T00:00:00"/>
  </r>
  <r>
    <n v="4753"/>
    <n v="19136"/>
    <x v="3"/>
    <n v="88191.95"/>
    <x v="1"/>
    <n v="11"/>
    <x v="2"/>
    <d v="2024-03-11T00:00:00"/>
    <d v="2024-03-22T00:00:00"/>
  </r>
  <r>
    <n v="4754"/>
    <n v="13856"/>
    <x v="2"/>
    <n v="70291.429999999993"/>
    <x v="0"/>
    <n v="23"/>
    <x v="3"/>
    <d v="2024-03-21T00:00:00"/>
    <d v="2024-04-13T00:00:00"/>
  </r>
  <r>
    <n v="4755"/>
    <n v="12625"/>
    <x v="3"/>
    <n v="115298.52"/>
    <x v="1"/>
    <n v="40"/>
    <x v="3"/>
    <d v="2024-10-26T00:00:00"/>
    <d v="2024-12-05T00:00:00"/>
  </r>
  <r>
    <n v="4756"/>
    <n v="14307"/>
    <x v="1"/>
    <n v="157564.70000000001"/>
    <x v="0"/>
    <n v="24"/>
    <x v="3"/>
    <d v="2024-04-17T00:00:00"/>
    <d v="2024-05-11T00:00:00"/>
  </r>
  <r>
    <n v="4757"/>
    <n v="19042"/>
    <x v="3"/>
    <n v="9495.2900000000009"/>
    <x v="0"/>
    <n v="12"/>
    <x v="1"/>
    <d v="2024-04-11T00:00:00"/>
    <d v="2024-04-23T00:00:00"/>
  </r>
  <r>
    <n v="4758"/>
    <n v="12925"/>
    <x v="3"/>
    <n v="194033.02"/>
    <x v="0"/>
    <n v="29"/>
    <x v="1"/>
    <d v="2024-03-31T00:00:00"/>
    <d v="2024-04-29T00:00:00"/>
  </r>
  <r>
    <n v="4759"/>
    <n v="19187"/>
    <x v="1"/>
    <n v="162926.91"/>
    <x v="0"/>
    <n v="32"/>
    <x v="3"/>
    <d v="2024-12-30T00:00:00"/>
    <d v="2025-01-31T00:00:00"/>
  </r>
  <r>
    <n v="4760"/>
    <n v="16714"/>
    <x v="3"/>
    <n v="151474.97"/>
    <x v="1"/>
    <n v="9"/>
    <x v="1"/>
    <d v="2024-01-16T00:00:00"/>
    <d v="2024-01-25T00:00:00"/>
  </r>
  <r>
    <n v="4761"/>
    <n v="17197"/>
    <x v="3"/>
    <n v="153275.54"/>
    <x v="2"/>
    <m/>
    <x v="0"/>
    <d v="2024-04-19T00:00:00"/>
    <m/>
  </r>
  <r>
    <n v="4762"/>
    <n v="16006"/>
    <x v="3"/>
    <n v="80866.84"/>
    <x v="0"/>
    <n v="29"/>
    <x v="0"/>
    <d v="2024-09-19T00:00:00"/>
    <d v="2024-10-18T00:00:00"/>
  </r>
  <r>
    <n v="4763"/>
    <n v="18541"/>
    <x v="1"/>
    <n v="151566.01"/>
    <x v="1"/>
    <n v="17"/>
    <x v="1"/>
    <d v="2024-06-08T00:00:00"/>
    <d v="2024-06-25T00:00:00"/>
  </r>
  <r>
    <n v="4764"/>
    <n v="11537"/>
    <x v="3"/>
    <n v="80420.19"/>
    <x v="0"/>
    <n v="32"/>
    <x v="1"/>
    <d v="2024-09-09T00:00:00"/>
    <d v="2024-10-11T00:00:00"/>
  </r>
  <r>
    <n v="4765"/>
    <n v="12728"/>
    <x v="0"/>
    <n v="180247.83"/>
    <x v="1"/>
    <n v="42"/>
    <x v="0"/>
    <d v="2024-03-29T00:00:00"/>
    <d v="2024-05-10T00:00:00"/>
  </r>
  <r>
    <n v="4766"/>
    <n v="17381"/>
    <x v="3"/>
    <n v="39558.36"/>
    <x v="0"/>
    <n v="17"/>
    <x v="2"/>
    <d v="2024-04-04T00:00:00"/>
    <d v="2024-04-21T00:00:00"/>
  </r>
  <r>
    <n v="4767"/>
    <n v="14346"/>
    <x v="3"/>
    <n v="62007.75"/>
    <x v="0"/>
    <n v="6"/>
    <x v="0"/>
    <d v="2024-09-28T00:00:00"/>
    <d v="2024-10-04T00:00:00"/>
  </r>
  <r>
    <n v="4768"/>
    <n v="12366"/>
    <x v="3"/>
    <n v="112510.82"/>
    <x v="0"/>
    <n v="36"/>
    <x v="0"/>
    <d v="2024-09-03T00:00:00"/>
    <d v="2024-10-09T00:00:00"/>
  </r>
  <r>
    <n v="4769"/>
    <n v="17028"/>
    <x v="3"/>
    <n v="67246.149999999994"/>
    <x v="0"/>
    <n v="26"/>
    <x v="1"/>
    <d v="2024-12-26T00:00:00"/>
    <d v="2025-01-21T00:00:00"/>
  </r>
  <r>
    <n v="4770"/>
    <n v="16868"/>
    <x v="3"/>
    <n v="87726.26"/>
    <x v="0"/>
    <n v="14"/>
    <x v="0"/>
    <d v="2024-07-24T00:00:00"/>
    <d v="2024-08-07T00:00:00"/>
  </r>
  <r>
    <n v="4771"/>
    <n v="13875"/>
    <x v="3"/>
    <n v="101022.42"/>
    <x v="2"/>
    <m/>
    <x v="1"/>
    <d v="2024-12-10T00:00:00"/>
    <m/>
  </r>
  <r>
    <n v="4772"/>
    <n v="16041"/>
    <x v="2"/>
    <n v="171988.9"/>
    <x v="0"/>
    <n v="28"/>
    <x v="1"/>
    <d v="2024-11-13T00:00:00"/>
    <d v="2024-12-11T00:00:00"/>
  </r>
  <r>
    <n v="4773"/>
    <n v="13601"/>
    <x v="1"/>
    <n v="107022.49"/>
    <x v="2"/>
    <m/>
    <x v="3"/>
    <d v="2024-10-12T00:00:00"/>
    <m/>
  </r>
  <r>
    <n v="4774"/>
    <n v="14174"/>
    <x v="3"/>
    <n v="75679.67"/>
    <x v="1"/>
    <n v="18"/>
    <x v="0"/>
    <d v="2024-09-04T00:00:00"/>
    <d v="2024-09-22T00:00:00"/>
  </r>
  <r>
    <n v="4775"/>
    <n v="10923"/>
    <x v="3"/>
    <n v="53308.55"/>
    <x v="0"/>
    <n v="38"/>
    <x v="2"/>
    <d v="2024-03-07T00:00:00"/>
    <d v="2024-04-14T00:00:00"/>
  </r>
  <r>
    <n v="4776"/>
    <n v="10618"/>
    <x v="0"/>
    <n v="84691.82"/>
    <x v="0"/>
    <n v="39"/>
    <x v="3"/>
    <d v="2024-02-15T00:00:00"/>
    <d v="2024-03-25T00:00:00"/>
  </r>
  <r>
    <n v="4777"/>
    <n v="14400"/>
    <x v="3"/>
    <n v="105568.54"/>
    <x v="1"/>
    <n v="30"/>
    <x v="1"/>
    <d v="2024-02-12T00:00:00"/>
    <d v="2024-03-13T00:00:00"/>
  </r>
  <r>
    <n v="4778"/>
    <n v="16342"/>
    <x v="3"/>
    <n v="150492.4"/>
    <x v="0"/>
    <n v="35"/>
    <x v="1"/>
    <d v="2024-08-16T00:00:00"/>
    <d v="2024-09-20T00:00:00"/>
  </r>
  <r>
    <n v="4779"/>
    <n v="13303"/>
    <x v="1"/>
    <n v="28604.51"/>
    <x v="0"/>
    <n v="31"/>
    <x v="2"/>
    <d v="2024-10-27T00:00:00"/>
    <d v="2024-11-27T00:00:00"/>
  </r>
  <r>
    <n v="4780"/>
    <n v="19239"/>
    <x v="1"/>
    <n v="48213.79"/>
    <x v="0"/>
    <n v="32"/>
    <x v="1"/>
    <d v="2024-08-21T00:00:00"/>
    <d v="2024-09-22T00:00:00"/>
  </r>
  <r>
    <n v="4781"/>
    <n v="19890"/>
    <x v="1"/>
    <n v="79032.53"/>
    <x v="0"/>
    <n v="23"/>
    <x v="0"/>
    <d v="2024-07-17T00:00:00"/>
    <d v="2024-08-09T00:00:00"/>
  </r>
  <r>
    <n v="4782"/>
    <n v="15580"/>
    <x v="3"/>
    <n v="75277.69"/>
    <x v="2"/>
    <m/>
    <x v="3"/>
    <d v="2024-12-01T00:00:00"/>
    <m/>
  </r>
  <r>
    <n v="4783"/>
    <n v="17600"/>
    <x v="3"/>
    <n v="81390.880000000005"/>
    <x v="0"/>
    <n v="5"/>
    <x v="1"/>
    <d v="2024-02-01T00:00:00"/>
    <d v="2024-02-06T00:00:00"/>
  </r>
  <r>
    <n v="4784"/>
    <n v="18122"/>
    <x v="1"/>
    <n v="159736.65"/>
    <x v="0"/>
    <n v="36"/>
    <x v="1"/>
    <d v="2024-09-20T00:00:00"/>
    <d v="2024-10-26T00:00:00"/>
  </r>
  <r>
    <n v="4785"/>
    <n v="10082"/>
    <x v="3"/>
    <n v="68210.11"/>
    <x v="0"/>
    <n v="42"/>
    <x v="2"/>
    <d v="2024-04-22T00:00:00"/>
    <d v="2024-06-03T00:00:00"/>
  </r>
  <r>
    <n v="4786"/>
    <n v="10092"/>
    <x v="1"/>
    <n v="102870.15"/>
    <x v="1"/>
    <n v="10"/>
    <x v="0"/>
    <d v="2024-11-13T00:00:00"/>
    <d v="2024-11-23T00:00:00"/>
  </r>
  <r>
    <n v="4787"/>
    <n v="16760"/>
    <x v="1"/>
    <n v="126661.87"/>
    <x v="1"/>
    <n v="27"/>
    <x v="1"/>
    <d v="2024-10-02T00:00:00"/>
    <d v="2024-10-29T00:00:00"/>
  </r>
  <r>
    <n v="4788"/>
    <n v="17375"/>
    <x v="3"/>
    <n v="50274.82"/>
    <x v="0"/>
    <n v="28"/>
    <x v="2"/>
    <d v="2024-05-25T00:00:00"/>
    <d v="2024-06-22T00:00:00"/>
  </r>
  <r>
    <n v="4789"/>
    <n v="17837"/>
    <x v="2"/>
    <n v="145145.60000000001"/>
    <x v="0"/>
    <n v="28"/>
    <x v="1"/>
    <d v="2024-12-22T00:00:00"/>
    <d v="2025-01-19T00:00:00"/>
  </r>
  <r>
    <n v="4790"/>
    <n v="16724"/>
    <x v="0"/>
    <n v="111686.71"/>
    <x v="0"/>
    <n v="19"/>
    <x v="2"/>
    <d v="2024-01-06T00:00:00"/>
    <d v="2024-01-25T00:00:00"/>
  </r>
  <r>
    <n v="4791"/>
    <n v="13048"/>
    <x v="1"/>
    <n v="92122.33"/>
    <x v="0"/>
    <n v="31"/>
    <x v="2"/>
    <d v="2024-12-05T00:00:00"/>
    <d v="2025-01-05T00:00:00"/>
  </r>
  <r>
    <n v="4792"/>
    <n v="11467"/>
    <x v="3"/>
    <n v="162907.89000000001"/>
    <x v="0"/>
    <n v="32"/>
    <x v="0"/>
    <d v="2024-04-17T00:00:00"/>
    <d v="2024-05-19T00:00:00"/>
  </r>
  <r>
    <n v="4793"/>
    <n v="15489"/>
    <x v="3"/>
    <n v="52481.58"/>
    <x v="2"/>
    <m/>
    <x v="1"/>
    <d v="2024-09-16T00:00:00"/>
    <m/>
  </r>
  <r>
    <n v="4794"/>
    <n v="12698"/>
    <x v="3"/>
    <n v="177219.31"/>
    <x v="0"/>
    <n v="4"/>
    <x v="0"/>
    <d v="2024-03-11T00:00:00"/>
    <d v="2024-03-15T00:00:00"/>
  </r>
  <r>
    <n v="4795"/>
    <n v="18983"/>
    <x v="3"/>
    <n v="114404.5"/>
    <x v="0"/>
    <n v="30"/>
    <x v="2"/>
    <d v="2024-12-05T00:00:00"/>
    <d v="2025-01-04T00:00:00"/>
  </r>
  <r>
    <n v="4796"/>
    <n v="10475"/>
    <x v="2"/>
    <n v="123789.1"/>
    <x v="1"/>
    <n v="8"/>
    <x v="3"/>
    <d v="2024-06-10T00:00:00"/>
    <d v="2024-06-18T00:00:00"/>
  </r>
  <r>
    <n v="4797"/>
    <n v="18695"/>
    <x v="3"/>
    <n v="175636.5"/>
    <x v="0"/>
    <n v="19"/>
    <x v="1"/>
    <d v="2024-04-09T00:00:00"/>
    <d v="2024-04-28T00:00:00"/>
  </r>
  <r>
    <n v="4798"/>
    <n v="10230"/>
    <x v="3"/>
    <n v="164428.62"/>
    <x v="0"/>
    <n v="17"/>
    <x v="3"/>
    <d v="2024-11-22T00:00:00"/>
    <d v="2024-12-09T00:00:00"/>
  </r>
  <r>
    <n v="4799"/>
    <n v="17021"/>
    <x v="3"/>
    <n v="122304.6"/>
    <x v="0"/>
    <n v="33"/>
    <x v="1"/>
    <d v="2024-02-02T00:00:00"/>
    <d v="2024-03-06T00:00:00"/>
  </r>
  <r>
    <n v="4800"/>
    <n v="19778"/>
    <x v="1"/>
    <n v="151871.6"/>
    <x v="0"/>
    <n v="39"/>
    <x v="0"/>
    <d v="2024-05-22T00:00:00"/>
    <d v="2024-06-30T00:00:00"/>
  </r>
  <r>
    <n v="4801"/>
    <n v="19966"/>
    <x v="3"/>
    <n v="89497.3"/>
    <x v="2"/>
    <m/>
    <x v="0"/>
    <d v="2024-08-31T00:00:00"/>
    <m/>
  </r>
  <r>
    <n v="4802"/>
    <n v="16833"/>
    <x v="3"/>
    <n v="111738.66"/>
    <x v="0"/>
    <n v="33"/>
    <x v="0"/>
    <d v="2024-08-11T00:00:00"/>
    <d v="2024-09-13T00:00:00"/>
  </r>
  <r>
    <n v="4803"/>
    <n v="12256"/>
    <x v="3"/>
    <n v="17103.68"/>
    <x v="0"/>
    <n v="20"/>
    <x v="0"/>
    <d v="2024-08-01T00:00:00"/>
    <d v="2024-08-21T00:00:00"/>
  </r>
  <r>
    <n v="4804"/>
    <n v="13970"/>
    <x v="0"/>
    <n v="22522.29"/>
    <x v="0"/>
    <n v="4"/>
    <x v="0"/>
    <d v="2024-04-29T00:00:00"/>
    <d v="2024-05-03T00:00:00"/>
  </r>
  <r>
    <n v="4805"/>
    <n v="14838"/>
    <x v="3"/>
    <n v="166737.95000000001"/>
    <x v="2"/>
    <m/>
    <x v="3"/>
    <d v="2024-06-16T00:00:00"/>
    <m/>
  </r>
  <r>
    <n v="4806"/>
    <n v="10383"/>
    <x v="2"/>
    <n v="16635.97"/>
    <x v="0"/>
    <n v="30"/>
    <x v="0"/>
    <d v="2024-12-14T00:00:00"/>
    <d v="2025-01-13T00:00:00"/>
  </r>
  <r>
    <n v="4807"/>
    <n v="10760"/>
    <x v="0"/>
    <n v="38032.83"/>
    <x v="0"/>
    <n v="12"/>
    <x v="2"/>
    <d v="2024-08-04T00:00:00"/>
    <d v="2024-08-16T00:00:00"/>
  </r>
  <r>
    <n v="4808"/>
    <n v="15243"/>
    <x v="3"/>
    <n v="160187.37"/>
    <x v="2"/>
    <m/>
    <x v="2"/>
    <d v="2024-12-20T00:00:00"/>
    <m/>
  </r>
  <r>
    <n v="4809"/>
    <n v="13952"/>
    <x v="1"/>
    <n v="5223.46"/>
    <x v="0"/>
    <n v="20"/>
    <x v="3"/>
    <d v="2024-11-17T00:00:00"/>
    <d v="2024-12-07T00:00:00"/>
  </r>
  <r>
    <n v="4810"/>
    <n v="10942"/>
    <x v="3"/>
    <n v="60068.84"/>
    <x v="1"/>
    <n v="38"/>
    <x v="1"/>
    <d v="2024-08-04T00:00:00"/>
    <d v="2024-09-11T00:00:00"/>
  </r>
  <r>
    <n v="4811"/>
    <n v="12695"/>
    <x v="2"/>
    <n v="118887.54"/>
    <x v="0"/>
    <n v="28"/>
    <x v="2"/>
    <d v="2024-02-23T00:00:00"/>
    <d v="2024-03-22T00:00:00"/>
  </r>
  <r>
    <n v="4812"/>
    <n v="11296"/>
    <x v="1"/>
    <n v="121112.74"/>
    <x v="0"/>
    <n v="6"/>
    <x v="1"/>
    <d v="2024-07-26T00:00:00"/>
    <d v="2024-08-01T00:00:00"/>
  </r>
  <r>
    <n v="4813"/>
    <n v="12147"/>
    <x v="3"/>
    <n v="156544.82"/>
    <x v="0"/>
    <n v="27"/>
    <x v="3"/>
    <d v="2024-03-20T00:00:00"/>
    <d v="2024-04-16T00:00:00"/>
  </r>
  <r>
    <n v="4814"/>
    <n v="16874"/>
    <x v="3"/>
    <n v="103655.62"/>
    <x v="0"/>
    <n v="36"/>
    <x v="1"/>
    <d v="2024-05-30T00:00:00"/>
    <d v="2024-07-05T00:00:00"/>
  </r>
  <r>
    <n v="4815"/>
    <n v="19831"/>
    <x v="3"/>
    <n v="104333.36"/>
    <x v="0"/>
    <n v="20"/>
    <x v="1"/>
    <d v="2024-02-24T00:00:00"/>
    <d v="2024-03-15T00:00:00"/>
  </r>
  <r>
    <n v="4816"/>
    <n v="14396"/>
    <x v="2"/>
    <n v="146435.56"/>
    <x v="0"/>
    <n v="18"/>
    <x v="1"/>
    <d v="2024-01-05T00:00:00"/>
    <d v="2024-01-23T00:00:00"/>
  </r>
  <r>
    <n v="4817"/>
    <n v="10608"/>
    <x v="3"/>
    <n v="102231.77"/>
    <x v="0"/>
    <n v="36"/>
    <x v="1"/>
    <d v="2024-02-04T00:00:00"/>
    <d v="2024-03-11T00:00:00"/>
  </r>
  <r>
    <n v="4818"/>
    <n v="10881"/>
    <x v="1"/>
    <n v="123655.76"/>
    <x v="0"/>
    <n v="14"/>
    <x v="3"/>
    <d v="2024-12-14T00:00:00"/>
    <d v="2024-12-28T00:00:00"/>
  </r>
  <r>
    <n v="4819"/>
    <n v="17316"/>
    <x v="3"/>
    <n v="180065.94"/>
    <x v="0"/>
    <n v="15"/>
    <x v="2"/>
    <d v="2024-04-28T00:00:00"/>
    <d v="2024-05-13T00:00:00"/>
  </r>
  <r>
    <n v="4820"/>
    <n v="14891"/>
    <x v="2"/>
    <n v="83282.95"/>
    <x v="2"/>
    <m/>
    <x v="0"/>
    <d v="2024-07-15T00:00:00"/>
    <m/>
  </r>
  <r>
    <n v="4821"/>
    <n v="16480"/>
    <x v="3"/>
    <n v="80099.39"/>
    <x v="0"/>
    <n v="44"/>
    <x v="1"/>
    <d v="2024-02-23T00:00:00"/>
    <d v="2024-04-07T00:00:00"/>
  </r>
  <r>
    <n v="4822"/>
    <n v="17505"/>
    <x v="1"/>
    <n v="5692.05"/>
    <x v="2"/>
    <m/>
    <x v="2"/>
    <d v="2024-09-15T00:00:00"/>
    <m/>
  </r>
  <r>
    <n v="4823"/>
    <n v="11994"/>
    <x v="3"/>
    <n v="124618.12"/>
    <x v="0"/>
    <n v="38"/>
    <x v="2"/>
    <d v="2024-09-18T00:00:00"/>
    <d v="2024-10-26T00:00:00"/>
  </r>
  <r>
    <n v="4824"/>
    <n v="11323"/>
    <x v="1"/>
    <n v="10805.52"/>
    <x v="0"/>
    <n v="16"/>
    <x v="3"/>
    <d v="2024-12-08T00:00:00"/>
    <d v="2024-12-24T00:00:00"/>
  </r>
  <r>
    <n v="4825"/>
    <n v="17768"/>
    <x v="3"/>
    <n v="103308.96"/>
    <x v="0"/>
    <n v="19"/>
    <x v="2"/>
    <d v="2024-11-07T00:00:00"/>
    <d v="2024-11-26T00:00:00"/>
  </r>
  <r>
    <n v="4826"/>
    <n v="11011"/>
    <x v="3"/>
    <n v="161825.59"/>
    <x v="1"/>
    <n v="15"/>
    <x v="3"/>
    <d v="2024-01-02T00:00:00"/>
    <d v="2024-01-17T00:00:00"/>
  </r>
  <r>
    <n v="4827"/>
    <n v="16903"/>
    <x v="3"/>
    <n v="112234.61"/>
    <x v="1"/>
    <n v="15"/>
    <x v="1"/>
    <d v="2024-03-22T00:00:00"/>
    <d v="2024-04-06T00:00:00"/>
  </r>
  <r>
    <n v="4828"/>
    <n v="10688"/>
    <x v="1"/>
    <n v="57579.05"/>
    <x v="0"/>
    <n v="34"/>
    <x v="1"/>
    <d v="2024-12-15T00:00:00"/>
    <d v="2025-01-18T00:00:00"/>
  </r>
  <r>
    <n v="4829"/>
    <n v="14068"/>
    <x v="3"/>
    <n v="158302.84"/>
    <x v="2"/>
    <m/>
    <x v="0"/>
    <d v="2024-01-05T00:00:00"/>
    <m/>
  </r>
  <r>
    <n v="4830"/>
    <n v="19434"/>
    <x v="1"/>
    <n v="57594.82"/>
    <x v="0"/>
    <n v="12"/>
    <x v="0"/>
    <d v="2024-06-22T00:00:00"/>
    <d v="2024-07-04T00:00:00"/>
  </r>
  <r>
    <n v="4831"/>
    <n v="13447"/>
    <x v="3"/>
    <n v="147941.20000000001"/>
    <x v="0"/>
    <n v="12"/>
    <x v="0"/>
    <d v="2024-05-18T00:00:00"/>
    <d v="2024-05-30T00:00:00"/>
  </r>
  <r>
    <n v="4832"/>
    <n v="17897"/>
    <x v="0"/>
    <n v="124000.4"/>
    <x v="2"/>
    <m/>
    <x v="2"/>
    <d v="2024-07-11T00:00:00"/>
    <m/>
  </r>
  <r>
    <n v="4833"/>
    <n v="17255"/>
    <x v="2"/>
    <n v="38149.279999999999"/>
    <x v="1"/>
    <n v="4"/>
    <x v="1"/>
    <d v="2024-05-17T00:00:00"/>
    <d v="2024-05-21T00:00:00"/>
  </r>
  <r>
    <n v="4834"/>
    <n v="18075"/>
    <x v="1"/>
    <n v="181501.11"/>
    <x v="2"/>
    <m/>
    <x v="3"/>
    <d v="2024-10-23T00:00:00"/>
    <m/>
  </r>
  <r>
    <n v="4835"/>
    <n v="18632"/>
    <x v="3"/>
    <n v="44125.52"/>
    <x v="0"/>
    <n v="18"/>
    <x v="0"/>
    <d v="2024-04-25T00:00:00"/>
    <d v="2024-05-13T00:00:00"/>
  </r>
  <r>
    <n v="4836"/>
    <n v="19416"/>
    <x v="3"/>
    <n v="197969.48"/>
    <x v="0"/>
    <n v="23"/>
    <x v="3"/>
    <d v="2024-02-13T00:00:00"/>
    <d v="2024-03-07T00:00:00"/>
  </r>
  <r>
    <n v="4837"/>
    <n v="12462"/>
    <x v="3"/>
    <n v="6425.55"/>
    <x v="0"/>
    <n v="30"/>
    <x v="3"/>
    <d v="2024-12-11T00:00:00"/>
    <d v="2025-01-10T00:00:00"/>
  </r>
  <r>
    <n v="4838"/>
    <n v="15123"/>
    <x v="3"/>
    <n v="56379.26"/>
    <x v="0"/>
    <n v="27"/>
    <x v="0"/>
    <d v="2024-10-15T00:00:00"/>
    <d v="2024-11-11T00:00:00"/>
  </r>
  <r>
    <n v="4839"/>
    <n v="14178"/>
    <x v="1"/>
    <n v="43972.76"/>
    <x v="1"/>
    <n v="35"/>
    <x v="1"/>
    <d v="2024-08-06T00:00:00"/>
    <d v="2024-09-10T00:00:00"/>
  </r>
  <r>
    <n v="4840"/>
    <n v="16149"/>
    <x v="1"/>
    <n v="7728.71"/>
    <x v="0"/>
    <n v="27"/>
    <x v="0"/>
    <d v="2024-02-25T00:00:00"/>
    <d v="2024-03-23T00:00:00"/>
  </r>
  <r>
    <n v="4841"/>
    <n v="11752"/>
    <x v="2"/>
    <n v="147811.74"/>
    <x v="0"/>
    <n v="10"/>
    <x v="3"/>
    <d v="2024-08-29T00:00:00"/>
    <d v="2024-09-08T00:00:00"/>
  </r>
  <r>
    <n v="4842"/>
    <n v="14629"/>
    <x v="3"/>
    <n v="140218.03"/>
    <x v="0"/>
    <n v="41"/>
    <x v="0"/>
    <d v="2024-09-14T00:00:00"/>
    <d v="2024-10-25T00:00:00"/>
  </r>
  <r>
    <n v="4843"/>
    <n v="15916"/>
    <x v="1"/>
    <n v="159508.44"/>
    <x v="0"/>
    <n v="12"/>
    <x v="3"/>
    <d v="2024-01-01T00:00:00"/>
    <d v="2024-01-13T00:00:00"/>
  </r>
  <r>
    <n v="4844"/>
    <n v="14546"/>
    <x v="3"/>
    <n v="55056.22"/>
    <x v="0"/>
    <n v="8"/>
    <x v="3"/>
    <d v="2024-10-15T00:00:00"/>
    <d v="2024-10-23T00:00:00"/>
  </r>
  <r>
    <n v="4845"/>
    <n v="13359"/>
    <x v="1"/>
    <n v="91645.36"/>
    <x v="0"/>
    <n v="31"/>
    <x v="0"/>
    <d v="2024-04-12T00:00:00"/>
    <d v="2024-05-13T00:00:00"/>
  </r>
  <r>
    <n v="4846"/>
    <n v="15013"/>
    <x v="3"/>
    <n v="133527.14000000001"/>
    <x v="1"/>
    <n v="3"/>
    <x v="2"/>
    <d v="2024-10-18T00:00:00"/>
    <d v="2024-10-21T00:00:00"/>
  </r>
  <r>
    <n v="4847"/>
    <n v="17604"/>
    <x v="3"/>
    <n v="90754.86"/>
    <x v="0"/>
    <n v="31"/>
    <x v="0"/>
    <d v="2024-05-28T00:00:00"/>
    <d v="2024-06-28T00:00:00"/>
  </r>
  <r>
    <n v="4848"/>
    <n v="14014"/>
    <x v="3"/>
    <n v="140978.53"/>
    <x v="1"/>
    <n v="5"/>
    <x v="2"/>
    <d v="2024-03-24T00:00:00"/>
    <d v="2024-03-29T00:00:00"/>
  </r>
  <r>
    <n v="4849"/>
    <n v="10899"/>
    <x v="1"/>
    <n v="128624.81"/>
    <x v="0"/>
    <n v="15"/>
    <x v="3"/>
    <d v="2024-01-26T00:00:00"/>
    <d v="2024-02-10T00:00:00"/>
  </r>
  <r>
    <n v="4850"/>
    <n v="11189"/>
    <x v="2"/>
    <n v="27356.32"/>
    <x v="0"/>
    <n v="14"/>
    <x v="3"/>
    <d v="2024-06-23T00:00:00"/>
    <d v="2024-07-07T00:00:00"/>
  </r>
  <r>
    <n v="4851"/>
    <n v="10652"/>
    <x v="3"/>
    <n v="157303.41"/>
    <x v="0"/>
    <n v="26"/>
    <x v="2"/>
    <d v="2024-08-10T00:00:00"/>
    <d v="2024-09-05T00:00:00"/>
  </r>
  <r>
    <n v="4852"/>
    <n v="17996"/>
    <x v="3"/>
    <n v="145531.89000000001"/>
    <x v="1"/>
    <n v="14"/>
    <x v="3"/>
    <d v="2024-05-08T00:00:00"/>
    <d v="2024-05-22T00:00:00"/>
  </r>
  <r>
    <n v="4853"/>
    <n v="10982"/>
    <x v="3"/>
    <n v="132887.71"/>
    <x v="0"/>
    <n v="14"/>
    <x v="2"/>
    <d v="2024-05-21T00:00:00"/>
    <d v="2024-06-04T00:00:00"/>
  </r>
  <r>
    <n v="4854"/>
    <n v="10575"/>
    <x v="1"/>
    <n v="35243.25"/>
    <x v="0"/>
    <n v="38"/>
    <x v="2"/>
    <d v="2024-12-11T00:00:00"/>
    <d v="2025-01-18T00:00:00"/>
  </r>
  <r>
    <n v="4855"/>
    <n v="18524"/>
    <x v="3"/>
    <n v="57259.31"/>
    <x v="0"/>
    <n v="7"/>
    <x v="3"/>
    <d v="2024-10-28T00:00:00"/>
    <d v="2024-11-04T00:00:00"/>
  </r>
  <r>
    <n v="4856"/>
    <n v="14307"/>
    <x v="1"/>
    <n v="81669.52"/>
    <x v="0"/>
    <n v="27"/>
    <x v="1"/>
    <d v="2024-10-24T00:00:00"/>
    <d v="2024-11-20T00:00:00"/>
  </r>
  <r>
    <n v="4857"/>
    <n v="18480"/>
    <x v="2"/>
    <n v="59586.28"/>
    <x v="1"/>
    <n v="15"/>
    <x v="2"/>
    <d v="2024-05-14T00:00:00"/>
    <d v="2024-05-29T00:00:00"/>
  </r>
  <r>
    <n v="4858"/>
    <n v="16753"/>
    <x v="2"/>
    <n v="49423.01"/>
    <x v="1"/>
    <n v="9"/>
    <x v="0"/>
    <d v="2024-02-24T00:00:00"/>
    <d v="2024-03-04T00:00:00"/>
  </r>
  <r>
    <n v="4859"/>
    <n v="17740"/>
    <x v="3"/>
    <n v="162044.75"/>
    <x v="0"/>
    <n v="25"/>
    <x v="0"/>
    <d v="2024-02-25T00:00:00"/>
    <d v="2024-03-21T00:00:00"/>
  </r>
  <r>
    <n v="4860"/>
    <n v="11055"/>
    <x v="0"/>
    <n v="129455.29"/>
    <x v="0"/>
    <n v="23"/>
    <x v="3"/>
    <d v="2024-03-16T00:00:00"/>
    <d v="2024-04-08T00:00:00"/>
  </r>
  <r>
    <n v="4861"/>
    <n v="16026"/>
    <x v="1"/>
    <n v="115267.07"/>
    <x v="1"/>
    <n v="41"/>
    <x v="1"/>
    <d v="2024-11-14T00:00:00"/>
    <d v="2024-12-25T00:00:00"/>
  </r>
  <r>
    <n v="4862"/>
    <n v="14369"/>
    <x v="3"/>
    <n v="49060.78"/>
    <x v="0"/>
    <n v="40"/>
    <x v="3"/>
    <d v="2024-12-04T00:00:00"/>
    <d v="2025-01-13T00:00:00"/>
  </r>
  <r>
    <n v="4863"/>
    <n v="11324"/>
    <x v="1"/>
    <n v="184024.93"/>
    <x v="0"/>
    <n v="22"/>
    <x v="1"/>
    <d v="2024-12-20T00:00:00"/>
    <d v="2025-01-11T00:00:00"/>
  </r>
  <r>
    <n v="4864"/>
    <n v="13595"/>
    <x v="0"/>
    <n v="42280.69"/>
    <x v="0"/>
    <n v="44"/>
    <x v="2"/>
    <d v="2024-05-11T00:00:00"/>
    <d v="2024-06-24T00:00:00"/>
  </r>
  <r>
    <n v="4865"/>
    <n v="13827"/>
    <x v="3"/>
    <n v="160015.43"/>
    <x v="0"/>
    <n v="27"/>
    <x v="2"/>
    <d v="2024-02-11T00:00:00"/>
    <d v="2024-03-09T00:00:00"/>
  </r>
  <r>
    <n v="4866"/>
    <n v="12323"/>
    <x v="3"/>
    <n v="193501.17"/>
    <x v="0"/>
    <n v="11"/>
    <x v="2"/>
    <d v="2024-12-17T00:00:00"/>
    <d v="2024-12-28T00:00:00"/>
  </r>
  <r>
    <n v="4867"/>
    <n v="11882"/>
    <x v="3"/>
    <n v="146783.07999999999"/>
    <x v="1"/>
    <n v="14"/>
    <x v="2"/>
    <d v="2024-04-19T00:00:00"/>
    <d v="2024-05-03T00:00:00"/>
  </r>
  <r>
    <n v="4868"/>
    <n v="11153"/>
    <x v="1"/>
    <n v="198607.46"/>
    <x v="0"/>
    <n v="43"/>
    <x v="0"/>
    <d v="2024-03-10T00:00:00"/>
    <d v="2024-04-22T00:00:00"/>
  </r>
  <r>
    <n v="4869"/>
    <n v="13370"/>
    <x v="3"/>
    <n v="131954.97"/>
    <x v="0"/>
    <n v="15"/>
    <x v="0"/>
    <d v="2024-10-10T00:00:00"/>
    <d v="2024-10-25T00:00:00"/>
  </r>
  <r>
    <n v="4870"/>
    <n v="18288"/>
    <x v="2"/>
    <n v="47404.77"/>
    <x v="1"/>
    <n v="10"/>
    <x v="3"/>
    <d v="2024-05-05T00:00:00"/>
    <d v="2024-05-15T00:00:00"/>
  </r>
  <r>
    <n v="4871"/>
    <n v="10276"/>
    <x v="1"/>
    <n v="44744.800000000003"/>
    <x v="0"/>
    <n v="8"/>
    <x v="1"/>
    <d v="2024-12-13T00:00:00"/>
    <d v="2024-12-21T00:00:00"/>
  </r>
  <r>
    <n v="4872"/>
    <n v="15404"/>
    <x v="1"/>
    <n v="68290.039999999994"/>
    <x v="0"/>
    <n v="40"/>
    <x v="2"/>
    <d v="2024-10-22T00:00:00"/>
    <d v="2024-12-01T00:00:00"/>
  </r>
  <r>
    <n v="4873"/>
    <n v="15292"/>
    <x v="3"/>
    <n v="6390.35"/>
    <x v="0"/>
    <n v="32"/>
    <x v="2"/>
    <d v="2024-06-27T00:00:00"/>
    <d v="2024-07-29T00:00:00"/>
  </r>
  <r>
    <n v="4874"/>
    <n v="18523"/>
    <x v="1"/>
    <n v="137931.20000000001"/>
    <x v="0"/>
    <n v="17"/>
    <x v="1"/>
    <d v="2024-10-24T00:00:00"/>
    <d v="2024-11-10T00:00:00"/>
  </r>
  <r>
    <n v="4875"/>
    <n v="14198"/>
    <x v="3"/>
    <n v="57390.22"/>
    <x v="2"/>
    <m/>
    <x v="1"/>
    <d v="2024-07-15T00:00:00"/>
    <m/>
  </r>
  <r>
    <n v="4876"/>
    <n v="13696"/>
    <x v="3"/>
    <n v="163960.73000000001"/>
    <x v="1"/>
    <n v="16"/>
    <x v="3"/>
    <d v="2024-09-17T00:00:00"/>
    <d v="2024-10-03T00:00:00"/>
  </r>
  <r>
    <n v="4877"/>
    <n v="13202"/>
    <x v="1"/>
    <n v="75038.67"/>
    <x v="0"/>
    <n v="26"/>
    <x v="1"/>
    <d v="2024-04-10T00:00:00"/>
    <d v="2024-05-06T00:00:00"/>
  </r>
  <r>
    <n v="4878"/>
    <n v="12086"/>
    <x v="3"/>
    <n v="98591.52"/>
    <x v="1"/>
    <n v="39"/>
    <x v="2"/>
    <d v="2024-03-01T00:00:00"/>
    <d v="2024-04-09T00:00:00"/>
  </r>
  <r>
    <n v="4879"/>
    <n v="10306"/>
    <x v="1"/>
    <n v="193309.34"/>
    <x v="0"/>
    <n v="42"/>
    <x v="2"/>
    <d v="2024-07-01T00:00:00"/>
    <d v="2024-08-12T00:00:00"/>
  </r>
  <r>
    <n v="4880"/>
    <n v="10883"/>
    <x v="3"/>
    <n v="52223.56"/>
    <x v="2"/>
    <m/>
    <x v="2"/>
    <d v="2024-10-23T00:00:00"/>
    <m/>
  </r>
  <r>
    <n v="4881"/>
    <n v="16663"/>
    <x v="3"/>
    <n v="145644.54999999999"/>
    <x v="0"/>
    <n v="26"/>
    <x v="2"/>
    <d v="2024-01-09T00:00:00"/>
    <d v="2024-02-04T00:00:00"/>
  </r>
  <r>
    <n v="4882"/>
    <n v="16189"/>
    <x v="3"/>
    <n v="152247.97"/>
    <x v="0"/>
    <n v="8"/>
    <x v="2"/>
    <d v="2024-07-24T00:00:00"/>
    <d v="2024-08-01T00:00:00"/>
  </r>
  <r>
    <n v="4883"/>
    <n v="14289"/>
    <x v="2"/>
    <n v="48094.64"/>
    <x v="0"/>
    <n v="27"/>
    <x v="3"/>
    <d v="2024-11-13T00:00:00"/>
    <d v="2024-12-10T00:00:00"/>
  </r>
  <r>
    <n v="4884"/>
    <n v="13589"/>
    <x v="1"/>
    <n v="102694.38"/>
    <x v="0"/>
    <n v="9"/>
    <x v="2"/>
    <d v="2024-02-23T00:00:00"/>
    <d v="2024-03-03T00:00:00"/>
  </r>
  <r>
    <n v="4885"/>
    <n v="13641"/>
    <x v="1"/>
    <n v="73289.38"/>
    <x v="0"/>
    <n v="19"/>
    <x v="3"/>
    <d v="2024-06-28T00:00:00"/>
    <d v="2024-07-17T00:00:00"/>
  </r>
  <r>
    <n v="4886"/>
    <n v="17336"/>
    <x v="3"/>
    <n v="155521.72"/>
    <x v="0"/>
    <n v="22"/>
    <x v="2"/>
    <d v="2024-04-13T00:00:00"/>
    <d v="2024-05-05T00:00:00"/>
  </r>
  <r>
    <n v="4887"/>
    <n v="15108"/>
    <x v="3"/>
    <n v="126384.25"/>
    <x v="1"/>
    <n v="17"/>
    <x v="0"/>
    <d v="2024-05-05T00:00:00"/>
    <d v="2024-05-22T00:00:00"/>
  </r>
  <r>
    <n v="4888"/>
    <n v="12162"/>
    <x v="2"/>
    <n v="97816.7"/>
    <x v="0"/>
    <n v="4"/>
    <x v="0"/>
    <d v="2024-02-03T00:00:00"/>
    <d v="2024-02-07T00:00:00"/>
  </r>
  <r>
    <n v="4889"/>
    <n v="16709"/>
    <x v="3"/>
    <n v="156975.84"/>
    <x v="2"/>
    <m/>
    <x v="0"/>
    <d v="2024-06-13T00:00:00"/>
    <m/>
  </r>
  <r>
    <n v="4890"/>
    <n v="15167"/>
    <x v="3"/>
    <n v="50855.34"/>
    <x v="0"/>
    <n v="14"/>
    <x v="0"/>
    <d v="2024-10-24T00:00:00"/>
    <d v="2024-11-07T00:00:00"/>
  </r>
  <r>
    <n v="4891"/>
    <n v="13141"/>
    <x v="1"/>
    <n v="151956.26999999999"/>
    <x v="0"/>
    <n v="33"/>
    <x v="3"/>
    <d v="2024-09-26T00:00:00"/>
    <d v="2024-10-29T00:00:00"/>
  </r>
  <r>
    <n v="4892"/>
    <n v="16131"/>
    <x v="3"/>
    <n v="173747.99"/>
    <x v="2"/>
    <m/>
    <x v="3"/>
    <d v="2024-10-15T00:00:00"/>
    <m/>
  </r>
  <r>
    <n v="4893"/>
    <n v="14603"/>
    <x v="0"/>
    <n v="176331.21"/>
    <x v="0"/>
    <n v="32"/>
    <x v="1"/>
    <d v="2024-04-27T00:00:00"/>
    <d v="2024-05-29T00:00:00"/>
  </r>
  <r>
    <n v="4894"/>
    <n v="10154"/>
    <x v="1"/>
    <n v="157816.35"/>
    <x v="1"/>
    <n v="42"/>
    <x v="2"/>
    <d v="2024-12-19T00:00:00"/>
    <d v="2025-01-30T00:00:00"/>
  </r>
  <r>
    <n v="4895"/>
    <n v="13630"/>
    <x v="3"/>
    <n v="84562.76"/>
    <x v="1"/>
    <n v="3"/>
    <x v="0"/>
    <d v="2024-04-01T00:00:00"/>
    <d v="2024-04-04T00:00:00"/>
  </r>
  <r>
    <n v="4896"/>
    <n v="18652"/>
    <x v="3"/>
    <n v="196452.56"/>
    <x v="0"/>
    <n v="42"/>
    <x v="3"/>
    <d v="2024-04-09T00:00:00"/>
    <d v="2024-05-21T00:00:00"/>
  </r>
  <r>
    <n v="4897"/>
    <n v="11396"/>
    <x v="3"/>
    <n v="79020.759999999995"/>
    <x v="0"/>
    <n v="9"/>
    <x v="2"/>
    <d v="2024-03-27T00:00:00"/>
    <d v="2024-04-05T00:00:00"/>
  </r>
  <r>
    <n v="4898"/>
    <n v="18982"/>
    <x v="0"/>
    <n v="129531.95"/>
    <x v="0"/>
    <n v="26"/>
    <x v="2"/>
    <d v="2024-08-21T00:00:00"/>
    <d v="2024-09-16T00:00:00"/>
  </r>
  <r>
    <n v="4899"/>
    <n v="16797"/>
    <x v="1"/>
    <n v="36409.46"/>
    <x v="0"/>
    <n v="6"/>
    <x v="3"/>
    <d v="2024-05-03T00:00:00"/>
    <d v="2024-05-09T00:00:00"/>
  </r>
  <r>
    <n v="4900"/>
    <n v="16594"/>
    <x v="3"/>
    <n v="196187.54"/>
    <x v="0"/>
    <n v="3"/>
    <x v="0"/>
    <d v="2024-07-21T00:00:00"/>
    <d v="2024-07-24T00:00:00"/>
  </r>
  <r>
    <n v="4901"/>
    <n v="13709"/>
    <x v="3"/>
    <n v="142277.25"/>
    <x v="1"/>
    <n v="43"/>
    <x v="1"/>
    <d v="2024-02-01T00:00:00"/>
    <d v="2024-03-15T00:00:00"/>
  </r>
  <r>
    <n v="4902"/>
    <n v="11867"/>
    <x v="1"/>
    <n v="151908.62"/>
    <x v="0"/>
    <n v="39"/>
    <x v="2"/>
    <d v="2024-12-22T00:00:00"/>
    <d v="2025-01-30T00:00:00"/>
  </r>
  <r>
    <n v="4903"/>
    <n v="19880"/>
    <x v="1"/>
    <n v="17826.46"/>
    <x v="0"/>
    <n v="40"/>
    <x v="1"/>
    <d v="2024-02-08T00:00:00"/>
    <d v="2024-03-19T00:00:00"/>
  </r>
  <r>
    <n v="4904"/>
    <n v="10576"/>
    <x v="3"/>
    <n v="153866.47"/>
    <x v="0"/>
    <n v="4"/>
    <x v="0"/>
    <d v="2024-04-03T00:00:00"/>
    <d v="2024-04-07T00:00:00"/>
  </r>
  <r>
    <n v="4905"/>
    <n v="17263"/>
    <x v="3"/>
    <n v="156071.07"/>
    <x v="2"/>
    <m/>
    <x v="0"/>
    <d v="2024-01-10T00:00:00"/>
    <m/>
  </r>
  <r>
    <n v="4906"/>
    <n v="13764"/>
    <x v="3"/>
    <n v="135995.68"/>
    <x v="0"/>
    <n v="23"/>
    <x v="1"/>
    <d v="2024-08-02T00:00:00"/>
    <d v="2024-08-25T00:00:00"/>
  </r>
  <r>
    <n v="4907"/>
    <n v="18553"/>
    <x v="1"/>
    <n v="61922.37"/>
    <x v="0"/>
    <n v="41"/>
    <x v="0"/>
    <d v="2024-04-09T00:00:00"/>
    <d v="2024-05-20T00:00:00"/>
  </r>
  <r>
    <n v="4908"/>
    <n v="10456"/>
    <x v="2"/>
    <n v="100489.56"/>
    <x v="0"/>
    <n v="34"/>
    <x v="2"/>
    <d v="2024-08-31T00:00:00"/>
    <d v="2024-10-04T00:00:00"/>
  </r>
  <r>
    <n v="4909"/>
    <n v="13561"/>
    <x v="3"/>
    <n v="26534.7"/>
    <x v="2"/>
    <m/>
    <x v="1"/>
    <d v="2024-02-27T00:00:00"/>
    <m/>
  </r>
  <r>
    <n v="4910"/>
    <n v="13110"/>
    <x v="1"/>
    <n v="96959.48"/>
    <x v="2"/>
    <m/>
    <x v="0"/>
    <d v="2024-12-22T00:00:00"/>
    <m/>
  </r>
  <r>
    <n v="4911"/>
    <n v="13529"/>
    <x v="3"/>
    <n v="52545.65"/>
    <x v="0"/>
    <n v="19"/>
    <x v="1"/>
    <d v="2024-11-15T00:00:00"/>
    <d v="2024-12-04T00:00:00"/>
  </r>
  <r>
    <n v="4912"/>
    <n v="14907"/>
    <x v="3"/>
    <n v="73073.91"/>
    <x v="1"/>
    <n v="4"/>
    <x v="2"/>
    <d v="2024-01-19T00:00:00"/>
    <d v="2024-01-23T00:00:00"/>
  </r>
  <r>
    <n v="4913"/>
    <n v="14968"/>
    <x v="3"/>
    <n v="36707.08"/>
    <x v="0"/>
    <n v="7"/>
    <x v="0"/>
    <d v="2024-12-22T00:00:00"/>
    <d v="2024-12-29T00:00:00"/>
  </r>
  <r>
    <n v="4914"/>
    <n v="18541"/>
    <x v="0"/>
    <n v="49860.6"/>
    <x v="2"/>
    <m/>
    <x v="2"/>
    <d v="2024-04-26T00:00:00"/>
    <m/>
  </r>
  <r>
    <n v="4915"/>
    <n v="14547"/>
    <x v="3"/>
    <n v="19930.89"/>
    <x v="0"/>
    <n v="32"/>
    <x v="0"/>
    <d v="2024-05-15T00:00:00"/>
    <d v="2024-06-16T00:00:00"/>
  </r>
  <r>
    <n v="4916"/>
    <n v="14083"/>
    <x v="1"/>
    <n v="184380.77"/>
    <x v="0"/>
    <n v="18"/>
    <x v="3"/>
    <d v="2024-11-22T00:00:00"/>
    <d v="2024-12-10T00:00:00"/>
  </r>
  <r>
    <n v="4917"/>
    <n v="10108"/>
    <x v="3"/>
    <n v="108430.08"/>
    <x v="0"/>
    <n v="22"/>
    <x v="0"/>
    <d v="2024-10-22T00:00:00"/>
    <d v="2024-11-13T00:00:00"/>
  </r>
  <r>
    <n v="4918"/>
    <n v="17751"/>
    <x v="3"/>
    <n v="82364.679999999993"/>
    <x v="0"/>
    <n v="17"/>
    <x v="1"/>
    <d v="2024-01-13T00:00:00"/>
    <d v="2024-01-30T00:00:00"/>
  </r>
  <r>
    <n v="4919"/>
    <n v="11231"/>
    <x v="3"/>
    <n v="109330.7"/>
    <x v="1"/>
    <n v="18"/>
    <x v="0"/>
    <d v="2024-04-10T00:00:00"/>
    <d v="2024-04-28T00:00:00"/>
  </r>
  <r>
    <n v="4920"/>
    <n v="10576"/>
    <x v="1"/>
    <n v="127517.18"/>
    <x v="0"/>
    <n v="33"/>
    <x v="2"/>
    <d v="2024-06-03T00:00:00"/>
    <d v="2024-07-06T00:00:00"/>
  </r>
  <r>
    <n v="4921"/>
    <n v="10240"/>
    <x v="3"/>
    <n v="184766.36"/>
    <x v="2"/>
    <m/>
    <x v="2"/>
    <d v="2024-03-22T00:00:00"/>
    <m/>
  </r>
  <r>
    <n v="4922"/>
    <n v="17566"/>
    <x v="1"/>
    <n v="39845.129999999997"/>
    <x v="0"/>
    <n v="39"/>
    <x v="0"/>
    <d v="2024-03-28T00:00:00"/>
    <d v="2024-05-06T00:00:00"/>
  </r>
  <r>
    <n v="4923"/>
    <n v="15809"/>
    <x v="3"/>
    <n v="62632.74"/>
    <x v="0"/>
    <n v="9"/>
    <x v="1"/>
    <d v="2024-04-14T00:00:00"/>
    <d v="2024-04-23T00:00:00"/>
  </r>
  <r>
    <n v="4924"/>
    <n v="16721"/>
    <x v="3"/>
    <n v="195278.92"/>
    <x v="0"/>
    <n v="2"/>
    <x v="3"/>
    <d v="2024-05-09T00:00:00"/>
    <d v="2024-05-11T00:00:00"/>
  </r>
  <r>
    <n v="4925"/>
    <n v="10370"/>
    <x v="3"/>
    <n v="77382.63"/>
    <x v="0"/>
    <n v="3"/>
    <x v="1"/>
    <d v="2024-09-28T00:00:00"/>
    <d v="2024-10-01T00:00:00"/>
  </r>
  <r>
    <n v="4926"/>
    <n v="16054"/>
    <x v="3"/>
    <n v="9399.52"/>
    <x v="1"/>
    <n v="38"/>
    <x v="3"/>
    <d v="2024-01-14T00:00:00"/>
    <d v="2024-02-21T00:00:00"/>
  </r>
  <r>
    <n v="4927"/>
    <n v="10097"/>
    <x v="3"/>
    <n v="33790.480000000003"/>
    <x v="0"/>
    <n v="25"/>
    <x v="2"/>
    <d v="2024-05-07T00:00:00"/>
    <d v="2024-06-01T00:00:00"/>
  </r>
  <r>
    <n v="4928"/>
    <n v="15606"/>
    <x v="3"/>
    <n v="10136.049999999999"/>
    <x v="0"/>
    <n v="28"/>
    <x v="1"/>
    <d v="2024-02-29T00:00:00"/>
    <d v="2024-03-28T00:00:00"/>
  </r>
  <r>
    <n v="4929"/>
    <n v="18156"/>
    <x v="1"/>
    <n v="198035.01"/>
    <x v="0"/>
    <n v="21"/>
    <x v="3"/>
    <d v="2024-08-14T00:00:00"/>
    <d v="2024-09-04T00:00:00"/>
  </r>
  <r>
    <n v="4930"/>
    <n v="19687"/>
    <x v="1"/>
    <n v="59379.82"/>
    <x v="0"/>
    <n v="22"/>
    <x v="0"/>
    <d v="2024-01-17T00:00:00"/>
    <d v="2024-02-08T00:00:00"/>
  </r>
  <r>
    <n v="4931"/>
    <n v="12455"/>
    <x v="3"/>
    <n v="185090.84"/>
    <x v="2"/>
    <m/>
    <x v="2"/>
    <d v="2024-02-14T00:00:00"/>
    <m/>
  </r>
  <r>
    <n v="4932"/>
    <n v="13446"/>
    <x v="3"/>
    <n v="199197.82"/>
    <x v="0"/>
    <n v="38"/>
    <x v="0"/>
    <d v="2024-02-07T00:00:00"/>
    <d v="2024-03-16T00:00:00"/>
  </r>
  <r>
    <n v="4933"/>
    <n v="19597"/>
    <x v="3"/>
    <n v="121969.04"/>
    <x v="1"/>
    <n v="36"/>
    <x v="2"/>
    <d v="2024-05-03T00:00:00"/>
    <d v="2024-06-08T00:00:00"/>
  </r>
  <r>
    <n v="4934"/>
    <n v="14811"/>
    <x v="3"/>
    <n v="11473.28"/>
    <x v="0"/>
    <n v="39"/>
    <x v="1"/>
    <d v="2024-12-25T00:00:00"/>
    <d v="2025-02-02T00:00:00"/>
  </r>
  <r>
    <n v="4935"/>
    <n v="17827"/>
    <x v="3"/>
    <n v="20910.37"/>
    <x v="0"/>
    <n v="16"/>
    <x v="1"/>
    <d v="2024-03-04T00:00:00"/>
    <d v="2024-03-20T00:00:00"/>
  </r>
  <r>
    <n v="4936"/>
    <n v="12691"/>
    <x v="0"/>
    <n v="98909.87"/>
    <x v="2"/>
    <m/>
    <x v="2"/>
    <d v="2024-09-09T00:00:00"/>
    <m/>
  </r>
  <r>
    <n v="4937"/>
    <n v="10972"/>
    <x v="3"/>
    <n v="84203.54"/>
    <x v="0"/>
    <n v="31"/>
    <x v="2"/>
    <d v="2024-09-18T00:00:00"/>
    <d v="2024-10-19T00:00:00"/>
  </r>
  <r>
    <n v="4938"/>
    <n v="19704"/>
    <x v="3"/>
    <n v="123204.57"/>
    <x v="0"/>
    <n v="5"/>
    <x v="2"/>
    <d v="2024-04-21T00:00:00"/>
    <d v="2024-04-26T00:00:00"/>
  </r>
  <r>
    <n v="4939"/>
    <n v="17806"/>
    <x v="3"/>
    <n v="90575.32"/>
    <x v="0"/>
    <n v="44"/>
    <x v="1"/>
    <d v="2024-04-11T00:00:00"/>
    <d v="2024-05-25T00:00:00"/>
  </r>
  <r>
    <n v="4940"/>
    <n v="12923"/>
    <x v="3"/>
    <n v="187144.99"/>
    <x v="0"/>
    <n v="40"/>
    <x v="3"/>
    <d v="2024-02-18T00:00:00"/>
    <d v="2024-03-29T00:00:00"/>
  </r>
  <r>
    <n v="4941"/>
    <n v="15001"/>
    <x v="1"/>
    <n v="109274.24000000001"/>
    <x v="1"/>
    <n v="16"/>
    <x v="0"/>
    <d v="2024-10-03T00:00:00"/>
    <d v="2024-10-19T00:00:00"/>
  </r>
  <r>
    <n v="4942"/>
    <n v="10808"/>
    <x v="3"/>
    <n v="140276.57999999999"/>
    <x v="0"/>
    <n v="24"/>
    <x v="0"/>
    <d v="2024-08-14T00:00:00"/>
    <d v="2024-09-07T00:00:00"/>
  </r>
  <r>
    <n v="4943"/>
    <n v="17476"/>
    <x v="3"/>
    <n v="179814.63"/>
    <x v="2"/>
    <m/>
    <x v="1"/>
    <d v="2024-01-23T00:00:00"/>
    <m/>
  </r>
  <r>
    <n v="4944"/>
    <n v="15963"/>
    <x v="1"/>
    <n v="33640.019999999997"/>
    <x v="0"/>
    <n v="16"/>
    <x v="0"/>
    <d v="2024-11-27T00:00:00"/>
    <d v="2024-12-13T00:00:00"/>
  </r>
  <r>
    <n v="4945"/>
    <n v="15935"/>
    <x v="3"/>
    <n v="49798.26"/>
    <x v="0"/>
    <n v="27"/>
    <x v="2"/>
    <d v="2024-07-03T00:00:00"/>
    <d v="2024-07-30T00:00:00"/>
  </r>
  <r>
    <n v="4946"/>
    <n v="14230"/>
    <x v="1"/>
    <n v="25927.14"/>
    <x v="0"/>
    <n v="13"/>
    <x v="3"/>
    <d v="2024-03-04T00:00:00"/>
    <d v="2024-03-17T00:00:00"/>
  </r>
  <r>
    <n v="4947"/>
    <n v="10327"/>
    <x v="1"/>
    <n v="32229.49"/>
    <x v="0"/>
    <n v="19"/>
    <x v="0"/>
    <d v="2024-06-05T00:00:00"/>
    <d v="2024-06-24T00:00:00"/>
  </r>
  <r>
    <n v="4948"/>
    <n v="10682"/>
    <x v="3"/>
    <n v="104953.87"/>
    <x v="2"/>
    <m/>
    <x v="3"/>
    <d v="2024-10-09T00:00:00"/>
    <m/>
  </r>
  <r>
    <n v="4949"/>
    <n v="10123"/>
    <x v="1"/>
    <n v="67629.960000000006"/>
    <x v="0"/>
    <n v="19"/>
    <x v="2"/>
    <d v="2024-05-28T00:00:00"/>
    <d v="2024-06-16T00:00:00"/>
  </r>
  <r>
    <n v="4950"/>
    <n v="10753"/>
    <x v="3"/>
    <n v="87518.7"/>
    <x v="0"/>
    <n v="25"/>
    <x v="0"/>
    <d v="2024-11-22T00:00:00"/>
    <d v="2024-12-17T00:00:00"/>
  </r>
  <r>
    <n v="4951"/>
    <n v="18114"/>
    <x v="1"/>
    <n v="196585.52"/>
    <x v="1"/>
    <n v="39"/>
    <x v="1"/>
    <d v="2024-12-28T00:00:00"/>
    <d v="2025-02-05T00:00:00"/>
  </r>
  <r>
    <n v="4952"/>
    <n v="11606"/>
    <x v="3"/>
    <n v="35557.35"/>
    <x v="1"/>
    <n v="29"/>
    <x v="3"/>
    <d v="2024-06-17T00:00:00"/>
    <d v="2024-07-16T00:00:00"/>
  </r>
  <r>
    <n v="4953"/>
    <n v="16525"/>
    <x v="3"/>
    <n v="110458.35"/>
    <x v="0"/>
    <n v="16"/>
    <x v="2"/>
    <d v="2024-05-12T00:00:00"/>
    <d v="2024-05-28T00:00:00"/>
  </r>
  <r>
    <n v="4954"/>
    <n v="13578"/>
    <x v="1"/>
    <n v="24279.88"/>
    <x v="1"/>
    <n v="20"/>
    <x v="3"/>
    <d v="2024-11-09T00:00:00"/>
    <d v="2024-11-29T00:00:00"/>
  </r>
  <r>
    <n v="4955"/>
    <n v="14666"/>
    <x v="0"/>
    <n v="67106.78"/>
    <x v="0"/>
    <n v="6"/>
    <x v="0"/>
    <d v="2024-05-11T00:00:00"/>
    <d v="2024-05-17T00:00:00"/>
  </r>
  <r>
    <n v="4956"/>
    <n v="17208"/>
    <x v="2"/>
    <n v="107867.56"/>
    <x v="0"/>
    <n v="5"/>
    <x v="0"/>
    <d v="2024-07-15T00:00:00"/>
    <d v="2024-07-20T00:00:00"/>
  </r>
  <r>
    <n v="4957"/>
    <n v="19660"/>
    <x v="1"/>
    <n v="189593.19"/>
    <x v="0"/>
    <n v="18"/>
    <x v="1"/>
    <d v="2024-05-14T00:00:00"/>
    <d v="2024-06-01T00:00:00"/>
  </r>
  <r>
    <n v="4958"/>
    <n v="12845"/>
    <x v="3"/>
    <n v="81289.5"/>
    <x v="0"/>
    <n v="11"/>
    <x v="2"/>
    <d v="2024-02-04T00:00:00"/>
    <d v="2024-02-15T00:00:00"/>
  </r>
  <r>
    <n v="4959"/>
    <n v="12938"/>
    <x v="3"/>
    <n v="17656.810000000001"/>
    <x v="0"/>
    <n v="13"/>
    <x v="2"/>
    <d v="2024-08-07T00:00:00"/>
    <d v="2024-08-20T00:00:00"/>
  </r>
  <r>
    <n v="4960"/>
    <n v="16319"/>
    <x v="3"/>
    <n v="80691.48"/>
    <x v="0"/>
    <n v="6"/>
    <x v="1"/>
    <d v="2024-07-03T00:00:00"/>
    <d v="2024-07-09T00:00:00"/>
  </r>
  <r>
    <n v="4961"/>
    <n v="12427"/>
    <x v="3"/>
    <n v="33419.53"/>
    <x v="0"/>
    <n v="8"/>
    <x v="1"/>
    <d v="2024-01-05T00:00:00"/>
    <d v="2024-01-13T00:00:00"/>
  </r>
  <r>
    <n v="4962"/>
    <n v="18356"/>
    <x v="3"/>
    <n v="49847.97"/>
    <x v="1"/>
    <n v="24"/>
    <x v="2"/>
    <d v="2024-03-11T00:00:00"/>
    <d v="2024-04-04T00:00:00"/>
  </r>
  <r>
    <n v="4963"/>
    <n v="19701"/>
    <x v="2"/>
    <n v="125527.67"/>
    <x v="2"/>
    <m/>
    <x v="3"/>
    <d v="2024-12-07T00:00:00"/>
    <m/>
  </r>
  <r>
    <n v="4964"/>
    <n v="18156"/>
    <x v="3"/>
    <n v="18147.650000000001"/>
    <x v="1"/>
    <n v="31"/>
    <x v="3"/>
    <d v="2024-08-28T00:00:00"/>
    <d v="2024-09-28T00:00:00"/>
  </r>
  <r>
    <n v="4965"/>
    <n v="16907"/>
    <x v="3"/>
    <n v="95621.13"/>
    <x v="0"/>
    <n v="38"/>
    <x v="1"/>
    <d v="2024-12-16T00:00:00"/>
    <d v="2025-01-23T00:00:00"/>
  </r>
  <r>
    <n v="4966"/>
    <n v="17732"/>
    <x v="3"/>
    <n v="123845.01"/>
    <x v="0"/>
    <n v="6"/>
    <x v="3"/>
    <d v="2024-10-23T00:00:00"/>
    <d v="2024-10-29T00:00:00"/>
  </r>
  <r>
    <n v="4967"/>
    <n v="15886"/>
    <x v="0"/>
    <n v="87262.39"/>
    <x v="0"/>
    <n v="21"/>
    <x v="2"/>
    <d v="2024-11-26T00:00:00"/>
    <d v="2024-12-17T00:00:00"/>
  </r>
  <r>
    <n v="4968"/>
    <n v="19392"/>
    <x v="1"/>
    <n v="8729.64"/>
    <x v="0"/>
    <n v="27"/>
    <x v="0"/>
    <d v="2024-07-11T00:00:00"/>
    <d v="2024-08-07T00:00:00"/>
  </r>
  <r>
    <n v="4969"/>
    <n v="15168"/>
    <x v="1"/>
    <n v="197176.27"/>
    <x v="0"/>
    <n v="40"/>
    <x v="0"/>
    <d v="2024-06-16T00:00:00"/>
    <d v="2024-07-26T00:00:00"/>
  </r>
  <r>
    <n v="4970"/>
    <n v="13281"/>
    <x v="3"/>
    <n v="76587.570000000007"/>
    <x v="0"/>
    <n v="7"/>
    <x v="3"/>
    <d v="2024-12-04T00:00:00"/>
    <d v="2024-12-11T00:00:00"/>
  </r>
  <r>
    <n v="4971"/>
    <n v="18810"/>
    <x v="0"/>
    <n v="156822.54999999999"/>
    <x v="1"/>
    <n v="30"/>
    <x v="1"/>
    <d v="2024-08-23T00:00:00"/>
    <d v="2024-09-22T00:00:00"/>
  </r>
  <r>
    <n v="4972"/>
    <n v="12712"/>
    <x v="3"/>
    <n v="68501.070000000007"/>
    <x v="0"/>
    <n v="11"/>
    <x v="1"/>
    <d v="2024-10-20T00:00:00"/>
    <d v="2024-10-31T00:00:00"/>
  </r>
  <r>
    <n v="4973"/>
    <n v="14954"/>
    <x v="0"/>
    <n v="97628.27"/>
    <x v="0"/>
    <n v="17"/>
    <x v="1"/>
    <d v="2024-10-24T00:00:00"/>
    <d v="2024-11-10T00:00:00"/>
  </r>
  <r>
    <n v="4974"/>
    <n v="13723"/>
    <x v="1"/>
    <n v="80750.41"/>
    <x v="0"/>
    <n v="35"/>
    <x v="1"/>
    <d v="2024-09-04T00:00:00"/>
    <d v="2024-10-09T00:00:00"/>
  </r>
  <r>
    <n v="4975"/>
    <n v="11686"/>
    <x v="3"/>
    <n v="71795.149999999994"/>
    <x v="0"/>
    <n v="32"/>
    <x v="1"/>
    <d v="2024-06-13T00:00:00"/>
    <d v="2024-07-15T00:00:00"/>
  </r>
  <r>
    <n v="4976"/>
    <n v="17440"/>
    <x v="3"/>
    <n v="9261.02"/>
    <x v="0"/>
    <n v="37"/>
    <x v="3"/>
    <d v="2024-11-07T00:00:00"/>
    <d v="2024-12-14T00:00:00"/>
  </r>
  <r>
    <n v="4977"/>
    <n v="11606"/>
    <x v="1"/>
    <n v="75204.08"/>
    <x v="0"/>
    <n v="42"/>
    <x v="0"/>
    <d v="2024-03-11T00:00:00"/>
    <d v="2024-04-22T00:00:00"/>
  </r>
  <r>
    <n v="4978"/>
    <n v="19545"/>
    <x v="3"/>
    <n v="178450.55"/>
    <x v="0"/>
    <n v="6"/>
    <x v="0"/>
    <d v="2024-08-18T00:00:00"/>
    <d v="2024-08-24T00:00:00"/>
  </r>
  <r>
    <n v="4979"/>
    <n v="14239"/>
    <x v="0"/>
    <n v="139626.70000000001"/>
    <x v="0"/>
    <n v="34"/>
    <x v="3"/>
    <d v="2024-02-24T00:00:00"/>
    <d v="2024-03-29T00:00:00"/>
  </r>
  <r>
    <n v="4980"/>
    <n v="18810"/>
    <x v="3"/>
    <n v="33357.46"/>
    <x v="0"/>
    <n v="44"/>
    <x v="1"/>
    <d v="2024-06-30T00:00:00"/>
    <d v="2024-08-13T00:00:00"/>
  </r>
  <r>
    <n v="4981"/>
    <n v="15103"/>
    <x v="3"/>
    <n v="120275.23"/>
    <x v="1"/>
    <n v="20"/>
    <x v="3"/>
    <d v="2024-01-22T00:00:00"/>
    <d v="2024-02-11T00:00:00"/>
  </r>
  <r>
    <n v="4982"/>
    <n v="18545"/>
    <x v="3"/>
    <n v="178985.02"/>
    <x v="1"/>
    <n v="33"/>
    <x v="0"/>
    <d v="2024-10-09T00:00:00"/>
    <d v="2024-11-11T00:00:00"/>
  </r>
  <r>
    <n v="4983"/>
    <n v="10280"/>
    <x v="3"/>
    <n v="141506.64000000001"/>
    <x v="0"/>
    <n v="24"/>
    <x v="2"/>
    <d v="2024-04-14T00:00:00"/>
    <d v="2024-05-08T00:00:00"/>
  </r>
  <r>
    <n v="4984"/>
    <n v="14932"/>
    <x v="3"/>
    <n v="33993.46"/>
    <x v="0"/>
    <n v="4"/>
    <x v="3"/>
    <d v="2024-06-23T00:00:00"/>
    <d v="2024-06-27T00:00:00"/>
  </r>
  <r>
    <n v="4985"/>
    <n v="13550"/>
    <x v="3"/>
    <n v="174227.34"/>
    <x v="1"/>
    <n v="2"/>
    <x v="1"/>
    <d v="2024-10-20T00:00:00"/>
    <d v="2024-10-22T00:00:00"/>
  </r>
  <r>
    <n v="4986"/>
    <n v="11959"/>
    <x v="1"/>
    <n v="63801.08"/>
    <x v="0"/>
    <n v="37"/>
    <x v="0"/>
    <d v="2024-02-08T00:00:00"/>
    <d v="2024-03-16T00:00:00"/>
  </r>
  <r>
    <n v="4987"/>
    <n v="10389"/>
    <x v="3"/>
    <n v="93544.85"/>
    <x v="0"/>
    <n v="42"/>
    <x v="0"/>
    <d v="2024-02-29T00:00:00"/>
    <d v="2024-04-11T00:00:00"/>
  </r>
  <r>
    <n v="4988"/>
    <n v="15183"/>
    <x v="2"/>
    <n v="107597.84"/>
    <x v="0"/>
    <n v="29"/>
    <x v="0"/>
    <d v="2024-10-26T00:00:00"/>
    <d v="2024-11-24T00:00:00"/>
  </r>
  <r>
    <n v="4989"/>
    <n v="13867"/>
    <x v="1"/>
    <n v="170848.79"/>
    <x v="0"/>
    <n v="40"/>
    <x v="0"/>
    <d v="2024-10-25T00:00:00"/>
    <d v="2024-12-04T00:00:00"/>
  </r>
  <r>
    <n v="4990"/>
    <n v="14360"/>
    <x v="0"/>
    <n v="186663.46"/>
    <x v="1"/>
    <n v="6"/>
    <x v="1"/>
    <d v="2024-07-30T00:00:00"/>
    <d v="2024-08-05T00:00:00"/>
  </r>
  <r>
    <n v="4991"/>
    <n v="12053"/>
    <x v="3"/>
    <n v="186282.31"/>
    <x v="1"/>
    <n v="14"/>
    <x v="2"/>
    <d v="2024-06-03T00:00:00"/>
    <d v="2024-06-17T00:00:00"/>
  </r>
  <r>
    <n v="4992"/>
    <n v="15008"/>
    <x v="3"/>
    <n v="6551.07"/>
    <x v="0"/>
    <n v="12"/>
    <x v="0"/>
    <d v="2024-06-21T00:00:00"/>
    <d v="2024-07-03T00:00:00"/>
  </r>
  <r>
    <n v="4993"/>
    <n v="18359"/>
    <x v="3"/>
    <n v="184768.25"/>
    <x v="0"/>
    <n v="23"/>
    <x v="3"/>
    <d v="2024-01-23T00:00:00"/>
    <d v="2024-02-15T00:00:00"/>
  </r>
  <r>
    <n v="4994"/>
    <n v="16316"/>
    <x v="1"/>
    <n v="15605.46"/>
    <x v="0"/>
    <n v="24"/>
    <x v="2"/>
    <d v="2024-08-27T00:00:00"/>
    <d v="2024-09-20T00:00:00"/>
  </r>
  <r>
    <n v="4995"/>
    <n v="12166"/>
    <x v="0"/>
    <n v="56825.86"/>
    <x v="0"/>
    <n v="13"/>
    <x v="0"/>
    <d v="2024-07-27T00:00:00"/>
    <d v="2024-08-09T00:00:00"/>
  </r>
  <r>
    <n v="4996"/>
    <n v="18106"/>
    <x v="3"/>
    <n v="105422.63"/>
    <x v="2"/>
    <m/>
    <x v="2"/>
    <d v="2024-05-01T00:00:00"/>
    <m/>
  </r>
  <r>
    <n v="4997"/>
    <n v="16272"/>
    <x v="3"/>
    <n v="98585.51"/>
    <x v="0"/>
    <n v="20"/>
    <x v="3"/>
    <d v="2024-09-09T00:00:00"/>
    <d v="2024-09-29T00:00:00"/>
  </r>
  <r>
    <n v="4998"/>
    <n v="10186"/>
    <x v="0"/>
    <n v="122918.41"/>
    <x v="0"/>
    <n v="6"/>
    <x v="0"/>
    <d v="2024-05-20T00:00:00"/>
    <d v="2024-05-26T00:00:00"/>
  </r>
  <r>
    <n v="4999"/>
    <n v="15182"/>
    <x v="3"/>
    <n v="98492.01"/>
    <x v="1"/>
    <n v="25"/>
    <x v="3"/>
    <d v="2024-12-05T00:00:00"/>
    <d v="2024-12-30T00:00:00"/>
  </r>
  <r>
    <n v="5000"/>
    <n v="19489"/>
    <x v="1"/>
    <n v="187203.26"/>
    <x v="1"/>
    <n v="31"/>
    <x v="1"/>
    <d v="2024-12-27T00:00:00"/>
    <d v="2025-01-27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19671"/>
    <x v="0"/>
    <n v="162309.38"/>
    <x v="0"/>
    <n v="26"/>
    <x v="0"/>
    <d v="2024-01-17T00:00:00"/>
    <d v="2024-02-12T00:00:00"/>
    <x v="0"/>
  </r>
  <r>
    <n v="2"/>
    <n v="12369"/>
    <x v="1"/>
    <n v="8225.19"/>
    <x v="1"/>
    <n v="23"/>
    <x v="1"/>
    <d v="2024-11-09T00:00:00"/>
    <d v="2024-12-02T00:00:00"/>
    <x v="1"/>
  </r>
  <r>
    <n v="3"/>
    <n v="14065"/>
    <x v="1"/>
    <n v="41427.54"/>
    <x v="0"/>
    <n v="18"/>
    <x v="2"/>
    <d v="2024-07-03T00:00:00"/>
    <d v="2024-07-21T00:00:00"/>
    <x v="2"/>
  </r>
  <r>
    <n v="4"/>
    <n v="11463"/>
    <x v="2"/>
    <n v="132706.53"/>
    <x v="0"/>
    <n v="41"/>
    <x v="0"/>
    <d v="2024-11-29T00:00:00"/>
    <d v="2025-01-09T00:00:00"/>
    <x v="1"/>
  </r>
  <r>
    <n v="5"/>
    <n v="11907"/>
    <x v="3"/>
    <n v="78273.070000000007"/>
    <x v="0"/>
    <n v="12"/>
    <x v="0"/>
    <d v="2024-07-02T00:00:00"/>
    <d v="2024-07-14T00:00:00"/>
    <x v="2"/>
  </r>
  <r>
    <n v="6"/>
    <n v="16201"/>
    <x v="3"/>
    <n v="196584.12"/>
    <x v="2"/>
    <m/>
    <x v="1"/>
    <d v="2024-05-22T00:00:00"/>
    <m/>
    <x v="3"/>
  </r>
  <r>
    <n v="7"/>
    <n v="17895"/>
    <x v="0"/>
    <n v="134753.93"/>
    <x v="0"/>
    <n v="6"/>
    <x v="2"/>
    <d v="2024-02-13T00:00:00"/>
    <d v="2024-02-19T00:00:00"/>
    <x v="4"/>
  </r>
  <r>
    <n v="8"/>
    <n v="17825"/>
    <x v="3"/>
    <n v="191527.04000000001"/>
    <x v="0"/>
    <n v="22"/>
    <x v="2"/>
    <d v="2024-01-12T00:00:00"/>
    <d v="2024-02-03T00:00:00"/>
    <x v="0"/>
  </r>
  <r>
    <n v="9"/>
    <n v="13965"/>
    <x v="0"/>
    <n v="44282.06"/>
    <x v="0"/>
    <n v="27"/>
    <x v="0"/>
    <d v="2024-01-08T00:00:00"/>
    <d v="2024-02-04T00:00:00"/>
    <x v="0"/>
  </r>
  <r>
    <n v="10"/>
    <n v="19508"/>
    <x v="0"/>
    <n v="173471.62"/>
    <x v="2"/>
    <m/>
    <x v="3"/>
    <d v="2024-03-20T00:00:00"/>
    <m/>
    <x v="5"/>
  </r>
  <r>
    <n v="11"/>
    <n v="10181"/>
    <x v="3"/>
    <n v="67663.7"/>
    <x v="1"/>
    <n v="41"/>
    <x v="0"/>
    <d v="2024-10-23T00:00:00"/>
    <d v="2024-12-03T00:00:00"/>
    <x v="6"/>
  </r>
  <r>
    <n v="12"/>
    <n v="16000"/>
    <x v="0"/>
    <n v="197965.14"/>
    <x v="2"/>
    <m/>
    <x v="0"/>
    <d v="2024-06-10T00:00:00"/>
    <m/>
    <x v="7"/>
  </r>
  <r>
    <n v="13"/>
    <n v="17245"/>
    <x v="3"/>
    <n v="35749.29"/>
    <x v="0"/>
    <n v="33"/>
    <x v="0"/>
    <d v="2024-10-28T00:00:00"/>
    <d v="2024-11-30T00:00:00"/>
    <x v="6"/>
  </r>
  <r>
    <n v="14"/>
    <n v="19152"/>
    <x v="1"/>
    <n v="105686.26"/>
    <x v="0"/>
    <n v="5"/>
    <x v="0"/>
    <d v="2024-08-03T00:00:00"/>
    <d v="2024-08-08T00:00:00"/>
    <x v="8"/>
  </r>
  <r>
    <n v="15"/>
    <n v="10989"/>
    <x v="1"/>
    <n v="159604.68"/>
    <x v="0"/>
    <n v="39"/>
    <x v="1"/>
    <d v="2024-09-04T00:00:00"/>
    <d v="2024-10-13T00:00:00"/>
    <x v="9"/>
  </r>
  <r>
    <n v="16"/>
    <n v="19917"/>
    <x v="2"/>
    <n v="89365.28"/>
    <x v="1"/>
    <n v="9"/>
    <x v="2"/>
    <d v="2024-01-29T00:00:00"/>
    <d v="2024-02-07T00:00:00"/>
    <x v="0"/>
  </r>
  <r>
    <n v="17"/>
    <n v="16272"/>
    <x v="3"/>
    <n v="96276.39"/>
    <x v="0"/>
    <n v="10"/>
    <x v="1"/>
    <d v="2024-09-28T00:00:00"/>
    <d v="2024-10-08T00:00:00"/>
    <x v="9"/>
  </r>
  <r>
    <n v="18"/>
    <n v="10706"/>
    <x v="3"/>
    <n v="197339.38"/>
    <x v="0"/>
    <n v="18"/>
    <x v="1"/>
    <d v="2024-05-12T00:00:00"/>
    <d v="2024-05-30T00:00:00"/>
    <x v="3"/>
  </r>
  <r>
    <n v="19"/>
    <n v="16652"/>
    <x v="1"/>
    <n v="87935.09"/>
    <x v="1"/>
    <n v="42"/>
    <x v="1"/>
    <d v="2024-01-05T00:00:00"/>
    <d v="2024-02-16T00:00:00"/>
    <x v="0"/>
  </r>
  <r>
    <n v="20"/>
    <n v="14847"/>
    <x v="1"/>
    <n v="122794.06"/>
    <x v="0"/>
    <n v="14"/>
    <x v="0"/>
    <d v="2024-08-31T00:00:00"/>
    <d v="2024-09-14T00:00:00"/>
    <x v="8"/>
  </r>
  <r>
    <n v="21"/>
    <n v="14330"/>
    <x v="1"/>
    <n v="15635.23"/>
    <x v="0"/>
    <n v="10"/>
    <x v="3"/>
    <d v="2024-01-30T00:00:00"/>
    <d v="2024-02-09T00:00:00"/>
    <x v="0"/>
  </r>
  <r>
    <n v="22"/>
    <n v="11620"/>
    <x v="3"/>
    <n v="169230.97"/>
    <x v="0"/>
    <n v="7"/>
    <x v="2"/>
    <d v="2024-04-26T00:00:00"/>
    <d v="2024-05-03T00:00:00"/>
    <x v="10"/>
  </r>
  <r>
    <n v="23"/>
    <n v="14649"/>
    <x v="3"/>
    <n v="131392.76999999999"/>
    <x v="0"/>
    <n v="28"/>
    <x v="3"/>
    <d v="2024-06-26T00:00:00"/>
    <d v="2024-07-24T00:00:00"/>
    <x v="7"/>
  </r>
  <r>
    <n v="24"/>
    <n v="16596"/>
    <x v="3"/>
    <n v="83783.92"/>
    <x v="1"/>
    <n v="43"/>
    <x v="1"/>
    <d v="2024-09-17T00:00:00"/>
    <d v="2024-10-30T00:00:00"/>
    <x v="9"/>
  </r>
  <r>
    <n v="25"/>
    <n v="14681"/>
    <x v="0"/>
    <n v="8153.06"/>
    <x v="0"/>
    <n v="38"/>
    <x v="1"/>
    <d v="2024-08-22T00:00:00"/>
    <d v="2024-09-29T00:00:00"/>
    <x v="8"/>
  </r>
  <r>
    <n v="26"/>
    <n v="18044"/>
    <x v="3"/>
    <n v="120375.42"/>
    <x v="0"/>
    <n v="40"/>
    <x v="3"/>
    <d v="2024-05-20T00:00:00"/>
    <d v="2024-06-29T00:00:00"/>
    <x v="3"/>
  </r>
  <r>
    <n v="27"/>
    <n v="13580"/>
    <x v="3"/>
    <n v="7468.28"/>
    <x v="0"/>
    <n v="44"/>
    <x v="3"/>
    <d v="2024-10-31T00:00:00"/>
    <d v="2024-12-14T00:00:00"/>
    <x v="6"/>
  </r>
  <r>
    <n v="28"/>
    <n v="18614"/>
    <x v="2"/>
    <n v="5234.7"/>
    <x v="0"/>
    <n v="25"/>
    <x v="3"/>
    <d v="2024-12-10T00:00:00"/>
    <d v="2025-01-04T00:00:00"/>
    <x v="11"/>
  </r>
  <r>
    <n v="29"/>
    <n v="14015"/>
    <x v="3"/>
    <n v="125139.22"/>
    <x v="0"/>
    <n v="10"/>
    <x v="1"/>
    <d v="2024-02-19T00:00:00"/>
    <d v="2024-02-29T00:00:00"/>
    <x v="4"/>
  </r>
  <r>
    <n v="30"/>
    <n v="13196"/>
    <x v="2"/>
    <n v="41858.33"/>
    <x v="0"/>
    <n v="43"/>
    <x v="1"/>
    <d v="2024-09-26T00:00:00"/>
    <d v="2024-11-08T00:00:00"/>
    <x v="9"/>
  </r>
  <r>
    <n v="31"/>
    <n v="16149"/>
    <x v="1"/>
    <n v="42418.07"/>
    <x v="0"/>
    <n v="12"/>
    <x v="2"/>
    <d v="2024-04-17T00:00:00"/>
    <d v="2024-04-29T00:00:00"/>
    <x v="10"/>
  </r>
  <r>
    <n v="32"/>
    <n v="14553"/>
    <x v="0"/>
    <n v="132387.96"/>
    <x v="0"/>
    <n v="36"/>
    <x v="2"/>
    <d v="2024-02-15T00:00:00"/>
    <d v="2024-03-22T00:00:00"/>
    <x v="4"/>
  </r>
  <r>
    <n v="33"/>
    <n v="14010"/>
    <x v="3"/>
    <n v="15470.95"/>
    <x v="0"/>
    <n v="30"/>
    <x v="1"/>
    <d v="2024-03-22T00:00:00"/>
    <d v="2024-04-21T00:00:00"/>
    <x v="5"/>
  </r>
  <r>
    <n v="34"/>
    <n v="16665"/>
    <x v="3"/>
    <n v="66114.080000000002"/>
    <x v="0"/>
    <n v="9"/>
    <x v="3"/>
    <d v="2024-05-05T00:00:00"/>
    <d v="2024-05-14T00:00:00"/>
    <x v="3"/>
  </r>
  <r>
    <n v="35"/>
    <n v="14646"/>
    <x v="1"/>
    <n v="34139.22"/>
    <x v="1"/>
    <n v="18"/>
    <x v="3"/>
    <d v="2024-03-24T00:00:00"/>
    <d v="2024-04-11T00:00:00"/>
    <x v="5"/>
  </r>
  <r>
    <n v="36"/>
    <n v="16090"/>
    <x v="0"/>
    <n v="118134.39"/>
    <x v="1"/>
    <n v="8"/>
    <x v="2"/>
    <d v="2024-10-16T00:00:00"/>
    <d v="2024-10-24T00:00:00"/>
    <x v="6"/>
  </r>
  <r>
    <n v="37"/>
    <n v="13750"/>
    <x v="1"/>
    <n v="134044.21"/>
    <x v="1"/>
    <n v="13"/>
    <x v="1"/>
    <d v="2024-03-11T00:00:00"/>
    <d v="2024-03-24T00:00:00"/>
    <x v="5"/>
  </r>
  <r>
    <n v="38"/>
    <n v="19837"/>
    <x v="3"/>
    <n v="145621.49"/>
    <x v="0"/>
    <n v="16"/>
    <x v="2"/>
    <d v="2024-06-23T00:00:00"/>
    <d v="2024-07-09T00:00:00"/>
    <x v="7"/>
  </r>
  <r>
    <n v="39"/>
    <n v="12536"/>
    <x v="1"/>
    <n v="54770.09"/>
    <x v="0"/>
    <n v="30"/>
    <x v="2"/>
    <d v="2024-11-11T00:00:00"/>
    <d v="2024-12-11T00:00:00"/>
    <x v="1"/>
  </r>
  <r>
    <n v="40"/>
    <n v="13259"/>
    <x v="1"/>
    <n v="22403.7"/>
    <x v="0"/>
    <n v="25"/>
    <x v="0"/>
    <d v="2024-11-25T00:00:00"/>
    <d v="2024-12-20T00:00:00"/>
    <x v="1"/>
  </r>
  <r>
    <n v="41"/>
    <n v="16879"/>
    <x v="1"/>
    <n v="20343.310000000001"/>
    <x v="0"/>
    <n v="38"/>
    <x v="0"/>
    <d v="2024-12-02T00:00:00"/>
    <d v="2025-01-09T00:00:00"/>
    <x v="11"/>
  </r>
  <r>
    <n v="42"/>
    <n v="17438"/>
    <x v="1"/>
    <n v="88099.55"/>
    <x v="0"/>
    <n v="15"/>
    <x v="0"/>
    <d v="2024-12-19T00:00:00"/>
    <d v="2025-01-03T00:00:00"/>
    <x v="11"/>
  </r>
  <r>
    <n v="43"/>
    <n v="12511"/>
    <x v="0"/>
    <n v="189439.66"/>
    <x v="0"/>
    <n v="12"/>
    <x v="3"/>
    <d v="2024-03-31T00:00:00"/>
    <d v="2024-04-12T00:00:00"/>
    <x v="5"/>
  </r>
  <r>
    <n v="44"/>
    <n v="12090"/>
    <x v="1"/>
    <n v="47457.16"/>
    <x v="2"/>
    <m/>
    <x v="1"/>
    <d v="2024-12-16T00:00:00"/>
    <m/>
    <x v="11"/>
  </r>
  <r>
    <n v="45"/>
    <n v="14634"/>
    <x v="3"/>
    <n v="55064.61"/>
    <x v="0"/>
    <n v="18"/>
    <x v="1"/>
    <d v="2024-09-05T00:00:00"/>
    <d v="2024-09-23T00:00:00"/>
    <x v="9"/>
  </r>
  <r>
    <n v="46"/>
    <n v="10567"/>
    <x v="3"/>
    <n v="24673.32"/>
    <x v="0"/>
    <n v="28"/>
    <x v="1"/>
    <d v="2024-05-11T00:00:00"/>
    <d v="2024-06-08T00:00:00"/>
    <x v="3"/>
  </r>
  <r>
    <n v="47"/>
    <n v="10120"/>
    <x v="3"/>
    <n v="123086.2"/>
    <x v="1"/>
    <n v="4"/>
    <x v="1"/>
    <d v="2024-06-17T00:00:00"/>
    <d v="2024-06-21T00:00:00"/>
    <x v="7"/>
  </r>
  <r>
    <n v="48"/>
    <n v="16768"/>
    <x v="3"/>
    <n v="137575.21"/>
    <x v="0"/>
    <n v="3"/>
    <x v="0"/>
    <d v="2024-02-29T00:00:00"/>
    <d v="2024-03-03T00:00:00"/>
    <x v="4"/>
  </r>
  <r>
    <n v="49"/>
    <n v="18507"/>
    <x v="3"/>
    <n v="130371.59"/>
    <x v="1"/>
    <n v="5"/>
    <x v="3"/>
    <d v="2024-12-02T00:00:00"/>
    <d v="2024-12-07T00:00:00"/>
    <x v="11"/>
  </r>
  <r>
    <n v="50"/>
    <n v="10620"/>
    <x v="3"/>
    <n v="172920.4"/>
    <x v="1"/>
    <n v="19"/>
    <x v="3"/>
    <d v="2024-08-28T00:00:00"/>
    <d v="2024-09-16T00:00:00"/>
    <x v="8"/>
  </r>
  <r>
    <n v="51"/>
    <n v="14063"/>
    <x v="3"/>
    <n v="99853.04"/>
    <x v="2"/>
    <m/>
    <x v="0"/>
    <d v="2024-07-08T00:00:00"/>
    <m/>
    <x v="2"/>
  </r>
  <r>
    <n v="52"/>
    <n v="10453"/>
    <x v="3"/>
    <n v="31219.119999999999"/>
    <x v="0"/>
    <n v="22"/>
    <x v="3"/>
    <d v="2024-12-05T00:00:00"/>
    <d v="2024-12-27T00:00:00"/>
    <x v="11"/>
  </r>
  <r>
    <n v="53"/>
    <n v="12734"/>
    <x v="0"/>
    <n v="61434"/>
    <x v="0"/>
    <n v="15"/>
    <x v="0"/>
    <d v="2024-10-07T00:00:00"/>
    <d v="2024-10-22T00:00:00"/>
    <x v="6"/>
  </r>
  <r>
    <n v="54"/>
    <n v="10958"/>
    <x v="2"/>
    <n v="134173.84"/>
    <x v="0"/>
    <n v="9"/>
    <x v="1"/>
    <d v="2024-08-19T00:00:00"/>
    <d v="2024-08-28T00:00:00"/>
    <x v="8"/>
  </r>
  <r>
    <n v="55"/>
    <n v="10762"/>
    <x v="3"/>
    <n v="124558.78"/>
    <x v="0"/>
    <n v="3"/>
    <x v="0"/>
    <d v="2024-10-15T00:00:00"/>
    <d v="2024-10-18T00:00:00"/>
    <x v="6"/>
  </r>
  <r>
    <n v="56"/>
    <n v="19552"/>
    <x v="2"/>
    <n v="108545.61"/>
    <x v="0"/>
    <n v="27"/>
    <x v="1"/>
    <d v="2024-10-01T00:00:00"/>
    <d v="2024-10-28T00:00:00"/>
    <x v="6"/>
  </r>
  <r>
    <n v="57"/>
    <n v="14335"/>
    <x v="1"/>
    <n v="138178.06"/>
    <x v="0"/>
    <n v="20"/>
    <x v="1"/>
    <d v="2024-11-08T00:00:00"/>
    <d v="2024-11-28T00:00:00"/>
    <x v="1"/>
  </r>
  <r>
    <n v="58"/>
    <n v="16520"/>
    <x v="3"/>
    <n v="129291.22"/>
    <x v="0"/>
    <n v="43"/>
    <x v="2"/>
    <d v="2024-01-15T00:00:00"/>
    <d v="2024-02-27T00:00:00"/>
    <x v="0"/>
  </r>
  <r>
    <n v="59"/>
    <n v="12051"/>
    <x v="3"/>
    <n v="176858.35"/>
    <x v="0"/>
    <n v="29"/>
    <x v="0"/>
    <d v="2024-02-10T00:00:00"/>
    <d v="2024-03-10T00:00:00"/>
    <x v="4"/>
  </r>
  <r>
    <n v="60"/>
    <n v="16989"/>
    <x v="1"/>
    <n v="119273.19"/>
    <x v="1"/>
    <n v="30"/>
    <x v="2"/>
    <d v="2024-07-26T00:00:00"/>
    <d v="2024-08-25T00:00:00"/>
    <x v="2"/>
  </r>
  <r>
    <n v="61"/>
    <n v="18388"/>
    <x v="1"/>
    <n v="156827.26"/>
    <x v="1"/>
    <n v="6"/>
    <x v="0"/>
    <d v="2024-02-29T00:00:00"/>
    <d v="2024-03-06T00:00:00"/>
    <x v="4"/>
  </r>
  <r>
    <n v="62"/>
    <n v="17807"/>
    <x v="1"/>
    <n v="53497.9"/>
    <x v="0"/>
    <n v="44"/>
    <x v="0"/>
    <d v="2024-12-30T00:00:00"/>
    <d v="2025-02-12T00:00:00"/>
    <x v="11"/>
  </r>
  <r>
    <n v="63"/>
    <n v="10260"/>
    <x v="3"/>
    <n v="137245.6"/>
    <x v="0"/>
    <n v="29"/>
    <x v="2"/>
    <d v="2024-08-27T00:00:00"/>
    <d v="2024-09-25T00:00:00"/>
    <x v="8"/>
  </r>
  <r>
    <n v="64"/>
    <n v="16746"/>
    <x v="3"/>
    <n v="180927.85"/>
    <x v="1"/>
    <n v="42"/>
    <x v="2"/>
    <d v="2024-04-05T00:00:00"/>
    <d v="2024-05-17T00:00:00"/>
    <x v="10"/>
  </r>
  <r>
    <n v="65"/>
    <n v="15890"/>
    <x v="3"/>
    <n v="80217.8"/>
    <x v="0"/>
    <n v="27"/>
    <x v="0"/>
    <d v="2024-10-04T00:00:00"/>
    <d v="2024-10-31T00:00:00"/>
    <x v="6"/>
  </r>
  <r>
    <n v="66"/>
    <n v="16053"/>
    <x v="3"/>
    <n v="156925.32"/>
    <x v="1"/>
    <n v="6"/>
    <x v="3"/>
    <d v="2024-06-08T00:00:00"/>
    <d v="2024-06-14T00:00:00"/>
    <x v="7"/>
  </r>
  <r>
    <n v="67"/>
    <n v="11280"/>
    <x v="3"/>
    <n v="146333.91"/>
    <x v="2"/>
    <m/>
    <x v="1"/>
    <d v="2024-10-08T00:00:00"/>
    <m/>
    <x v="6"/>
  </r>
  <r>
    <n v="68"/>
    <n v="10135"/>
    <x v="3"/>
    <n v="16607.61"/>
    <x v="0"/>
    <n v="10"/>
    <x v="2"/>
    <d v="2024-07-27T00:00:00"/>
    <d v="2024-08-06T00:00:00"/>
    <x v="2"/>
  </r>
  <r>
    <n v="69"/>
    <n v="16099"/>
    <x v="0"/>
    <n v="118394.12"/>
    <x v="1"/>
    <n v="33"/>
    <x v="1"/>
    <d v="2024-05-12T00:00:00"/>
    <d v="2024-06-14T00:00:00"/>
    <x v="3"/>
  </r>
  <r>
    <n v="70"/>
    <n v="17877"/>
    <x v="2"/>
    <n v="30386.92"/>
    <x v="0"/>
    <n v="27"/>
    <x v="3"/>
    <d v="2024-04-06T00:00:00"/>
    <d v="2024-05-03T00:00:00"/>
    <x v="10"/>
  </r>
  <r>
    <n v="71"/>
    <n v="12545"/>
    <x v="3"/>
    <n v="193627.24"/>
    <x v="0"/>
    <n v="38"/>
    <x v="3"/>
    <d v="2024-08-06T00:00:00"/>
    <d v="2024-09-13T00:00:00"/>
    <x v="8"/>
  </r>
  <r>
    <n v="72"/>
    <n v="18560"/>
    <x v="2"/>
    <n v="163224.46"/>
    <x v="0"/>
    <n v="16"/>
    <x v="3"/>
    <d v="2024-03-11T00:00:00"/>
    <d v="2024-03-27T00:00:00"/>
    <x v="5"/>
  </r>
  <r>
    <n v="73"/>
    <n v="13662"/>
    <x v="3"/>
    <n v="26396.14"/>
    <x v="0"/>
    <n v="42"/>
    <x v="2"/>
    <d v="2024-09-30T00:00:00"/>
    <d v="2024-11-11T00:00:00"/>
    <x v="9"/>
  </r>
  <r>
    <n v="74"/>
    <n v="16729"/>
    <x v="3"/>
    <n v="28741.64"/>
    <x v="1"/>
    <n v="5"/>
    <x v="3"/>
    <d v="2024-12-16T00:00:00"/>
    <d v="2024-12-21T00:00:00"/>
    <x v="11"/>
  </r>
  <r>
    <n v="75"/>
    <n v="13454"/>
    <x v="3"/>
    <n v="120922.4"/>
    <x v="0"/>
    <n v="37"/>
    <x v="2"/>
    <d v="2024-05-13T00:00:00"/>
    <d v="2024-06-19T00:00:00"/>
    <x v="3"/>
  </r>
  <r>
    <n v="76"/>
    <n v="14808"/>
    <x v="1"/>
    <n v="72253.39"/>
    <x v="0"/>
    <n v="21"/>
    <x v="3"/>
    <d v="2024-03-06T00:00:00"/>
    <d v="2024-03-27T00:00:00"/>
    <x v="5"/>
  </r>
  <r>
    <n v="77"/>
    <n v="18048"/>
    <x v="2"/>
    <n v="11806.64"/>
    <x v="0"/>
    <n v="28"/>
    <x v="1"/>
    <d v="2024-05-06T00:00:00"/>
    <d v="2024-06-03T00:00:00"/>
    <x v="3"/>
  </r>
  <r>
    <n v="78"/>
    <n v="16520"/>
    <x v="1"/>
    <n v="110620.09"/>
    <x v="1"/>
    <n v="22"/>
    <x v="1"/>
    <d v="2024-07-23T00:00:00"/>
    <d v="2024-08-14T00:00:00"/>
    <x v="2"/>
  </r>
  <r>
    <n v="79"/>
    <n v="10544"/>
    <x v="3"/>
    <n v="80629.789999999994"/>
    <x v="2"/>
    <m/>
    <x v="0"/>
    <d v="2024-10-24T00:00:00"/>
    <m/>
    <x v="6"/>
  </r>
  <r>
    <n v="80"/>
    <n v="16216"/>
    <x v="1"/>
    <n v="24709.919999999998"/>
    <x v="1"/>
    <n v="8"/>
    <x v="1"/>
    <d v="2024-04-26T00:00:00"/>
    <d v="2024-05-04T00:00:00"/>
    <x v="10"/>
  </r>
  <r>
    <n v="81"/>
    <n v="17117"/>
    <x v="3"/>
    <n v="161374.48000000001"/>
    <x v="0"/>
    <n v="32"/>
    <x v="0"/>
    <d v="2024-09-23T00:00:00"/>
    <d v="2024-10-25T00:00:00"/>
    <x v="9"/>
  </r>
  <r>
    <n v="82"/>
    <n v="14599"/>
    <x v="0"/>
    <n v="183439.97"/>
    <x v="0"/>
    <n v="18"/>
    <x v="1"/>
    <d v="2024-10-08T00:00:00"/>
    <d v="2024-10-26T00:00:00"/>
    <x v="6"/>
  </r>
  <r>
    <n v="83"/>
    <n v="13423"/>
    <x v="1"/>
    <n v="152535.82"/>
    <x v="0"/>
    <n v="8"/>
    <x v="2"/>
    <d v="2024-05-28T00:00:00"/>
    <d v="2024-06-05T00:00:00"/>
    <x v="3"/>
  </r>
  <r>
    <n v="84"/>
    <n v="14805"/>
    <x v="3"/>
    <n v="165372.35"/>
    <x v="0"/>
    <n v="20"/>
    <x v="1"/>
    <d v="2024-07-12T00:00:00"/>
    <d v="2024-08-01T00:00:00"/>
    <x v="2"/>
  </r>
  <r>
    <n v="85"/>
    <n v="14483"/>
    <x v="1"/>
    <n v="47215.66"/>
    <x v="0"/>
    <n v="29"/>
    <x v="0"/>
    <d v="2024-06-16T00:00:00"/>
    <d v="2024-07-15T00:00:00"/>
    <x v="7"/>
  </r>
  <r>
    <n v="86"/>
    <n v="16971"/>
    <x v="1"/>
    <n v="56396.73"/>
    <x v="0"/>
    <n v="11"/>
    <x v="0"/>
    <d v="2024-11-07T00:00:00"/>
    <d v="2024-11-18T00:00:00"/>
    <x v="1"/>
  </r>
  <r>
    <n v="87"/>
    <n v="17119"/>
    <x v="3"/>
    <n v="45662.87"/>
    <x v="0"/>
    <n v="28"/>
    <x v="3"/>
    <d v="2024-06-27T00:00:00"/>
    <d v="2024-07-25T00:00:00"/>
    <x v="7"/>
  </r>
  <r>
    <n v="88"/>
    <n v="11097"/>
    <x v="1"/>
    <n v="154187.37"/>
    <x v="1"/>
    <n v="14"/>
    <x v="2"/>
    <d v="2024-05-27T00:00:00"/>
    <d v="2024-06-10T00:00:00"/>
    <x v="3"/>
  </r>
  <r>
    <n v="89"/>
    <n v="16860"/>
    <x v="3"/>
    <n v="189843.83"/>
    <x v="0"/>
    <n v="3"/>
    <x v="1"/>
    <d v="2024-02-26T00:00:00"/>
    <d v="2024-02-29T00:00:00"/>
    <x v="4"/>
  </r>
  <r>
    <n v="90"/>
    <n v="15435"/>
    <x v="1"/>
    <n v="144783.26"/>
    <x v="0"/>
    <n v="23"/>
    <x v="3"/>
    <d v="2024-01-05T00:00:00"/>
    <d v="2024-01-28T00:00:00"/>
    <x v="0"/>
  </r>
  <r>
    <n v="91"/>
    <n v="11943"/>
    <x v="0"/>
    <n v="176886.02"/>
    <x v="0"/>
    <n v="21"/>
    <x v="1"/>
    <d v="2024-01-14T00:00:00"/>
    <d v="2024-02-04T00:00:00"/>
    <x v="0"/>
  </r>
  <r>
    <n v="92"/>
    <n v="11719"/>
    <x v="0"/>
    <n v="129546.32"/>
    <x v="1"/>
    <n v="44"/>
    <x v="1"/>
    <d v="2024-10-06T00:00:00"/>
    <d v="2024-11-19T00:00:00"/>
    <x v="6"/>
  </r>
  <r>
    <n v="93"/>
    <n v="15768"/>
    <x v="1"/>
    <n v="80593.679999999993"/>
    <x v="1"/>
    <n v="6"/>
    <x v="3"/>
    <d v="2024-11-19T00:00:00"/>
    <d v="2024-11-25T00:00:00"/>
    <x v="1"/>
  </r>
  <r>
    <n v="94"/>
    <n v="18482"/>
    <x v="1"/>
    <n v="88023.51"/>
    <x v="1"/>
    <n v="7"/>
    <x v="3"/>
    <d v="2024-10-30T00:00:00"/>
    <d v="2024-11-06T00:00:00"/>
    <x v="6"/>
  </r>
  <r>
    <n v="95"/>
    <n v="19166"/>
    <x v="3"/>
    <n v="19687.68"/>
    <x v="0"/>
    <n v="36"/>
    <x v="3"/>
    <d v="2024-08-03T00:00:00"/>
    <d v="2024-09-08T00:00:00"/>
    <x v="8"/>
  </r>
  <r>
    <n v="96"/>
    <n v="10414"/>
    <x v="1"/>
    <n v="11134.15"/>
    <x v="2"/>
    <m/>
    <x v="3"/>
    <d v="2024-06-23T00:00:00"/>
    <m/>
    <x v="7"/>
  </r>
  <r>
    <n v="97"/>
    <n v="19042"/>
    <x v="3"/>
    <n v="140617.74"/>
    <x v="0"/>
    <n v="36"/>
    <x v="3"/>
    <d v="2024-11-11T00:00:00"/>
    <d v="2024-12-17T00:00:00"/>
    <x v="1"/>
  </r>
  <r>
    <n v="98"/>
    <n v="17105"/>
    <x v="3"/>
    <n v="90493.63"/>
    <x v="0"/>
    <n v="4"/>
    <x v="1"/>
    <d v="2024-01-03T00:00:00"/>
    <d v="2024-01-07T00:00:00"/>
    <x v="0"/>
  </r>
  <r>
    <n v="99"/>
    <n v="12728"/>
    <x v="3"/>
    <n v="112681.94"/>
    <x v="2"/>
    <m/>
    <x v="3"/>
    <d v="2024-05-16T00:00:00"/>
    <m/>
    <x v="3"/>
  </r>
  <r>
    <n v="100"/>
    <n v="17203"/>
    <x v="3"/>
    <n v="113743.94"/>
    <x v="0"/>
    <n v="8"/>
    <x v="2"/>
    <d v="2024-04-09T00:00:00"/>
    <d v="2024-04-17T00:00:00"/>
    <x v="10"/>
  </r>
  <r>
    <n v="101"/>
    <n v="14641"/>
    <x v="1"/>
    <n v="59088.28"/>
    <x v="0"/>
    <n v="30"/>
    <x v="0"/>
    <d v="2024-03-23T00:00:00"/>
    <d v="2024-04-22T00:00:00"/>
    <x v="5"/>
  </r>
  <r>
    <n v="102"/>
    <n v="10741"/>
    <x v="3"/>
    <n v="97799.039999999994"/>
    <x v="0"/>
    <n v="16"/>
    <x v="3"/>
    <d v="2024-10-06T00:00:00"/>
    <d v="2024-10-22T00:00:00"/>
    <x v="6"/>
  </r>
  <r>
    <n v="103"/>
    <n v="10591"/>
    <x v="1"/>
    <n v="96798.24"/>
    <x v="0"/>
    <n v="12"/>
    <x v="3"/>
    <d v="2024-05-11T00:00:00"/>
    <d v="2024-05-23T00:00:00"/>
    <x v="3"/>
  </r>
  <r>
    <n v="104"/>
    <n v="10749"/>
    <x v="3"/>
    <n v="80743.31"/>
    <x v="2"/>
    <m/>
    <x v="1"/>
    <d v="2024-01-01T00:00:00"/>
    <m/>
    <x v="0"/>
  </r>
  <r>
    <n v="105"/>
    <n v="12219"/>
    <x v="3"/>
    <n v="165031.70000000001"/>
    <x v="0"/>
    <n v="5"/>
    <x v="3"/>
    <d v="2024-04-25T00:00:00"/>
    <d v="2024-04-30T00:00:00"/>
    <x v="10"/>
  </r>
  <r>
    <n v="106"/>
    <n v="19029"/>
    <x v="1"/>
    <n v="92976.98"/>
    <x v="0"/>
    <n v="25"/>
    <x v="3"/>
    <d v="2024-07-20T00:00:00"/>
    <d v="2024-08-14T00:00:00"/>
    <x v="2"/>
  </r>
  <r>
    <n v="107"/>
    <n v="18725"/>
    <x v="3"/>
    <n v="122710.68"/>
    <x v="0"/>
    <n v="12"/>
    <x v="3"/>
    <d v="2024-05-19T00:00:00"/>
    <d v="2024-05-31T00:00:00"/>
    <x v="3"/>
  </r>
  <r>
    <n v="108"/>
    <n v="14460"/>
    <x v="3"/>
    <n v="179626.42"/>
    <x v="0"/>
    <n v="7"/>
    <x v="1"/>
    <d v="2024-05-25T00:00:00"/>
    <d v="2024-06-01T00:00:00"/>
    <x v="3"/>
  </r>
  <r>
    <n v="109"/>
    <n v="17511"/>
    <x v="1"/>
    <n v="173915.56"/>
    <x v="0"/>
    <n v="19"/>
    <x v="3"/>
    <d v="2024-09-22T00:00:00"/>
    <d v="2024-10-11T00:00:00"/>
    <x v="9"/>
  </r>
  <r>
    <n v="110"/>
    <n v="19965"/>
    <x v="3"/>
    <n v="178632.33"/>
    <x v="0"/>
    <n v="16"/>
    <x v="0"/>
    <d v="2024-07-20T00:00:00"/>
    <d v="2024-08-05T00:00:00"/>
    <x v="2"/>
  </r>
  <r>
    <n v="111"/>
    <n v="17508"/>
    <x v="0"/>
    <n v="57650.97"/>
    <x v="0"/>
    <n v="4"/>
    <x v="1"/>
    <d v="2024-05-31T00:00:00"/>
    <d v="2024-06-04T00:00:00"/>
    <x v="3"/>
  </r>
  <r>
    <n v="112"/>
    <n v="12653"/>
    <x v="3"/>
    <n v="11821.59"/>
    <x v="0"/>
    <n v="18"/>
    <x v="0"/>
    <d v="2024-08-09T00:00:00"/>
    <d v="2024-08-27T00:00:00"/>
    <x v="8"/>
  </r>
  <r>
    <n v="113"/>
    <n v="12570"/>
    <x v="3"/>
    <n v="55908.03"/>
    <x v="2"/>
    <m/>
    <x v="1"/>
    <d v="2024-03-19T00:00:00"/>
    <m/>
    <x v="5"/>
  </r>
  <r>
    <n v="114"/>
    <n v="15748"/>
    <x v="1"/>
    <n v="59347.93"/>
    <x v="0"/>
    <n v="35"/>
    <x v="3"/>
    <d v="2024-07-18T00:00:00"/>
    <d v="2024-08-22T00:00:00"/>
    <x v="2"/>
  </r>
  <r>
    <n v="115"/>
    <n v="10264"/>
    <x v="3"/>
    <n v="182325.26"/>
    <x v="0"/>
    <n v="31"/>
    <x v="0"/>
    <d v="2024-09-06T00:00:00"/>
    <d v="2024-10-07T00:00:00"/>
    <x v="9"/>
  </r>
  <r>
    <n v="116"/>
    <n v="13595"/>
    <x v="3"/>
    <n v="131602.32999999999"/>
    <x v="0"/>
    <n v="20"/>
    <x v="1"/>
    <d v="2024-04-08T00:00:00"/>
    <d v="2024-04-28T00:00:00"/>
    <x v="10"/>
  </r>
  <r>
    <n v="117"/>
    <n v="12034"/>
    <x v="3"/>
    <n v="20932.27"/>
    <x v="0"/>
    <n v="10"/>
    <x v="2"/>
    <d v="2024-07-31T00:00:00"/>
    <d v="2024-08-10T00:00:00"/>
    <x v="2"/>
  </r>
  <r>
    <n v="118"/>
    <n v="13202"/>
    <x v="3"/>
    <n v="31398.83"/>
    <x v="1"/>
    <n v="41"/>
    <x v="3"/>
    <d v="2024-05-22T00:00:00"/>
    <d v="2024-07-02T00:00:00"/>
    <x v="3"/>
  </r>
  <r>
    <n v="119"/>
    <n v="18573"/>
    <x v="0"/>
    <n v="35356.839999999997"/>
    <x v="2"/>
    <m/>
    <x v="1"/>
    <d v="2024-07-08T00:00:00"/>
    <m/>
    <x v="2"/>
  </r>
  <r>
    <n v="120"/>
    <n v="19358"/>
    <x v="3"/>
    <n v="127932.24"/>
    <x v="0"/>
    <n v="28"/>
    <x v="2"/>
    <d v="2024-10-27T00:00:00"/>
    <d v="2024-11-24T00:00:00"/>
    <x v="6"/>
  </r>
  <r>
    <n v="121"/>
    <n v="10388"/>
    <x v="1"/>
    <n v="148405.73000000001"/>
    <x v="1"/>
    <n v="26"/>
    <x v="1"/>
    <d v="2024-02-21T00:00:00"/>
    <d v="2024-03-18T00:00:00"/>
    <x v="4"/>
  </r>
  <r>
    <n v="122"/>
    <n v="16197"/>
    <x v="0"/>
    <n v="172630.56"/>
    <x v="0"/>
    <n v="8"/>
    <x v="2"/>
    <d v="2024-04-21T00:00:00"/>
    <d v="2024-04-29T00:00:00"/>
    <x v="10"/>
  </r>
  <r>
    <n v="123"/>
    <n v="12071"/>
    <x v="3"/>
    <n v="188424.13"/>
    <x v="0"/>
    <n v="8"/>
    <x v="3"/>
    <d v="2024-05-14T00:00:00"/>
    <d v="2024-05-22T00:00:00"/>
    <x v="3"/>
  </r>
  <r>
    <n v="124"/>
    <n v="18586"/>
    <x v="2"/>
    <n v="44332.39"/>
    <x v="0"/>
    <n v="21"/>
    <x v="0"/>
    <d v="2024-04-21T00:00:00"/>
    <d v="2024-05-12T00:00:00"/>
    <x v="10"/>
  </r>
  <r>
    <n v="125"/>
    <n v="17840"/>
    <x v="3"/>
    <n v="65405.63"/>
    <x v="0"/>
    <n v="44"/>
    <x v="2"/>
    <d v="2024-01-13T00:00:00"/>
    <d v="2024-02-26T00:00:00"/>
    <x v="0"/>
  </r>
  <r>
    <n v="126"/>
    <n v="13256"/>
    <x v="2"/>
    <n v="51862.96"/>
    <x v="0"/>
    <n v="37"/>
    <x v="1"/>
    <d v="2024-09-29T00:00:00"/>
    <d v="2024-11-05T00:00:00"/>
    <x v="9"/>
  </r>
  <r>
    <n v="127"/>
    <n v="14019"/>
    <x v="3"/>
    <n v="74958.509999999995"/>
    <x v="1"/>
    <n v="20"/>
    <x v="3"/>
    <d v="2024-08-20T00:00:00"/>
    <d v="2024-09-09T00:00:00"/>
    <x v="8"/>
  </r>
  <r>
    <n v="128"/>
    <n v="16058"/>
    <x v="1"/>
    <n v="183359.7"/>
    <x v="0"/>
    <n v="3"/>
    <x v="2"/>
    <d v="2024-02-13T00:00:00"/>
    <d v="2024-02-16T00:00:00"/>
    <x v="4"/>
  </r>
  <r>
    <n v="129"/>
    <n v="16630"/>
    <x v="3"/>
    <n v="117146.95"/>
    <x v="2"/>
    <m/>
    <x v="1"/>
    <d v="2024-03-13T00:00:00"/>
    <m/>
    <x v="5"/>
  </r>
  <r>
    <n v="130"/>
    <n v="12859"/>
    <x v="3"/>
    <n v="148947.42000000001"/>
    <x v="1"/>
    <n v="18"/>
    <x v="1"/>
    <d v="2024-09-17T00:00:00"/>
    <d v="2024-10-05T00:00:00"/>
    <x v="9"/>
  </r>
  <r>
    <n v="131"/>
    <n v="12393"/>
    <x v="1"/>
    <n v="100573.25"/>
    <x v="0"/>
    <n v="25"/>
    <x v="1"/>
    <d v="2024-08-18T00:00:00"/>
    <d v="2024-09-12T00:00:00"/>
    <x v="8"/>
  </r>
  <r>
    <n v="132"/>
    <n v="16819"/>
    <x v="1"/>
    <n v="10627.29"/>
    <x v="0"/>
    <n v="10"/>
    <x v="2"/>
    <d v="2024-02-02T00:00:00"/>
    <d v="2024-02-12T00:00:00"/>
    <x v="4"/>
  </r>
  <r>
    <n v="133"/>
    <n v="16071"/>
    <x v="3"/>
    <n v="17518.12"/>
    <x v="0"/>
    <n v="2"/>
    <x v="2"/>
    <d v="2024-03-08T00:00:00"/>
    <d v="2024-03-10T00:00:00"/>
    <x v="5"/>
  </r>
  <r>
    <n v="134"/>
    <n v="12050"/>
    <x v="3"/>
    <n v="109894.99"/>
    <x v="2"/>
    <m/>
    <x v="2"/>
    <d v="2024-01-16T00:00:00"/>
    <m/>
    <x v="0"/>
  </r>
  <r>
    <n v="135"/>
    <n v="13121"/>
    <x v="1"/>
    <n v="145163.85999999999"/>
    <x v="0"/>
    <n v="29"/>
    <x v="0"/>
    <d v="2024-05-29T00:00:00"/>
    <d v="2024-06-27T00:00:00"/>
    <x v="3"/>
  </r>
  <r>
    <n v="136"/>
    <n v="19116"/>
    <x v="1"/>
    <n v="46989.45"/>
    <x v="0"/>
    <n v="16"/>
    <x v="2"/>
    <d v="2024-10-18T00:00:00"/>
    <d v="2024-11-03T00:00:00"/>
    <x v="6"/>
  </r>
  <r>
    <n v="137"/>
    <n v="14971"/>
    <x v="2"/>
    <n v="145772.37"/>
    <x v="0"/>
    <n v="22"/>
    <x v="2"/>
    <d v="2024-04-11T00:00:00"/>
    <d v="2024-05-03T00:00:00"/>
    <x v="10"/>
  </r>
  <r>
    <n v="138"/>
    <n v="17695"/>
    <x v="1"/>
    <n v="163079.82999999999"/>
    <x v="0"/>
    <n v="16"/>
    <x v="2"/>
    <d v="2024-07-04T00:00:00"/>
    <d v="2024-07-20T00:00:00"/>
    <x v="2"/>
  </r>
  <r>
    <n v="139"/>
    <n v="13354"/>
    <x v="2"/>
    <n v="85320.01"/>
    <x v="0"/>
    <n v="24"/>
    <x v="0"/>
    <d v="2024-01-25T00:00:00"/>
    <d v="2024-02-18T00:00:00"/>
    <x v="0"/>
  </r>
  <r>
    <n v="140"/>
    <n v="14474"/>
    <x v="1"/>
    <n v="150551.75"/>
    <x v="0"/>
    <n v="3"/>
    <x v="2"/>
    <d v="2024-03-12T00:00:00"/>
    <d v="2024-03-15T00:00:00"/>
    <x v="5"/>
  </r>
  <r>
    <n v="141"/>
    <n v="13397"/>
    <x v="3"/>
    <n v="83785.84"/>
    <x v="0"/>
    <n v="37"/>
    <x v="1"/>
    <d v="2024-03-21T00:00:00"/>
    <d v="2024-04-27T00:00:00"/>
    <x v="5"/>
  </r>
  <r>
    <n v="142"/>
    <n v="15417"/>
    <x v="3"/>
    <n v="137278.37"/>
    <x v="0"/>
    <n v="10"/>
    <x v="2"/>
    <d v="2024-03-01T00:00:00"/>
    <d v="2024-03-11T00:00:00"/>
    <x v="5"/>
  </r>
  <r>
    <n v="143"/>
    <n v="13768"/>
    <x v="1"/>
    <n v="153979.42000000001"/>
    <x v="0"/>
    <n v="3"/>
    <x v="1"/>
    <d v="2024-01-18T00:00:00"/>
    <d v="2024-01-21T00:00:00"/>
    <x v="0"/>
  </r>
  <r>
    <n v="144"/>
    <n v="16281"/>
    <x v="1"/>
    <n v="198425.69"/>
    <x v="0"/>
    <n v="3"/>
    <x v="1"/>
    <d v="2024-08-29T00:00:00"/>
    <d v="2024-09-01T00:00:00"/>
    <x v="8"/>
  </r>
  <r>
    <n v="145"/>
    <n v="12981"/>
    <x v="3"/>
    <n v="72352.350000000006"/>
    <x v="0"/>
    <n v="19"/>
    <x v="1"/>
    <d v="2024-02-27T00:00:00"/>
    <d v="2024-03-17T00:00:00"/>
    <x v="4"/>
  </r>
  <r>
    <n v="146"/>
    <n v="15521"/>
    <x v="3"/>
    <n v="85152.95"/>
    <x v="0"/>
    <n v="18"/>
    <x v="0"/>
    <d v="2024-11-27T00:00:00"/>
    <d v="2024-12-15T00:00:00"/>
    <x v="1"/>
  </r>
  <r>
    <n v="147"/>
    <n v="13472"/>
    <x v="2"/>
    <n v="37295.910000000003"/>
    <x v="0"/>
    <n v="42"/>
    <x v="0"/>
    <d v="2024-02-26T00:00:00"/>
    <d v="2024-04-08T00:00:00"/>
    <x v="4"/>
  </r>
  <r>
    <n v="148"/>
    <n v="12617"/>
    <x v="1"/>
    <n v="44794.25"/>
    <x v="0"/>
    <n v="9"/>
    <x v="0"/>
    <d v="2024-04-06T00:00:00"/>
    <d v="2024-04-15T00:00:00"/>
    <x v="10"/>
  </r>
  <r>
    <n v="149"/>
    <n v="15481"/>
    <x v="3"/>
    <n v="140212.03"/>
    <x v="0"/>
    <n v="35"/>
    <x v="2"/>
    <d v="2024-08-02T00:00:00"/>
    <d v="2024-09-06T00:00:00"/>
    <x v="8"/>
  </r>
  <r>
    <n v="150"/>
    <n v="16209"/>
    <x v="3"/>
    <n v="183823.89"/>
    <x v="0"/>
    <n v="35"/>
    <x v="1"/>
    <d v="2024-11-14T00:00:00"/>
    <d v="2024-12-19T00:00:00"/>
    <x v="1"/>
  </r>
  <r>
    <n v="151"/>
    <n v="13499"/>
    <x v="3"/>
    <n v="81947.97"/>
    <x v="0"/>
    <n v="6"/>
    <x v="0"/>
    <d v="2024-01-12T00:00:00"/>
    <d v="2024-01-18T00:00:00"/>
    <x v="0"/>
  </r>
  <r>
    <n v="152"/>
    <n v="16995"/>
    <x v="3"/>
    <n v="40069.67"/>
    <x v="0"/>
    <n v="30"/>
    <x v="0"/>
    <d v="2024-01-11T00:00:00"/>
    <d v="2024-02-10T00:00:00"/>
    <x v="0"/>
  </r>
  <r>
    <n v="153"/>
    <n v="17881"/>
    <x v="3"/>
    <n v="60594.400000000001"/>
    <x v="0"/>
    <n v="29"/>
    <x v="2"/>
    <d v="2024-06-11T00:00:00"/>
    <d v="2024-07-10T00:00:00"/>
    <x v="7"/>
  </r>
  <r>
    <n v="154"/>
    <n v="13592"/>
    <x v="3"/>
    <n v="93735.08"/>
    <x v="1"/>
    <n v="17"/>
    <x v="0"/>
    <d v="2024-10-09T00:00:00"/>
    <d v="2024-10-26T00:00:00"/>
    <x v="6"/>
  </r>
  <r>
    <n v="155"/>
    <n v="18623"/>
    <x v="1"/>
    <n v="61676.81"/>
    <x v="1"/>
    <n v="15"/>
    <x v="2"/>
    <d v="2024-08-04T00:00:00"/>
    <d v="2024-08-19T00:00:00"/>
    <x v="8"/>
  </r>
  <r>
    <n v="156"/>
    <n v="16054"/>
    <x v="3"/>
    <n v="50547.92"/>
    <x v="1"/>
    <n v="3"/>
    <x v="3"/>
    <d v="2024-12-25T00:00:00"/>
    <d v="2024-12-28T00:00:00"/>
    <x v="11"/>
  </r>
  <r>
    <n v="157"/>
    <n v="17272"/>
    <x v="0"/>
    <n v="148516.98000000001"/>
    <x v="1"/>
    <n v="41"/>
    <x v="0"/>
    <d v="2024-11-18T00:00:00"/>
    <d v="2024-12-29T00:00:00"/>
    <x v="1"/>
  </r>
  <r>
    <n v="158"/>
    <n v="19304"/>
    <x v="0"/>
    <n v="6529.76"/>
    <x v="0"/>
    <n v="5"/>
    <x v="3"/>
    <d v="2024-08-28T00:00:00"/>
    <d v="2024-09-02T00:00:00"/>
    <x v="8"/>
  </r>
  <r>
    <n v="159"/>
    <n v="14696"/>
    <x v="3"/>
    <n v="110149.95"/>
    <x v="0"/>
    <n v="42"/>
    <x v="2"/>
    <d v="2024-12-10T00:00:00"/>
    <d v="2025-01-21T00:00:00"/>
    <x v="11"/>
  </r>
  <r>
    <n v="160"/>
    <n v="17546"/>
    <x v="1"/>
    <n v="159784.53"/>
    <x v="0"/>
    <n v="32"/>
    <x v="1"/>
    <d v="2024-02-14T00:00:00"/>
    <d v="2024-03-17T00:00:00"/>
    <x v="4"/>
  </r>
  <r>
    <n v="161"/>
    <n v="16473"/>
    <x v="3"/>
    <n v="56914.52"/>
    <x v="0"/>
    <n v="27"/>
    <x v="0"/>
    <d v="2024-03-21T00:00:00"/>
    <d v="2024-04-17T00:00:00"/>
    <x v="5"/>
  </r>
  <r>
    <n v="162"/>
    <n v="15222"/>
    <x v="0"/>
    <n v="122641.84"/>
    <x v="0"/>
    <n v="28"/>
    <x v="2"/>
    <d v="2024-09-11T00:00:00"/>
    <d v="2024-10-09T00:00:00"/>
    <x v="9"/>
  </r>
  <r>
    <n v="163"/>
    <n v="12449"/>
    <x v="3"/>
    <n v="135435.51999999999"/>
    <x v="1"/>
    <n v="35"/>
    <x v="1"/>
    <d v="2024-03-07T00:00:00"/>
    <d v="2024-04-11T00:00:00"/>
    <x v="5"/>
  </r>
  <r>
    <n v="164"/>
    <n v="15802"/>
    <x v="1"/>
    <n v="132729.82"/>
    <x v="0"/>
    <n v="32"/>
    <x v="1"/>
    <d v="2024-04-11T00:00:00"/>
    <d v="2024-05-13T00:00:00"/>
    <x v="10"/>
  </r>
  <r>
    <n v="165"/>
    <n v="10544"/>
    <x v="1"/>
    <n v="91940.68"/>
    <x v="0"/>
    <n v="12"/>
    <x v="3"/>
    <d v="2024-03-31T00:00:00"/>
    <d v="2024-04-12T00:00:00"/>
    <x v="5"/>
  </r>
  <r>
    <n v="166"/>
    <n v="16652"/>
    <x v="3"/>
    <n v="72582.710000000006"/>
    <x v="0"/>
    <n v="9"/>
    <x v="2"/>
    <d v="2024-02-11T00:00:00"/>
    <d v="2024-02-20T00:00:00"/>
    <x v="4"/>
  </r>
  <r>
    <n v="167"/>
    <n v="16327"/>
    <x v="3"/>
    <n v="168005.19"/>
    <x v="0"/>
    <n v="13"/>
    <x v="1"/>
    <d v="2024-10-02T00:00:00"/>
    <d v="2024-10-15T00:00:00"/>
    <x v="6"/>
  </r>
  <r>
    <n v="168"/>
    <n v="17058"/>
    <x v="1"/>
    <n v="152896.95999999999"/>
    <x v="0"/>
    <n v="36"/>
    <x v="0"/>
    <d v="2024-10-30T00:00:00"/>
    <d v="2024-12-05T00:00:00"/>
    <x v="6"/>
  </r>
  <r>
    <n v="169"/>
    <n v="12628"/>
    <x v="1"/>
    <n v="67644.759999999995"/>
    <x v="1"/>
    <n v="35"/>
    <x v="0"/>
    <d v="2024-09-30T00:00:00"/>
    <d v="2024-11-04T00:00:00"/>
    <x v="9"/>
  </r>
  <r>
    <n v="170"/>
    <n v="13451"/>
    <x v="3"/>
    <n v="25088.74"/>
    <x v="0"/>
    <n v="14"/>
    <x v="3"/>
    <d v="2024-03-17T00:00:00"/>
    <d v="2024-03-31T00:00:00"/>
    <x v="5"/>
  </r>
  <r>
    <n v="171"/>
    <n v="18729"/>
    <x v="1"/>
    <n v="19002.47"/>
    <x v="1"/>
    <n v="28"/>
    <x v="1"/>
    <d v="2024-08-21T00:00:00"/>
    <d v="2024-09-18T00:00:00"/>
    <x v="8"/>
  </r>
  <r>
    <n v="172"/>
    <n v="11436"/>
    <x v="3"/>
    <n v="23383.82"/>
    <x v="0"/>
    <n v="9"/>
    <x v="2"/>
    <d v="2024-07-20T00:00:00"/>
    <d v="2024-07-29T00:00:00"/>
    <x v="2"/>
  </r>
  <r>
    <n v="173"/>
    <n v="18087"/>
    <x v="1"/>
    <n v="118659.53"/>
    <x v="1"/>
    <n v="22"/>
    <x v="0"/>
    <d v="2024-08-08T00:00:00"/>
    <d v="2024-08-30T00:00:00"/>
    <x v="8"/>
  </r>
  <r>
    <n v="174"/>
    <n v="16661"/>
    <x v="3"/>
    <n v="15074.12"/>
    <x v="0"/>
    <n v="42"/>
    <x v="1"/>
    <d v="2024-09-18T00:00:00"/>
    <d v="2024-10-30T00:00:00"/>
    <x v="9"/>
  </r>
  <r>
    <n v="175"/>
    <n v="13062"/>
    <x v="0"/>
    <n v="70700.740000000005"/>
    <x v="0"/>
    <n v="12"/>
    <x v="1"/>
    <d v="2024-02-08T00:00:00"/>
    <d v="2024-02-20T00:00:00"/>
    <x v="4"/>
  </r>
  <r>
    <n v="176"/>
    <n v="10259"/>
    <x v="3"/>
    <n v="151873.94"/>
    <x v="0"/>
    <n v="23"/>
    <x v="3"/>
    <d v="2024-01-11T00:00:00"/>
    <d v="2024-02-03T00:00:00"/>
    <x v="0"/>
  </r>
  <r>
    <n v="177"/>
    <n v="17551"/>
    <x v="3"/>
    <n v="62397.89"/>
    <x v="1"/>
    <n v="22"/>
    <x v="0"/>
    <d v="2024-04-21T00:00:00"/>
    <d v="2024-05-13T00:00:00"/>
    <x v="10"/>
  </r>
  <r>
    <n v="178"/>
    <n v="14411"/>
    <x v="3"/>
    <n v="153845.07999999999"/>
    <x v="2"/>
    <m/>
    <x v="0"/>
    <d v="2024-04-17T00:00:00"/>
    <m/>
    <x v="10"/>
  </r>
  <r>
    <n v="179"/>
    <n v="14841"/>
    <x v="3"/>
    <n v="150366.07"/>
    <x v="0"/>
    <n v="4"/>
    <x v="2"/>
    <d v="2024-04-03T00:00:00"/>
    <d v="2024-04-07T00:00:00"/>
    <x v="10"/>
  </r>
  <r>
    <n v="180"/>
    <n v="17961"/>
    <x v="1"/>
    <n v="52936.29"/>
    <x v="0"/>
    <n v="8"/>
    <x v="0"/>
    <d v="2024-11-06T00:00:00"/>
    <d v="2024-11-14T00:00:00"/>
    <x v="1"/>
  </r>
  <r>
    <n v="181"/>
    <n v="10718"/>
    <x v="3"/>
    <n v="147120.32999999999"/>
    <x v="2"/>
    <m/>
    <x v="2"/>
    <d v="2024-03-24T00:00:00"/>
    <m/>
    <x v="5"/>
  </r>
  <r>
    <n v="182"/>
    <n v="15196"/>
    <x v="0"/>
    <n v="150816.44"/>
    <x v="0"/>
    <n v="16"/>
    <x v="0"/>
    <d v="2024-02-27T00:00:00"/>
    <d v="2024-03-14T00:00:00"/>
    <x v="4"/>
  </r>
  <r>
    <n v="183"/>
    <n v="12727"/>
    <x v="3"/>
    <n v="82503.520000000004"/>
    <x v="0"/>
    <n v="10"/>
    <x v="3"/>
    <d v="2024-10-19T00:00:00"/>
    <d v="2024-10-29T00:00:00"/>
    <x v="6"/>
  </r>
  <r>
    <n v="184"/>
    <n v="17546"/>
    <x v="3"/>
    <n v="46031.99"/>
    <x v="0"/>
    <n v="44"/>
    <x v="0"/>
    <d v="2024-01-16T00:00:00"/>
    <d v="2024-02-29T00:00:00"/>
    <x v="0"/>
  </r>
  <r>
    <n v="185"/>
    <n v="18652"/>
    <x v="3"/>
    <n v="106647.81"/>
    <x v="0"/>
    <n v="8"/>
    <x v="2"/>
    <d v="2024-11-21T00:00:00"/>
    <d v="2024-11-29T00:00:00"/>
    <x v="1"/>
  </r>
  <r>
    <n v="186"/>
    <n v="12854"/>
    <x v="3"/>
    <n v="184672.53"/>
    <x v="1"/>
    <n v="13"/>
    <x v="2"/>
    <d v="2024-04-02T00:00:00"/>
    <d v="2024-04-15T00:00:00"/>
    <x v="10"/>
  </r>
  <r>
    <n v="187"/>
    <n v="15200"/>
    <x v="3"/>
    <n v="129725.26"/>
    <x v="1"/>
    <n v="20"/>
    <x v="3"/>
    <d v="2024-06-13T00:00:00"/>
    <d v="2024-07-03T00:00:00"/>
    <x v="7"/>
  </r>
  <r>
    <n v="188"/>
    <n v="14067"/>
    <x v="3"/>
    <n v="38719.89"/>
    <x v="0"/>
    <n v="28"/>
    <x v="0"/>
    <d v="2024-08-02T00:00:00"/>
    <d v="2024-08-30T00:00:00"/>
    <x v="8"/>
  </r>
  <r>
    <n v="189"/>
    <n v="19894"/>
    <x v="3"/>
    <n v="138137.60000000001"/>
    <x v="0"/>
    <n v="19"/>
    <x v="0"/>
    <d v="2024-05-23T00:00:00"/>
    <d v="2024-06-11T00:00:00"/>
    <x v="3"/>
  </r>
  <r>
    <n v="190"/>
    <n v="12977"/>
    <x v="3"/>
    <n v="88304.59"/>
    <x v="1"/>
    <n v="14"/>
    <x v="3"/>
    <d v="2024-09-30T00:00:00"/>
    <d v="2024-10-14T00:00:00"/>
    <x v="9"/>
  </r>
  <r>
    <n v="191"/>
    <n v="13480"/>
    <x v="1"/>
    <n v="120348.12"/>
    <x v="0"/>
    <n v="44"/>
    <x v="0"/>
    <d v="2024-05-17T00:00:00"/>
    <d v="2024-06-30T00:00:00"/>
    <x v="3"/>
  </r>
  <r>
    <n v="192"/>
    <n v="19933"/>
    <x v="1"/>
    <n v="148142.49"/>
    <x v="1"/>
    <n v="2"/>
    <x v="0"/>
    <d v="2024-07-22T00:00:00"/>
    <d v="2024-07-24T00:00:00"/>
    <x v="2"/>
  </r>
  <r>
    <n v="193"/>
    <n v="18221"/>
    <x v="3"/>
    <n v="105414.73"/>
    <x v="0"/>
    <n v="39"/>
    <x v="2"/>
    <d v="2024-10-28T00:00:00"/>
    <d v="2024-12-06T00:00:00"/>
    <x v="6"/>
  </r>
  <r>
    <n v="194"/>
    <n v="13493"/>
    <x v="3"/>
    <n v="163726.88"/>
    <x v="0"/>
    <n v="22"/>
    <x v="0"/>
    <d v="2024-07-28T00:00:00"/>
    <d v="2024-08-19T00:00:00"/>
    <x v="2"/>
  </r>
  <r>
    <n v="195"/>
    <n v="19173"/>
    <x v="2"/>
    <n v="145820.34"/>
    <x v="2"/>
    <m/>
    <x v="0"/>
    <d v="2024-01-19T00:00:00"/>
    <m/>
    <x v="0"/>
  </r>
  <r>
    <n v="196"/>
    <n v="10230"/>
    <x v="1"/>
    <n v="124939.3"/>
    <x v="0"/>
    <n v="14"/>
    <x v="3"/>
    <d v="2024-10-20T00:00:00"/>
    <d v="2024-11-03T00:00:00"/>
    <x v="6"/>
  </r>
  <r>
    <n v="197"/>
    <n v="17526"/>
    <x v="1"/>
    <n v="34404.6"/>
    <x v="0"/>
    <n v="42"/>
    <x v="3"/>
    <d v="2024-10-19T00:00:00"/>
    <d v="2024-11-30T00:00:00"/>
    <x v="6"/>
  </r>
  <r>
    <n v="198"/>
    <n v="15281"/>
    <x v="3"/>
    <n v="168010.08"/>
    <x v="0"/>
    <n v="24"/>
    <x v="1"/>
    <d v="2024-10-27T00:00:00"/>
    <d v="2024-11-20T00:00:00"/>
    <x v="6"/>
  </r>
  <r>
    <n v="199"/>
    <n v="11251"/>
    <x v="1"/>
    <n v="187501.59"/>
    <x v="0"/>
    <n v="2"/>
    <x v="2"/>
    <d v="2024-06-10T00:00:00"/>
    <d v="2024-06-12T00:00:00"/>
    <x v="7"/>
  </r>
  <r>
    <n v="200"/>
    <n v="15340"/>
    <x v="1"/>
    <n v="31708.2"/>
    <x v="0"/>
    <n v="24"/>
    <x v="0"/>
    <d v="2024-05-09T00:00:00"/>
    <d v="2024-06-02T00:00:00"/>
    <x v="3"/>
  </r>
  <r>
    <n v="201"/>
    <n v="16889"/>
    <x v="1"/>
    <n v="100207.02"/>
    <x v="2"/>
    <m/>
    <x v="0"/>
    <d v="2024-02-13T00:00:00"/>
    <m/>
    <x v="4"/>
  </r>
  <r>
    <n v="202"/>
    <n v="11963"/>
    <x v="2"/>
    <n v="55483.3"/>
    <x v="1"/>
    <n v="33"/>
    <x v="1"/>
    <d v="2024-12-18T00:00:00"/>
    <d v="2025-01-20T00:00:00"/>
    <x v="11"/>
  </r>
  <r>
    <n v="203"/>
    <n v="13166"/>
    <x v="3"/>
    <n v="152132.04"/>
    <x v="0"/>
    <n v="9"/>
    <x v="0"/>
    <d v="2024-03-23T00:00:00"/>
    <d v="2024-04-01T00:00:00"/>
    <x v="5"/>
  </r>
  <r>
    <n v="204"/>
    <n v="11778"/>
    <x v="3"/>
    <n v="145717.78"/>
    <x v="0"/>
    <n v="27"/>
    <x v="2"/>
    <d v="2024-05-03T00:00:00"/>
    <d v="2024-05-30T00:00:00"/>
    <x v="3"/>
  </r>
  <r>
    <n v="205"/>
    <n v="18052"/>
    <x v="1"/>
    <n v="32472.6"/>
    <x v="0"/>
    <n v="15"/>
    <x v="1"/>
    <d v="2024-01-27T00:00:00"/>
    <d v="2024-02-11T00:00:00"/>
    <x v="0"/>
  </r>
  <r>
    <n v="206"/>
    <n v="14870"/>
    <x v="0"/>
    <n v="176020.32"/>
    <x v="0"/>
    <n v="25"/>
    <x v="2"/>
    <d v="2024-10-30T00:00:00"/>
    <d v="2024-11-24T00:00:00"/>
    <x v="6"/>
  </r>
  <r>
    <n v="207"/>
    <n v="11147"/>
    <x v="3"/>
    <n v="40289.75"/>
    <x v="0"/>
    <n v="30"/>
    <x v="1"/>
    <d v="2024-12-15T00:00:00"/>
    <d v="2025-01-14T00:00:00"/>
    <x v="11"/>
  </r>
  <r>
    <n v="208"/>
    <n v="12847"/>
    <x v="3"/>
    <n v="160465.51"/>
    <x v="1"/>
    <n v="5"/>
    <x v="1"/>
    <d v="2024-01-07T00:00:00"/>
    <d v="2024-01-12T00:00:00"/>
    <x v="0"/>
  </r>
  <r>
    <n v="209"/>
    <n v="13850"/>
    <x v="3"/>
    <n v="94111.17"/>
    <x v="0"/>
    <n v="19"/>
    <x v="3"/>
    <d v="2024-12-06T00:00:00"/>
    <d v="2024-12-25T00:00:00"/>
    <x v="11"/>
  </r>
  <r>
    <n v="210"/>
    <n v="13070"/>
    <x v="3"/>
    <n v="69013.100000000006"/>
    <x v="1"/>
    <n v="15"/>
    <x v="2"/>
    <d v="2024-07-17T00:00:00"/>
    <d v="2024-08-01T00:00:00"/>
    <x v="2"/>
  </r>
  <r>
    <n v="211"/>
    <n v="10620"/>
    <x v="1"/>
    <n v="35856.660000000003"/>
    <x v="0"/>
    <n v="28"/>
    <x v="0"/>
    <d v="2024-04-21T00:00:00"/>
    <d v="2024-05-19T00:00:00"/>
    <x v="10"/>
  </r>
  <r>
    <n v="212"/>
    <n v="10963"/>
    <x v="1"/>
    <n v="37684.78"/>
    <x v="0"/>
    <n v="42"/>
    <x v="0"/>
    <d v="2024-03-29T00:00:00"/>
    <d v="2024-05-10T00:00:00"/>
    <x v="5"/>
  </r>
  <r>
    <n v="213"/>
    <n v="17215"/>
    <x v="3"/>
    <n v="134068.66"/>
    <x v="0"/>
    <n v="4"/>
    <x v="2"/>
    <d v="2024-05-07T00:00:00"/>
    <d v="2024-05-11T00:00:00"/>
    <x v="3"/>
  </r>
  <r>
    <n v="214"/>
    <n v="12142"/>
    <x v="3"/>
    <n v="112333.93"/>
    <x v="0"/>
    <n v="31"/>
    <x v="0"/>
    <d v="2024-08-17T00:00:00"/>
    <d v="2024-09-17T00:00:00"/>
    <x v="8"/>
  </r>
  <r>
    <n v="215"/>
    <n v="19692"/>
    <x v="3"/>
    <n v="28806.66"/>
    <x v="0"/>
    <n v="37"/>
    <x v="0"/>
    <d v="2024-01-18T00:00:00"/>
    <d v="2024-02-24T00:00:00"/>
    <x v="0"/>
  </r>
  <r>
    <n v="216"/>
    <n v="17418"/>
    <x v="3"/>
    <n v="26976.080000000002"/>
    <x v="2"/>
    <m/>
    <x v="2"/>
    <d v="2024-10-15T00:00:00"/>
    <m/>
    <x v="6"/>
  </r>
  <r>
    <n v="217"/>
    <n v="11326"/>
    <x v="1"/>
    <n v="19100.560000000001"/>
    <x v="0"/>
    <n v="19"/>
    <x v="1"/>
    <d v="2024-06-09T00:00:00"/>
    <d v="2024-06-28T00:00:00"/>
    <x v="7"/>
  </r>
  <r>
    <n v="218"/>
    <n v="10121"/>
    <x v="2"/>
    <n v="150034.63"/>
    <x v="2"/>
    <m/>
    <x v="2"/>
    <d v="2024-12-17T00:00:00"/>
    <m/>
    <x v="11"/>
  </r>
  <r>
    <n v="219"/>
    <n v="14313"/>
    <x v="0"/>
    <n v="143817.01"/>
    <x v="0"/>
    <n v="11"/>
    <x v="1"/>
    <d v="2024-10-07T00:00:00"/>
    <d v="2024-10-18T00:00:00"/>
    <x v="6"/>
  </r>
  <r>
    <n v="220"/>
    <n v="11076"/>
    <x v="3"/>
    <n v="16394.04"/>
    <x v="2"/>
    <m/>
    <x v="0"/>
    <d v="2024-06-14T00:00:00"/>
    <m/>
    <x v="7"/>
  </r>
  <r>
    <n v="221"/>
    <n v="11182"/>
    <x v="0"/>
    <n v="114252.66"/>
    <x v="0"/>
    <n v="42"/>
    <x v="0"/>
    <d v="2024-09-16T00:00:00"/>
    <d v="2024-10-28T00:00:00"/>
    <x v="9"/>
  </r>
  <r>
    <n v="222"/>
    <n v="10794"/>
    <x v="1"/>
    <n v="21511.85"/>
    <x v="2"/>
    <m/>
    <x v="0"/>
    <d v="2024-12-29T00:00:00"/>
    <m/>
    <x v="11"/>
  </r>
  <r>
    <n v="223"/>
    <n v="19816"/>
    <x v="1"/>
    <n v="181230.43"/>
    <x v="0"/>
    <n v="33"/>
    <x v="3"/>
    <d v="2024-07-08T00:00:00"/>
    <d v="2024-08-10T00:00:00"/>
    <x v="2"/>
  </r>
  <r>
    <n v="224"/>
    <n v="14271"/>
    <x v="3"/>
    <n v="181887.9"/>
    <x v="1"/>
    <n v="18"/>
    <x v="1"/>
    <d v="2024-12-03T00:00:00"/>
    <d v="2024-12-21T00:00:00"/>
    <x v="11"/>
  </r>
  <r>
    <n v="225"/>
    <n v="18483"/>
    <x v="3"/>
    <n v="141155.43"/>
    <x v="2"/>
    <m/>
    <x v="3"/>
    <d v="2024-09-22T00:00:00"/>
    <m/>
    <x v="9"/>
  </r>
  <r>
    <n v="226"/>
    <n v="17326"/>
    <x v="3"/>
    <n v="185606.84"/>
    <x v="0"/>
    <n v="15"/>
    <x v="3"/>
    <d v="2024-10-17T00:00:00"/>
    <d v="2024-11-01T00:00:00"/>
    <x v="6"/>
  </r>
  <r>
    <n v="227"/>
    <n v="18682"/>
    <x v="3"/>
    <n v="163233.34"/>
    <x v="0"/>
    <n v="38"/>
    <x v="2"/>
    <d v="2024-12-20T00:00:00"/>
    <d v="2025-01-27T00:00:00"/>
    <x v="11"/>
  </r>
  <r>
    <n v="228"/>
    <n v="12808"/>
    <x v="3"/>
    <n v="166565.01999999999"/>
    <x v="0"/>
    <n v="10"/>
    <x v="3"/>
    <d v="2024-12-25T00:00:00"/>
    <d v="2025-01-04T00:00:00"/>
    <x v="11"/>
  </r>
  <r>
    <n v="229"/>
    <n v="13428"/>
    <x v="3"/>
    <n v="116093.03"/>
    <x v="2"/>
    <m/>
    <x v="2"/>
    <d v="2024-10-05T00:00:00"/>
    <m/>
    <x v="6"/>
  </r>
  <r>
    <n v="230"/>
    <n v="18825"/>
    <x v="3"/>
    <n v="64681.54"/>
    <x v="0"/>
    <n v="25"/>
    <x v="2"/>
    <d v="2024-08-04T00:00:00"/>
    <d v="2024-08-29T00:00:00"/>
    <x v="8"/>
  </r>
  <r>
    <n v="231"/>
    <n v="13499"/>
    <x v="1"/>
    <n v="47470.83"/>
    <x v="0"/>
    <n v="24"/>
    <x v="3"/>
    <d v="2024-11-16T00:00:00"/>
    <d v="2024-12-10T00:00:00"/>
    <x v="1"/>
  </r>
  <r>
    <n v="232"/>
    <n v="12172"/>
    <x v="3"/>
    <n v="68804"/>
    <x v="0"/>
    <n v="32"/>
    <x v="1"/>
    <d v="2024-12-03T00:00:00"/>
    <d v="2025-01-04T00:00:00"/>
    <x v="11"/>
  </r>
  <r>
    <n v="233"/>
    <n v="15986"/>
    <x v="3"/>
    <n v="127556.61"/>
    <x v="0"/>
    <n v="40"/>
    <x v="1"/>
    <d v="2024-07-25T00:00:00"/>
    <d v="2024-09-03T00:00:00"/>
    <x v="2"/>
  </r>
  <r>
    <n v="234"/>
    <n v="13907"/>
    <x v="2"/>
    <n v="38668.019999999997"/>
    <x v="1"/>
    <n v="3"/>
    <x v="1"/>
    <d v="2024-06-01T00:00:00"/>
    <d v="2024-06-04T00:00:00"/>
    <x v="7"/>
  </r>
  <r>
    <n v="235"/>
    <n v="14699"/>
    <x v="2"/>
    <n v="55434.85"/>
    <x v="0"/>
    <n v="19"/>
    <x v="1"/>
    <d v="2024-06-29T00:00:00"/>
    <d v="2024-07-18T00:00:00"/>
    <x v="7"/>
  </r>
  <r>
    <n v="236"/>
    <n v="17081"/>
    <x v="1"/>
    <n v="96271.87"/>
    <x v="0"/>
    <n v="17"/>
    <x v="1"/>
    <d v="2024-07-30T00:00:00"/>
    <d v="2024-08-16T00:00:00"/>
    <x v="2"/>
  </r>
  <r>
    <n v="237"/>
    <n v="15224"/>
    <x v="2"/>
    <n v="50444.77"/>
    <x v="2"/>
    <m/>
    <x v="3"/>
    <d v="2024-09-29T00:00:00"/>
    <m/>
    <x v="9"/>
  </r>
  <r>
    <n v="238"/>
    <n v="13468"/>
    <x v="1"/>
    <n v="119785.52"/>
    <x v="0"/>
    <n v="12"/>
    <x v="3"/>
    <d v="2024-07-21T00:00:00"/>
    <d v="2024-08-02T00:00:00"/>
    <x v="2"/>
  </r>
  <r>
    <n v="239"/>
    <n v="15760"/>
    <x v="2"/>
    <n v="185019.33"/>
    <x v="0"/>
    <n v="3"/>
    <x v="0"/>
    <d v="2024-07-23T00:00:00"/>
    <d v="2024-07-26T00:00:00"/>
    <x v="2"/>
  </r>
  <r>
    <n v="240"/>
    <n v="10490"/>
    <x v="3"/>
    <n v="150877.43"/>
    <x v="0"/>
    <n v="15"/>
    <x v="1"/>
    <d v="2024-06-01T00:00:00"/>
    <d v="2024-06-16T00:00:00"/>
    <x v="7"/>
  </r>
  <r>
    <n v="241"/>
    <n v="14263"/>
    <x v="3"/>
    <n v="134953.19"/>
    <x v="0"/>
    <n v="5"/>
    <x v="3"/>
    <d v="2024-06-18T00:00:00"/>
    <d v="2024-06-23T00:00:00"/>
    <x v="7"/>
  </r>
  <r>
    <n v="242"/>
    <n v="17769"/>
    <x v="3"/>
    <n v="118630.69"/>
    <x v="0"/>
    <n v="40"/>
    <x v="0"/>
    <d v="2024-08-28T00:00:00"/>
    <d v="2024-10-07T00:00:00"/>
    <x v="8"/>
  </r>
  <r>
    <n v="243"/>
    <n v="18950"/>
    <x v="3"/>
    <n v="100149.84"/>
    <x v="1"/>
    <n v="35"/>
    <x v="1"/>
    <d v="2024-10-13T00:00:00"/>
    <d v="2024-11-17T00:00:00"/>
    <x v="6"/>
  </r>
  <r>
    <n v="244"/>
    <n v="11197"/>
    <x v="3"/>
    <n v="41379.949999999997"/>
    <x v="0"/>
    <n v="40"/>
    <x v="2"/>
    <d v="2024-09-01T00:00:00"/>
    <d v="2024-10-11T00:00:00"/>
    <x v="9"/>
  </r>
  <r>
    <n v="245"/>
    <n v="11904"/>
    <x v="1"/>
    <n v="179468.54"/>
    <x v="0"/>
    <n v="10"/>
    <x v="0"/>
    <d v="2024-11-16T00:00:00"/>
    <d v="2024-11-26T00:00:00"/>
    <x v="1"/>
  </r>
  <r>
    <n v="246"/>
    <n v="15269"/>
    <x v="1"/>
    <n v="53464.52"/>
    <x v="0"/>
    <n v="41"/>
    <x v="3"/>
    <d v="2024-03-20T00:00:00"/>
    <d v="2024-04-30T00:00:00"/>
    <x v="5"/>
  </r>
  <r>
    <n v="247"/>
    <n v="11650"/>
    <x v="1"/>
    <n v="22805.23"/>
    <x v="0"/>
    <n v="42"/>
    <x v="2"/>
    <d v="2024-04-01T00:00:00"/>
    <d v="2024-05-13T00:00:00"/>
    <x v="10"/>
  </r>
  <r>
    <n v="248"/>
    <n v="13191"/>
    <x v="3"/>
    <n v="151252.96"/>
    <x v="1"/>
    <n v="8"/>
    <x v="2"/>
    <d v="2024-05-28T00:00:00"/>
    <d v="2024-06-05T00:00:00"/>
    <x v="3"/>
  </r>
  <r>
    <n v="249"/>
    <n v="10027"/>
    <x v="0"/>
    <n v="39245.03"/>
    <x v="0"/>
    <n v="18"/>
    <x v="2"/>
    <d v="2024-01-30T00:00:00"/>
    <d v="2024-02-17T00:00:00"/>
    <x v="0"/>
  </r>
  <r>
    <n v="250"/>
    <n v="16260"/>
    <x v="1"/>
    <n v="77519.72"/>
    <x v="0"/>
    <n v="24"/>
    <x v="0"/>
    <d v="2024-05-02T00:00:00"/>
    <d v="2024-05-26T00:00:00"/>
    <x v="3"/>
  </r>
  <r>
    <n v="251"/>
    <n v="12750"/>
    <x v="3"/>
    <n v="10515.56"/>
    <x v="0"/>
    <n v="12"/>
    <x v="3"/>
    <d v="2024-11-21T00:00:00"/>
    <d v="2024-12-03T00:00:00"/>
    <x v="1"/>
  </r>
  <r>
    <n v="252"/>
    <n v="12879"/>
    <x v="1"/>
    <n v="31728.25"/>
    <x v="0"/>
    <n v="23"/>
    <x v="2"/>
    <d v="2024-01-29T00:00:00"/>
    <d v="2024-02-21T00:00:00"/>
    <x v="0"/>
  </r>
  <r>
    <n v="253"/>
    <n v="14357"/>
    <x v="3"/>
    <n v="38774.71"/>
    <x v="0"/>
    <n v="19"/>
    <x v="1"/>
    <d v="2024-09-15T00:00:00"/>
    <d v="2024-10-04T00:00:00"/>
    <x v="9"/>
  </r>
  <r>
    <n v="254"/>
    <n v="12832"/>
    <x v="3"/>
    <n v="15609.97"/>
    <x v="0"/>
    <n v="29"/>
    <x v="2"/>
    <d v="2024-07-04T00:00:00"/>
    <d v="2024-08-02T00:00:00"/>
    <x v="2"/>
  </r>
  <r>
    <n v="255"/>
    <n v="13109"/>
    <x v="2"/>
    <n v="133048.10999999999"/>
    <x v="0"/>
    <n v="17"/>
    <x v="2"/>
    <d v="2024-03-15T00:00:00"/>
    <d v="2024-04-01T00:00:00"/>
    <x v="5"/>
  </r>
  <r>
    <n v="256"/>
    <n v="19652"/>
    <x v="3"/>
    <n v="168216.52"/>
    <x v="1"/>
    <n v="43"/>
    <x v="0"/>
    <d v="2024-02-14T00:00:00"/>
    <d v="2024-03-28T00:00:00"/>
    <x v="4"/>
  </r>
  <r>
    <n v="257"/>
    <n v="15758"/>
    <x v="3"/>
    <n v="77796.5"/>
    <x v="0"/>
    <n v="5"/>
    <x v="0"/>
    <d v="2024-03-09T00:00:00"/>
    <d v="2024-03-14T00:00:00"/>
    <x v="5"/>
  </r>
  <r>
    <n v="258"/>
    <n v="12921"/>
    <x v="0"/>
    <n v="175542.41"/>
    <x v="1"/>
    <n v="37"/>
    <x v="3"/>
    <d v="2024-07-28T00:00:00"/>
    <d v="2024-09-03T00:00:00"/>
    <x v="2"/>
  </r>
  <r>
    <n v="259"/>
    <n v="11433"/>
    <x v="1"/>
    <n v="46602.58"/>
    <x v="1"/>
    <n v="23"/>
    <x v="1"/>
    <d v="2024-08-26T00:00:00"/>
    <d v="2024-09-18T00:00:00"/>
    <x v="8"/>
  </r>
  <r>
    <n v="260"/>
    <n v="14428"/>
    <x v="3"/>
    <n v="68451.13"/>
    <x v="0"/>
    <n v="12"/>
    <x v="0"/>
    <d v="2024-12-05T00:00:00"/>
    <d v="2024-12-17T00:00:00"/>
    <x v="11"/>
  </r>
  <r>
    <n v="261"/>
    <n v="17698"/>
    <x v="3"/>
    <n v="34393.71"/>
    <x v="0"/>
    <n v="22"/>
    <x v="2"/>
    <d v="2024-11-03T00:00:00"/>
    <d v="2024-11-25T00:00:00"/>
    <x v="1"/>
  </r>
  <r>
    <n v="262"/>
    <n v="18111"/>
    <x v="3"/>
    <n v="126009.04"/>
    <x v="0"/>
    <n v="41"/>
    <x v="3"/>
    <d v="2024-07-10T00:00:00"/>
    <d v="2024-08-20T00:00:00"/>
    <x v="2"/>
  </r>
  <r>
    <n v="263"/>
    <n v="13536"/>
    <x v="1"/>
    <n v="86874.57"/>
    <x v="0"/>
    <n v="42"/>
    <x v="2"/>
    <d v="2024-04-12T00:00:00"/>
    <d v="2024-05-24T00:00:00"/>
    <x v="10"/>
  </r>
  <r>
    <n v="264"/>
    <n v="16863"/>
    <x v="3"/>
    <n v="124590.25"/>
    <x v="1"/>
    <n v="17"/>
    <x v="2"/>
    <d v="2024-08-28T00:00:00"/>
    <d v="2024-09-14T00:00:00"/>
    <x v="8"/>
  </r>
  <r>
    <n v="265"/>
    <n v="11181"/>
    <x v="3"/>
    <n v="153526.60999999999"/>
    <x v="0"/>
    <n v="43"/>
    <x v="0"/>
    <d v="2024-09-09T00:00:00"/>
    <d v="2024-10-22T00:00:00"/>
    <x v="9"/>
  </r>
  <r>
    <n v="266"/>
    <n v="13405"/>
    <x v="2"/>
    <n v="111412.09"/>
    <x v="0"/>
    <n v="10"/>
    <x v="3"/>
    <d v="2024-08-07T00:00:00"/>
    <d v="2024-08-17T00:00:00"/>
    <x v="8"/>
  </r>
  <r>
    <n v="267"/>
    <n v="13914"/>
    <x v="1"/>
    <n v="127387.92"/>
    <x v="0"/>
    <n v="36"/>
    <x v="1"/>
    <d v="2024-12-01T00:00:00"/>
    <d v="2025-01-06T00:00:00"/>
    <x v="11"/>
  </r>
  <r>
    <n v="268"/>
    <n v="19975"/>
    <x v="3"/>
    <n v="187373.81"/>
    <x v="0"/>
    <n v="35"/>
    <x v="1"/>
    <d v="2024-08-04T00:00:00"/>
    <d v="2024-09-08T00:00:00"/>
    <x v="8"/>
  </r>
  <r>
    <n v="269"/>
    <n v="13722"/>
    <x v="1"/>
    <n v="63317.54"/>
    <x v="0"/>
    <n v="10"/>
    <x v="0"/>
    <d v="2024-07-20T00:00:00"/>
    <d v="2024-07-30T00:00:00"/>
    <x v="2"/>
  </r>
  <r>
    <n v="270"/>
    <n v="12642"/>
    <x v="1"/>
    <n v="75036.97"/>
    <x v="1"/>
    <n v="14"/>
    <x v="0"/>
    <d v="2024-01-29T00:00:00"/>
    <d v="2024-02-12T00:00:00"/>
    <x v="0"/>
  </r>
  <r>
    <n v="271"/>
    <n v="17577"/>
    <x v="3"/>
    <n v="144952.16"/>
    <x v="0"/>
    <n v="7"/>
    <x v="3"/>
    <d v="2024-07-30T00:00:00"/>
    <d v="2024-08-06T00:00:00"/>
    <x v="2"/>
  </r>
  <r>
    <n v="272"/>
    <n v="13711"/>
    <x v="3"/>
    <n v="124204.58"/>
    <x v="1"/>
    <n v="5"/>
    <x v="1"/>
    <d v="2024-06-02T00:00:00"/>
    <d v="2024-06-07T00:00:00"/>
    <x v="7"/>
  </r>
  <r>
    <n v="273"/>
    <n v="12960"/>
    <x v="0"/>
    <n v="39813.919999999998"/>
    <x v="0"/>
    <n v="29"/>
    <x v="1"/>
    <d v="2024-08-18T00:00:00"/>
    <d v="2024-09-16T00:00:00"/>
    <x v="8"/>
  </r>
  <r>
    <n v="274"/>
    <n v="14830"/>
    <x v="3"/>
    <n v="78348.73"/>
    <x v="0"/>
    <n v="12"/>
    <x v="1"/>
    <d v="2024-04-11T00:00:00"/>
    <d v="2024-04-23T00:00:00"/>
    <x v="10"/>
  </r>
  <r>
    <n v="275"/>
    <n v="15458"/>
    <x v="1"/>
    <n v="96228.41"/>
    <x v="0"/>
    <n v="35"/>
    <x v="2"/>
    <d v="2024-11-10T00:00:00"/>
    <d v="2024-12-15T00:00:00"/>
    <x v="1"/>
  </r>
  <r>
    <n v="276"/>
    <n v="19771"/>
    <x v="3"/>
    <n v="86781.02"/>
    <x v="0"/>
    <n v="36"/>
    <x v="1"/>
    <d v="2024-06-25T00:00:00"/>
    <d v="2024-07-31T00:00:00"/>
    <x v="7"/>
  </r>
  <r>
    <n v="277"/>
    <n v="11619"/>
    <x v="3"/>
    <n v="39763.589999999997"/>
    <x v="0"/>
    <n v="6"/>
    <x v="2"/>
    <d v="2024-06-29T00:00:00"/>
    <d v="2024-07-05T00:00:00"/>
    <x v="7"/>
  </r>
  <r>
    <n v="278"/>
    <n v="16138"/>
    <x v="3"/>
    <n v="185263.87"/>
    <x v="1"/>
    <n v="40"/>
    <x v="3"/>
    <d v="2024-08-19T00:00:00"/>
    <d v="2024-09-28T00:00:00"/>
    <x v="8"/>
  </r>
  <r>
    <n v="279"/>
    <n v="16680"/>
    <x v="3"/>
    <n v="153652.16"/>
    <x v="1"/>
    <n v="12"/>
    <x v="2"/>
    <d v="2024-01-12T00:00:00"/>
    <d v="2024-01-24T00:00:00"/>
    <x v="0"/>
  </r>
  <r>
    <n v="280"/>
    <n v="12340"/>
    <x v="3"/>
    <n v="98864.39"/>
    <x v="0"/>
    <n v="13"/>
    <x v="3"/>
    <d v="2024-07-04T00:00:00"/>
    <d v="2024-07-17T00:00:00"/>
    <x v="2"/>
  </r>
  <r>
    <n v="281"/>
    <n v="19419"/>
    <x v="3"/>
    <n v="137611.9"/>
    <x v="0"/>
    <n v="44"/>
    <x v="1"/>
    <d v="2024-09-05T00:00:00"/>
    <d v="2024-10-19T00:00:00"/>
    <x v="9"/>
  </r>
  <r>
    <n v="282"/>
    <n v="11728"/>
    <x v="0"/>
    <n v="179970.12"/>
    <x v="0"/>
    <n v="20"/>
    <x v="1"/>
    <d v="2024-09-22T00:00:00"/>
    <d v="2024-10-12T00:00:00"/>
    <x v="9"/>
  </r>
  <r>
    <n v="283"/>
    <n v="13585"/>
    <x v="2"/>
    <n v="31553.96"/>
    <x v="1"/>
    <n v="14"/>
    <x v="3"/>
    <d v="2024-05-14T00:00:00"/>
    <d v="2024-05-28T00:00:00"/>
    <x v="3"/>
  </r>
  <r>
    <n v="284"/>
    <n v="10201"/>
    <x v="1"/>
    <n v="53822.74"/>
    <x v="0"/>
    <n v="5"/>
    <x v="0"/>
    <d v="2024-09-01T00:00:00"/>
    <d v="2024-09-06T00:00:00"/>
    <x v="9"/>
  </r>
  <r>
    <n v="285"/>
    <n v="15985"/>
    <x v="0"/>
    <n v="110826.74"/>
    <x v="2"/>
    <m/>
    <x v="3"/>
    <d v="2024-01-31T00:00:00"/>
    <m/>
    <x v="0"/>
  </r>
  <r>
    <n v="286"/>
    <n v="16175"/>
    <x v="3"/>
    <n v="160807.01999999999"/>
    <x v="0"/>
    <n v="3"/>
    <x v="0"/>
    <d v="2024-12-12T00:00:00"/>
    <d v="2024-12-15T00:00:00"/>
    <x v="11"/>
  </r>
  <r>
    <n v="287"/>
    <n v="13160"/>
    <x v="2"/>
    <n v="12069.7"/>
    <x v="0"/>
    <n v="9"/>
    <x v="2"/>
    <d v="2024-09-15T00:00:00"/>
    <d v="2024-09-24T00:00:00"/>
    <x v="9"/>
  </r>
  <r>
    <n v="288"/>
    <n v="11713"/>
    <x v="3"/>
    <n v="196883.54"/>
    <x v="2"/>
    <m/>
    <x v="2"/>
    <d v="2024-04-13T00:00:00"/>
    <m/>
    <x v="10"/>
  </r>
  <r>
    <n v="289"/>
    <n v="17872"/>
    <x v="2"/>
    <n v="93706.79"/>
    <x v="0"/>
    <n v="14"/>
    <x v="2"/>
    <d v="2024-01-01T00:00:00"/>
    <d v="2024-01-15T00:00:00"/>
    <x v="0"/>
  </r>
  <r>
    <n v="290"/>
    <n v="17839"/>
    <x v="2"/>
    <n v="75050.070000000007"/>
    <x v="0"/>
    <n v="22"/>
    <x v="1"/>
    <d v="2024-07-25T00:00:00"/>
    <d v="2024-08-16T00:00:00"/>
    <x v="2"/>
  </r>
  <r>
    <n v="291"/>
    <n v="16859"/>
    <x v="1"/>
    <n v="62081.27"/>
    <x v="0"/>
    <n v="22"/>
    <x v="2"/>
    <d v="2024-05-14T00:00:00"/>
    <d v="2024-06-05T00:00:00"/>
    <x v="3"/>
  </r>
  <r>
    <n v="292"/>
    <n v="10752"/>
    <x v="2"/>
    <n v="38999.56"/>
    <x v="0"/>
    <n v="29"/>
    <x v="0"/>
    <d v="2024-09-27T00:00:00"/>
    <d v="2024-10-26T00:00:00"/>
    <x v="9"/>
  </r>
  <r>
    <n v="293"/>
    <n v="10114"/>
    <x v="1"/>
    <n v="159356.91"/>
    <x v="0"/>
    <n v="34"/>
    <x v="2"/>
    <d v="2024-03-29T00:00:00"/>
    <d v="2024-05-02T00:00:00"/>
    <x v="5"/>
  </r>
  <r>
    <n v="294"/>
    <n v="15341"/>
    <x v="3"/>
    <n v="191305.76"/>
    <x v="0"/>
    <n v="30"/>
    <x v="3"/>
    <d v="2024-07-13T00:00:00"/>
    <d v="2024-08-12T00:00:00"/>
    <x v="2"/>
  </r>
  <r>
    <n v="295"/>
    <n v="13980"/>
    <x v="3"/>
    <n v="85660.73"/>
    <x v="1"/>
    <n v="38"/>
    <x v="3"/>
    <d v="2024-05-01T00:00:00"/>
    <d v="2024-06-08T00:00:00"/>
    <x v="3"/>
  </r>
  <r>
    <n v="296"/>
    <n v="16325"/>
    <x v="1"/>
    <n v="190722.04"/>
    <x v="0"/>
    <n v="23"/>
    <x v="1"/>
    <d v="2024-04-25T00:00:00"/>
    <d v="2024-05-18T00:00:00"/>
    <x v="10"/>
  </r>
  <r>
    <n v="297"/>
    <n v="12818"/>
    <x v="3"/>
    <n v="165640.54"/>
    <x v="2"/>
    <m/>
    <x v="3"/>
    <d v="2024-07-14T00:00:00"/>
    <m/>
    <x v="2"/>
  </r>
  <r>
    <n v="298"/>
    <n v="10468"/>
    <x v="1"/>
    <n v="98804.97"/>
    <x v="0"/>
    <n v="12"/>
    <x v="0"/>
    <d v="2024-02-05T00:00:00"/>
    <d v="2024-02-17T00:00:00"/>
    <x v="4"/>
  </r>
  <r>
    <n v="299"/>
    <n v="10425"/>
    <x v="2"/>
    <n v="136435.1"/>
    <x v="0"/>
    <n v="12"/>
    <x v="2"/>
    <d v="2024-03-07T00:00:00"/>
    <d v="2024-03-19T00:00:00"/>
    <x v="5"/>
  </r>
  <r>
    <n v="300"/>
    <n v="18141"/>
    <x v="3"/>
    <n v="89821.91"/>
    <x v="0"/>
    <n v="35"/>
    <x v="1"/>
    <d v="2024-05-12T00:00:00"/>
    <d v="2024-06-16T00:00:00"/>
    <x v="3"/>
  </r>
  <r>
    <n v="301"/>
    <n v="11575"/>
    <x v="1"/>
    <n v="113951.06"/>
    <x v="0"/>
    <n v="20"/>
    <x v="2"/>
    <d v="2024-10-07T00:00:00"/>
    <d v="2024-10-27T00:00:00"/>
    <x v="6"/>
  </r>
  <r>
    <n v="302"/>
    <n v="10833"/>
    <x v="2"/>
    <n v="16319.04"/>
    <x v="0"/>
    <n v="38"/>
    <x v="2"/>
    <d v="2024-01-11T00:00:00"/>
    <d v="2024-02-18T00:00:00"/>
    <x v="0"/>
  </r>
  <r>
    <n v="303"/>
    <n v="14106"/>
    <x v="2"/>
    <n v="140771.38"/>
    <x v="2"/>
    <m/>
    <x v="0"/>
    <d v="2024-08-05T00:00:00"/>
    <m/>
    <x v="8"/>
  </r>
  <r>
    <n v="304"/>
    <n v="13703"/>
    <x v="2"/>
    <n v="15300.81"/>
    <x v="0"/>
    <n v="30"/>
    <x v="3"/>
    <d v="2024-11-17T00:00:00"/>
    <d v="2024-12-17T00:00:00"/>
    <x v="1"/>
  </r>
  <r>
    <n v="305"/>
    <n v="11408"/>
    <x v="1"/>
    <n v="164331.56"/>
    <x v="0"/>
    <n v="20"/>
    <x v="3"/>
    <d v="2024-06-04T00:00:00"/>
    <d v="2024-06-24T00:00:00"/>
    <x v="7"/>
  </r>
  <r>
    <n v="306"/>
    <n v="13481"/>
    <x v="2"/>
    <n v="165864.65"/>
    <x v="0"/>
    <n v="38"/>
    <x v="2"/>
    <d v="2024-08-27T00:00:00"/>
    <d v="2024-10-04T00:00:00"/>
    <x v="8"/>
  </r>
  <r>
    <n v="307"/>
    <n v="16185"/>
    <x v="1"/>
    <n v="51230.07"/>
    <x v="1"/>
    <n v="22"/>
    <x v="1"/>
    <d v="2024-02-29T00:00:00"/>
    <d v="2024-03-22T00:00:00"/>
    <x v="4"/>
  </r>
  <r>
    <n v="308"/>
    <n v="15821"/>
    <x v="3"/>
    <n v="68114.240000000005"/>
    <x v="1"/>
    <n v="25"/>
    <x v="3"/>
    <d v="2024-05-17T00:00:00"/>
    <d v="2024-06-11T00:00:00"/>
    <x v="3"/>
  </r>
  <r>
    <n v="309"/>
    <n v="16844"/>
    <x v="3"/>
    <n v="98855.52"/>
    <x v="0"/>
    <n v="27"/>
    <x v="1"/>
    <d v="2024-02-19T00:00:00"/>
    <d v="2024-03-17T00:00:00"/>
    <x v="4"/>
  </r>
  <r>
    <n v="310"/>
    <n v="16395"/>
    <x v="1"/>
    <n v="121349.27"/>
    <x v="0"/>
    <n v="42"/>
    <x v="3"/>
    <d v="2024-06-15T00:00:00"/>
    <d v="2024-07-27T00:00:00"/>
    <x v="7"/>
  </r>
  <r>
    <n v="311"/>
    <n v="18795"/>
    <x v="3"/>
    <n v="61033.96"/>
    <x v="0"/>
    <n v="13"/>
    <x v="1"/>
    <d v="2024-06-13T00:00:00"/>
    <d v="2024-06-26T00:00:00"/>
    <x v="7"/>
  </r>
  <r>
    <n v="312"/>
    <n v="10212"/>
    <x v="1"/>
    <n v="120534.85"/>
    <x v="0"/>
    <n v="20"/>
    <x v="0"/>
    <d v="2024-11-14T00:00:00"/>
    <d v="2024-12-04T00:00:00"/>
    <x v="1"/>
  </r>
  <r>
    <n v="313"/>
    <n v="16411"/>
    <x v="1"/>
    <n v="63068.480000000003"/>
    <x v="0"/>
    <n v="31"/>
    <x v="1"/>
    <d v="2024-07-07T00:00:00"/>
    <d v="2024-08-07T00:00:00"/>
    <x v="2"/>
  </r>
  <r>
    <n v="314"/>
    <n v="14801"/>
    <x v="3"/>
    <n v="15820.69"/>
    <x v="0"/>
    <n v="16"/>
    <x v="0"/>
    <d v="2024-04-01T00:00:00"/>
    <d v="2024-04-17T00:00:00"/>
    <x v="10"/>
  </r>
  <r>
    <n v="315"/>
    <n v="11758"/>
    <x v="1"/>
    <n v="5492.87"/>
    <x v="0"/>
    <n v="4"/>
    <x v="0"/>
    <d v="2024-10-20T00:00:00"/>
    <d v="2024-10-24T00:00:00"/>
    <x v="6"/>
  </r>
  <r>
    <n v="316"/>
    <n v="15780"/>
    <x v="1"/>
    <n v="24724.46"/>
    <x v="0"/>
    <n v="14"/>
    <x v="1"/>
    <d v="2024-10-15T00:00:00"/>
    <d v="2024-10-29T00:00:00"/>
    <x v="6"/>
  </r>
  <r>
    <n v="317"/>
    <n v="18973"/>
    <x v="3"/>
    <n v="159488.89000000001"/>
    <x v="0"/>
    <n v="10"/>
    <x v="0"/>
    <d v="2024-03-15T00:00:00"/>
    <d v="2024-03-25T00:00:00"/>
    <x v="5"/>
  </r>
  <r>
    <n v="318"/>
    <n v="11526"/>
    <x v="3"/>
    <n v="192479.11"/>
    <x v="2"/>
    <m/>
    <x v="2"/>
    <d v="2024-02-14T00:00:00"/>
    <m/>
    <x v="4"/>
  </r>
  <r>
    <n v="319"/>
    <n v="10840"/>
    <x v="3"/>
    <n v="88258.41"/>
    <x v="2"/>
    <m/>
    <x v="0"/>
    <d v="2024-02-22T00:00:00"/>
    <m/>
    <x v="4"/>
  </r>
  <r>
    <n v="320"/>
    <n v="11341"/>
    <x v="3"/>
    <n v="104973.37"/>
    <x v="0"/>
    <n v="15"/>
    <x v="3"/>
    <d v="2024-06-23T00:00:00"/>
    <d v="2024-07-08T00:00:00"/>
    <x v="7"/>
  </r>
  <r>
    <n v="321"/>
    <n v="11500"/>
    <x v="2"/>
    <n v="33635.39"/>
    <x v="0"/>
    <n v="9"/>
    <x v="1"/>
    <d v="2024-06-09T00:00:00"/>
    <d v="2024-06-18T00:00:00"/>
    <x v="7"/>
  </r>
  <r>
    <n v="322"/>
    <n v="18121"/>
    <x v="3"/>
    <n v="112451.11"/>
    <x v="0"/>
    <n v="20"/>
    <x v="2"/>
    <d v="2024-03-07T00:00:00"/>
    <d v="2024-03-27T00:00:00"/>
    <x v="5"/>
  </r>
  <r>
    <n v="323"/>
    <n v="15559"/>
    <x v="1"/>
    <n v="33207.71"/>
    <x v="0"/>
    <n v="33"/>
    <x v="1"/>
    <d v="2024-12-26T00:00:00"/>
    <d v="2025-01-28T00:00:00"/>
    <x v="11"/>
  </r>
  <r>
    <n v="324"/>
    <n v="15926"/>
    <x v="3"/>
    <n v="124186.79"/>
    <x v="1"/>
    <n v="36"/>
    <x v="3"/>
    <d v="2024-09-26T00:00:00"/>
    <d v="2024-11-01T00:00:00"/>
    <x v="9"/>
  </r>
  <r>
    <n v="325"/>
    <n v="18707"/>
    <x v="3"/>
    <n v="186985.44"/>
    <x v="0"/>
    <n v="24"/>
    <x v="3"/>
    <d v="2024-05-03T00:00:00"/>
    <d v="2024-05-27T00:00:00"/>
    <x v="3"/>
  </r>
  <r>
    <n v="326"/>
    <n v="17675"/>
    <x v="0"/>
    <n v="43161.22"/>
    <x v="1"/>
    <n v="22"/>
    <x v="3"/>
    <d v="2024-06-30T00:00:00"/>
    <d v="2024-07-22T00:00:00"/>
    <x v="7"/>
  </r>
  <r>
    <n v="327"/>
    <n v="19339"/>
    <x v="1"/>
    <n v="154089.93"/>
    <x v="2"/>
    <m/>
    <x v="0"/>
    <d v="2024-06-30T00:00:00"/>
    <m/>
    <x v="7"/>
  </r>
  <r>
    <n v="328"/>
    <n v="16457"/>
    <x v="3"/>
    <n v="9582.9699999999993"/>
    <x v="0"/>
    <n v="15"/>
    <x v="0"/>
    <d v="2024-02-05T00:00:00"/>
    <d v="2024-02-20T00:00:00"/>
    <x v="4"/>
  </r>
  <r>
    <n v="329"/>
    <n v="13256"/>
    <x v="3"/>
    <n v="78221.960000000006"/>
    <x v="0"/>
    <n v="17"/>
    <x v="1"/>
    <d v="2024-07-30T00:00:00"/>
    <d v="2024-08-16T00:00:00"/>
    <x v="2"/>
  </r>
  <r>
    <n v="330"/>
    <n v="12594"/>
    <x v="3"/>
    <n v="26595.96"/>
    <x v="0"/>
    <n v="25"/>
    <x v="1"/>
    <d v="2024-05-13T00:00:00"/>
    <d v="2024-06-07T00:00:00"/>
    <x v="3"/>
  </r>
  <r>
    <n v="331"/>
    <n v="13656"/>
    <x v="3"/>
    <n v="73732.710000000006"/>
    <x v="0"/>
    <n v="33"/>
    <x v="2"/>
    <d v="2024-12-18T00:00:00"/>
    <d v="2025-01-20T00:00:00"/>
    <x v="11"/>
  </r>
  <r>
    <n v="332"/>
    <n v="19740"/>
    <x v="1"/>
    <n v="38839.699999999997"/>
    <x v="0"/>
    <n v="12"/>
    <x v="2"/>
    <d v="2024-06-26T00:00:00"/>
    <d v="2024-07-08T00:00:00"/>
    <x v="7"/>
  </r>
  <r>
    <n v="333"/>
    <n v="12086"/>
    <x v="3"/>
    <n v="77794.47"/>
    <x v="0"/>
    <n v="12"/>
    <x v="1"/>
    <d v="2024-06-14T00:00:00"/>
    <d v="2024-06-26T00:00:00"/>
    <x v="7"/>
  </r>
  <r>
    <n v="334"/>
    <n v="13155"/>
    <x v="3"/>
    <n v="86416.95"/>
    <x v="1"/>
    <n v="5"/>
    <x v="0"/>
    <d v="2024-12-02T00:00:00"/>
    <d v="2024-12-07T00:00:00"/>
    <x v="11"/>
  </r>
  <r>
    <n v="335"/>
    <n v="17188"/>
    <x v="3"/>
    <n v="63615.27"/>
    <x v="0"/>
    <n v="27"/>
    <x v="3"/>
    <d v="2024-11-24T00:00:00"/>
    <d v="2024-12-21T00:00:00"/>
    <x v="1"/>
  </r>
  <r>
    <n v="336"/>
    <n v="16396"/>
    <x v="2"/>
    <n v="133041.28"/>
    <x v="0"/>
    <n v="6"/>
    <x v="1"/>
    <d v="2024-11-22T00:00:00"/>
    <d v="2024-11-28T00:00:00"/>
    <x v="1"/>
  </r>
  <r>
    <n v="337"/>
    <n v="10978"/>
    <x v="2"/>
    <n v="184176.15"/>
    <x v="0"/>
    <n v="37"/>
    <x v="2"/>
    <d v="2024-02-15T00:00:00"/>
    <d v="2024-03-23T00:00:00"/>
    <x v="4"/>
  </r>
  <r>
    <n v="338"/>
    <n v="13047"/>
    <x v="3"/>
    <n v="83116.100000000006"/>
    <x v="0"/>
    <n v="34"/>
    <x v="0"/>
    <d v="2024-06-04T00:00:00"/>
    <d v="2024-07-08T00:00:00"/>
    <x v="7"/>
  </r>
  <r>
    <n v="339"/>
    <n v="12589"/>
    <x v="1"/>
    <n v="42506.92"/>
    <x v="0"/>
    <n v="15"/>
    <x v="1"/>
    <d v="2024-08-23T00:00:00"/>
    <d v="2024-09-07T00:00:00"/>
    <x v="8"/>
  </r>
  <r>
    <n v="340"/>
    <n v="12006"/>
    <x v="3"/>
    <n v="57790.94"/>
    <x v="1"/>
    <n v="33"/>
    <x v="1"/>
    <d v="2024-11-11T00:00:00"/>
    <d v="2024-12-14T00:00:00"/>
    <x v="1"/>
  </r>
  <r>
    <n v="341"/>
    <n v="16783"/>
    <x v="3"/>
    <n v="171530.16"/>
    <x v="0"/>
    <n v="8"/>
    <x v="0"/>
    <d v="2024-02-29T00:00:00"/>
    <d v="2024-03-08T00:00:00"/>
    <x v="4"/>
  </r>
  <r>
    <n v="342"/>
    <n v="15942"/>
    <x v="1"/>
    <n v="116469.75"/>
    <x v="0"/>
    <n v="11"/>
    <x v="1"/>
    <d v="2024-01-05T00:00:00"/>
    <d v="2024-01-16T00:00:00"/>
    <x v="0"/>
  </r>
  <r>
    <n v="343"/>
    <n v="12599"/>
    <x v="2"/>
    <n v="93727.15"/>
    <x v="0"/>
    <n v="3"/>
    <x v="0"/>
    <d v="2024-06-29T00:00:00"/>
    <d v="2024-07-02T00:00:00"/>
    <x v="7"/>
  </r>
  <r>
    <n v="344"/>
    <n v="12508"/>
    <x v="2"/>
    <n v="34179.160000000003"/>
    <x v="0"/>
    <n v="11"/>
    <x v="3"/>
    <d v="2024-05-24T00:00:00"/>
    <d v="2024-06-04T00:00:00"/>
    <x v="3"/>
  </r>
  <r>
    <n v="345"/>
    <n v="18471"/>
    <x v="1"/>
    <n v="92696.83"/>
    <x v="1"/>
    <n v="36"/>
    <x v="0"/>
    <d v="2024-11-10T00:00:00"/>
    <d v="2024-12-16T00:00:00"/>
    <x v="1"/>
  </r>
  <r>
    <n v="346"/>
    <n v="11193"/>
    <x v="3"/>
    <n v="59305.94"/>
    <x v="0"/>
    <n v="22"/>
    <x v="0"/>
    <d v="2024-09-21T00:00:00"/>
    <d v="2024-10-13T00:00:00"/>
    <x v="9"/>
  </r>
  <r>
    <n v="347"/>
    <n v="15915"/>
    <x v="1"/>
    <n v="188916.81"/>
    <x v="1"/>
    <n v="41"/>
    <x v="0"/>
    <d v="2024-08-10T00:00:00"/>
    <d v="2024-09-20T00:00:00"/>
    <x v="8"/>
  </r>
  <r>
    <n v="348"/>
    <n v="19949"/>
    <x v="3"/>
    <n v="177393.67"/>
    <x v="0"/>
    <n v="43"/>
    <x v="1"/>
    <d v="2024-10-27T00:00:00"/>
    <d v="2024-12-09T00:00:00"/>
    <x v="6"/>
  </r>
  <r>
    <n v="349"/>
    <n v="12045"/>
    <x v="1"/>
    <n v="21361"/>
    <x v="0"/>
    <n v="9"/>
    <x v="1"/>
    <d v="2024-12-01T00:00:00"/>
    <d v="2024-12-10T00:00:00"/>
    <x v="11"/>
  </r>
  <r>
    <n v="350"/>
    <n v="17796"/>
    <x v="3"/>
    <n v="105747.43"/>
    <x v="0"/>
    <n v="19"/>
    <x v="0"/>
    <d v="2024-08-24T00:00:00"/>
    <d v="2024-09-12T00:00:00"/>
    <x v="8"/>
  </r>
  <r>
    <n v="351"/>
    <n v="18439"/>
    <x v="1"/>
    <n v="48886.38"/>
    <x v="0"/>
    <n v="10"/>
    <x v="1"/>
    <d v="2024-01-13T00:00:00"/>
    <d v="2024-01-23T00:00:00"/>
    <x v="0"/>
  </r>
  <r>
    <n v="352"/>
    <n v="19576"/>
    <x v="3"/>
    <n v="85101.53"/>
    <x v="0"/>
    <n v="42"/>
    <x v="2"/>
    <d v="2024-12-04T00:00:00"/>
    <d v="2025-01-15T00:00:00"/>
    <x v="11"/>
  </r>
  <r>
    <n v="353"/>
    <n v="19564"/>
    <x v="3"/>
    <n v="175985.36"/>
    <x v="1"/>
    <n v="31"/>
    <x v="2"/>
    <d v="2024-09-24T00:00:00"/>
    <d v="2024-10-25T00:00:00"/>
    <x v="9"/>
  </r>
  <r>
    <n v="354"/>
    <n v="17602"/>
    <x v="2"/>
    <n v="107865.33"/>
    <x v="0"/>
    <n v="5"/>
    <x v="1"/>
    <d v="2024-09-22T00:00:00"/>
    <d v="2024-09-27T00:00:00"/>
    <x v="9"/>
  </r>
  <r>
    <n v="355"/>
    <n v="13672"/>
    <x v="3"/>
    <n v="70171.98"/>
    <x v="0"/>
    <n v="36"/>
    <x v="1"/>
    <d v="2024-01-16T00:00:00"/>
    <d v="2024-02-21T00:00:00"/>
    <x v="0"/>
  </r>
  <r>
    <n v="356"/>
    <n v="17181"/>
    <x v="1"/>
    <n v="45538.23"/>
    <x v="0"/>
    <n v="15"/>
    <x v="0"/>
    <d v="2024-04-01T00:00:00"/>
    <d v="2024-04-16T00:00:00"/>
    <x v="10"/>
  </r>
  <r>
    <n v="357"/>
    <n v="10044"/>
    <x v="3"/>
    <n v="161063.35"/>
    <x v="0"/>
    <n v="15"/>
    <x v="3"/>
    <d v="2024-09-04T00:00:00"/>
    <d v="2024-09-19T00:00:00"/>
    <x v="9"/>
  </r>
  <r>
    <n v="358"/>
    <n v="12085"/>
    <x v="3"/>
    <n v="126781.01"/>
    <x v="0"/>
    <n v="38"/>
    <x v="1"/>
    <d v="2024-01-19T00:00:00"/>
    <d v="2024-02-26T00:00:00"/>
    <x v="0"/>
  </r>
  <r>
    <n v="359"/>
    <n v="14511"/>
    <x v="3"/>
    <n v="96272.76"/>
    <x v="0"/>
    <n v="21"/>
    <x v="2"/>
    <d v="2024-12-25T00:00:00"/>
    <d v="2025-01-15T00:00:00"/>
    <x v="11"/>
  </r>
  <r>
    <n v="360"/>
    <n v="16388"/>
    <x v="3"/>
    <n v="47409.45"/>
    <x v="0"/>
    <n v="30"/>
    <x v="0"/>
    <d v="2024-04-12T00:00:00"/>
    <d v="2024-05-12T00:00:00"/>
    <x v="10"/>
  </r>
  <r>
    <n v="361"/>
    <n v="17775"/>
    <x v="0"/>
    <n v="70178.039999999994"/>
    <x v="0"/>
    <n v="24"/>
    <x v="1"/>
    <d v="2024-04-04T00:00:00"/>
    <d v="2024-04-28T00:00:00"/>
    <x v="10"/>
  </r>
  <r>
    <n v="362"/>
    <n v="15371"/>
    <x v="3"/>
    <n v="192169.47"/>
    <x v="0"/>
    <n v="22"/>
    <x v="2"/>
    <d v="2024-10-09T00:00:00"/>
    <d v="2024-10-31T00:00:00"/>
    <x v="6"/>
  </r>
  <r>
    <n v="363"/>
    <n v="17948"/>
    <x v="2"/>
    <n v="106417.54"/>
    <x v="0"/>
    <n v="32"/>
    <x v="2"/>
    <d v="2024-07-31T00:00:00"/>
    <d v="2024-09-01T00:00:00"/>
    <x v="2"/>
  </r>
  <r>
    <n v="364"/>
    <n v="16223"/>
    <x v="1"/>
    <n v="83136.36"/>
    <x v="0"/>
    <n v="33"/>
    <x v="3"/>
    <d v="2024-02-06T00:00:00"/>
    <d v="2024-03-10T00:00:00"/>
    <x v="4"/>
  </r>
  <r>
    <n v="365"/>
    <n v="14323"/>
    <x v="3"/>
    <n v="106677.3"/>
    <x v="0"/>
    <n v="42"/>
    <x v="0"/>
    <d v="2024-03-01T00:00:00"/>
    <d v="2024-04-12T00:00:00"/>
    <x v="5"/>
  </r>
  <r>
    <n v="366"/>
    <n v="16626"/>
    <x v="1"/>
    <n v="156902.76"/>
    <x v="2"/>
    <m/>
    <x v="0"/>
    <d v="2024-10-17T00:00:00"/>
    <m/>
    <x v="6"/>
  </r>
  <r>
    <n v="367"/>
    <n v="18814"/>
    <x v="1"/>
    <n v="71321.240000000005"/>
    <x v="0"/>
    <n v="14"/>
    <x v="3"/>
    <d v="2024-12-27T00:00:00"/>
    <d v="2025-01-10T00:00:00"/>
    <x v="11"/>
  </r>
  <r>
    <n v="368"/>
    <n v="18049"/>
    <x v="1"/>
    <n v="39847.69"/>
    <x v="0"/>
    <n v="24"/>
    <x v="3"/>
    <d v="2024-10-29T00:00:00"/>
    <d v="2024-11-22T00:00:00"/>
    <x v="6"/>
  </r>
  <r>
    <n v="369"/>
    <n v="17091"/>
    <x v="3"/>
    <n v="119062.54"/>
    <x v="0"/>
    <n v="9"/>
    <x v="0"/>
    <d v="2024-08-31T00:00:00"/>
    <d v="2024-09-09T00:00:00"/>
    <x v="8"/>
  </r>
  <r>
    <n v="370"/>
    <n v="18676"/>
    <x v="3"/>
    <n v="134714.79999999999"/>
    <x v="0"/>
    <n v="13"/>
    <x v="0"/>
    <d v="2024-11-06T00:00:00"/>
    <d v="2024-11-19T00:00:00"/>
    <x v="1"/>
  </r>
  <r>
    <n v="371"/>
    <n v="18216"/>
    <x v="0"/>
    <n v="143980.01"/>
    <x v="1"/>
    <n v="37"/>
    <x v="1"/>
    <d v="2024-12-09T00:00:00"/>
    <d v="2025-01-15T00:00:00"/>
    <x v="11"/>
  </r>
  <r>
    <n v="372"/>
    <n v="11225"/>
    <x v="2"/>
    <n v="176987.58"/>
    <x v="0"/>
    <n v="17"/>
    <x v="1"/>
    <d v="2024-12-16T00:00:00"/>
    <d v="2025-01-02T00:00:00"/>
    <x v="11"/>
  </r>
  <r>
    <n v="373"/>
    <n v="11248"/>
    <x v="0"/>
    <n v="77378.95"/>
    <x v="2"/>
    <m/>
    <x v="3"/>
    <d v="2024-01-06T00:00:00"/>
    <m/>
    <x v="0"/>
  </r>
  <r>
    <n v="374"/>
    <n v="18970"/>
    <x v="3"/>
    <n v="19694.2"/>
    <x v="1"/>
    <n v="30"/>
    <x v="1"/>
    <d v="2024-11-01T00:00:00"/>
    <d v="2024-12-01T00:00:00"/>
    <x v="1"/>
  </r>
  <r>
    <n v="375"/>
    <n v="15026"/>
    <x v="1"/>
    <n v="191877.97"/>
    <x v="0"/>
    <n v="30"/>
    <x v="2"/>
    <d v="2024-06-13T00:00:00"/>
    <d v="2024-07-13T00:00:00"/>
    <x v="7"/>
  </r>
  <r>
    <n v="376"/>
    <n v="12842"/>
    <x v="3"/>
    <n v="89827.33"/>
    <x v="0"/>
    <n v="7"/>
    <x v="1"/>
    <d v="2024-01-13T00:00:00"/>
    <d v="2024-01-20T00:00:00"/>
    <x v="0"/>
  </r>
  <r>
    <n v="377"/>
    <n v="15698"/>
    <x v="3"/>
    <n v="126535.21"/>
    <x v="0"/>
    <n v="38"/>
    <x v="1"/>
    <d v="2024-01-25T00:00:00"/>
    <d v="2024-03-03T00:00:00"/>
    <x v="0"/>
  </r>
  <r>
    <n v="378"/>
    <n v="11582"/>
    <x v="3"/>
    <n v="134929.54"/>
    <x v="0"/>
    <n v="34"/>
    <x v="2"/>
    <d v="2024-08-11T00:00:00"/>
    <d v="2024-09-14T00:00:00"/>
    <x v="8"/>
  </r>
  <r>
    <n v="379"/>
    <n v="14848"/>
    <x v="1"/>
    <n v="111570.17"/>
    <x v="0"/>
    <n v="32"/>
    <x v="3"/>
    <d v="2024-05-02T00:00:00"/>
    <d v="2024-06-03T00:00:00"/>
    <x v="3"/>
  </r>
  <r>
    <n v="380"/>
    <n v="19905"/>
    <x v="3"/>
    <n v="45025.22"/>
    <x v="0"/>
    <n v="42"/>
    <x v="2"/>
    <d v="2024-05-08T00:00:00"/>
    <d v="2024-06-19T00:00:00"/>
    <x v="3"/>
  </r>
  <r>
    <n v="381"/>
    <n v="13138"/>
    <x v="3"/>
    <n v="152252.89000000001"/>
    <x v="0"/>
    <n v="19"/>
    <x v="1"/>
    <d v="2024-10-31T00:00:00"/>
    <d v="2024-11-19T00:00:00"/>
    <x v="6"/>
  </r>
  <r>
    <n v="382"/>
    <n v="14755"/>
    <x v="0"/>
    <n v="161731.63"/>
    <x v="0"/>
    <n v="39"/>
    <x v="3"/>
    <d v="2024-05-01T00:00:00"/>
    <d v="2024-06-09T00:00:00"/>
    <x v="3"/>
  </r>
  <r>
    <n v="383"/>
    <n v="11517"/>
    <x v="3"/>
    <n v="112830.24"/>
    <x v="0"/>
    <n v="32"/>
    <x v="1"/>
    <d v="2024-02-04T00:00:00"/>
    <d v="2024-03-07T00:00:00"/>
    <x v="4"/>
  </r>
  <r>
    <n v="384"/>
    <n v="14642"/>
    <x v="3"/>
    <n v="100269.43"/>
    <x v="1"/>
    <n v="17"/>
    <x v="2"/>
    <d v="2024-03-23T00:00:00"/>
    <d v="2024-04-09T00:00:00"/>
    <x v="5"/>
  </r>
  <r>
    <n v="385"/>
    <n v="15196"/>
    <x v="3"/>
    <n v="27217.95"/>
    <x v="0"/>
    <n v="41"/>
    <x v="2"/>
    <d v="2024-11-04T00:00:00"/>
    <d v="2024-12-15T00:00:00"/>
    <x v="1"/>
  </r>
  <r>
    <n v="386"/>
    <n v="13768"/>
    <x v="2"/>
    <n v="21370.57"/>
    <x v="1"/>
    <n v="38"/>
    <x v="1"/>
    <d v="2024-06-30T00:00:00"/>
    <d v="2024-08-07T00:00:00"/>
    <x v="7"/>
  </r>
  <r>
    <n v="387"/>
    <n v="16198"/>
    <x v="1"/>
    <n v="71215.14"/>
    <x v="0"/>
    <n v="15"/>
    <x v="0"/>
    <d v="2024-03-16T00:00:00"/>
    <d v="2024-03-31T00:00:00"/>
    <x v="5"/>
  </r>
  <r>
    <n v="388"/>
    <n v="18072"/>
    <x v="3"/>
    <n v="65615"/>
    <x v="0"/>
    <n v="40"/>
    <x v="0"/>
    <d v="2024-04-13T00:00:00"/>
    <d v="2024-05-23T00:00:00"/>
    <x v="10"/>
  </r>
  <r>
    <n v="389"/>
    <n v="19688"/>
    <x v="0"/>
    <n v="190963.01"/>
    <x v="0"/>
    <n v="5"/>
    <x v="2"/>
    <d v="2024-08-19T00:00:00"/>
    <d v="2024-08-24T00:00:00"/>
    <x v="8"/>
  </r>
  <r>
    <n v="390"/>
    <n v="15558"/>
    <x v="0"/>
    <n v="157806.43"/>
    <x v="0"/>
    <n v="31"/>
    <x v="2"/>
    <d v="2024-10-29T00:00:00"/>
    <d v="2024-11-29T00:00:00"/>
    <x v="6"/>
  </r>
  <r>
    <n v="391"/>
    <n v="19927"/>
    <x v="3"/>
    <n v="133685.24"/>
    <x v="0"/>
    <n v="34"/>
    <x v="0"/>
    <d v="2024-02-12T00:00:00"/>
    <d v="2024-03-17T00:00:00"/>
    <x v="4"/>
  </r>
  <r>
    <n v="392"/>
    <n v="11343"/>
    <x v="1"/>
    <n v="105941.38"/>
    <x v="0"/>
    <n v="37"/>
    <x v="0"/>
    <d v="2024-04-02T00:00:00"/>
    <d v="2024-05-09T00:00:00"/>
    <x v="10"/>
  </r>
  <r>
    <n v="393"/>
    <n v="15490"/>
    <x v="1"/>
    <n v="37636.67"/>
    <x v="1"/>
    <n v="31"/>
    <x v="1"/>
    <d v="2024-05-23T00:00:00"/>
    <d v="2024-06-23T00:00:00"/>
    <x v="3"/>
  </r>
  <r>
    <n v="394"/>
    <n v="15335"/>
    <x v="1"/>
    <n v="195799.05"/>
    <x v="0"/>
    <n v="15"/>
    <x v="1"/>
    <d v="2024-09-10T00:00:00"/>
    <d v="2024-09-25T00:00:00"/>
    <x v="9"/>
  </r>
  <r>
    <n v="395"/>
    <n v="10048"/>
    <x v="3"/>
    <n v="78132.94"/>
    <x v="0"/>
    <n v="24"/>
    <x v="0"/>
    <d v="2024-03-18T00:00:00"/>
    <d v="2024-04-11T00:00:00"/>
    <x v="5"/>
  </r>
  <r>
    <n v="396"/>
    <n v="15916"/>
    <x v="0"/>
    <n v="25850.49"/>
    <x v="1"/>
    <n v="29"/>
    <x v="1"/>
    <d v="2024-09-19T00:00:00"/>
    <d v="2024-10-18T00:00:00"/>
    <x v="9"/>
  </r>
  <r>
    <n v="397"/>
    <n v="12510"/>
    <x v="1"/>
    <n v="101290.78"/>
    <x v="1"/>
    <n v="8"/>
    <x v="1"/>
    <d v="2024-03-10T00:00:00"/>
    <d v="2024-03-18T00:00:00"/>
    <x v="5"/>
  </r>
  <r>
    <n v="398"/>
    <n v="16225"/>
    <x v="3"/>
    <n v="175429.61"/>
    <x v="0"/>
    <n v="43"/>
    <x v="3"/>
    <d v="2024-05-28T00:00:00"/>
    <d v="2024-07-10T00:00:00"/>
    <x v="3"/>
  </r>
  <r>
    <n v="399"/>
    <n v="13660"/>
    <x v="3"/>
    <n v="178021.75"/>
    <x v="0"/>
    <n v="11"/>
    <x v="1"/>
    <d v="2024-10-18T00:00:00"/>
    <d v="2024-10-29T00:00:00"/>
    <x v="6"/>
  </r>
  <r>
    <n v="400"/>
    <n v="11746"/>
    <x v="3"/>
    <n v="7138.35"/>
    <x v="1"/>
    <n v="5"/>
    <x v="2"/>
    <d v="2024-08-01T00:00:00"/>
    <d v="2024-08-06T00:00:00"/>
    <x v="8"/>
  </r>
  <r>
    <n v="401"/>
    <n v="18687"/>
    <x v="3"/>
    <n v="177827.67"/>
    <x v="0"/>
    <n v="39"/>
    <x v="1"/>
    <d v="2024-12-25T00:00:00"/>
    <d v="2025-02-02T00:00:00"/>
    <x v="11"/>
  </r>
  <r>
    <n v="402"/>
    <n v="18170"/>
    <x v="1"/>
    <n v="57939.42"/>
    <x v="0"/>
    <n v="14"/>
    <x v="1"/>
    <d v="2024-11-05T00:00:00"/>
    <d v="2024-11-19T00:00:00"/>
    <x v="1"/>
  </r>
  <r>
    <n v="403"/>
    <n v="10633"/>
    <x v="3"/>
    <n v="12599.61"/>
    <x v="0"/>
    <n v="22"/>
    <x v="0"/>
    <d v="2024-05-26T00:00:00"/>
    <d v="2024-06-17T00:00:00"/>
    <x v="3"/>
  </r>
  <r>
    <n v="404"/>
    <n v="16980"/>
    <x v="3"/>
    <n v="170319.1"/>
    <x v="1"/>
    <n v="34"/>
    <x v="2"/>
    <d v="2024-01-25T00:00:00"/>
    <d v="2024-02-28T00:00:00"/>
    <x v="0"/>
  </r>
  <r>
    <n v="405"/>
    <n v="12720"/>
    <x v="1"/>
    <n v="173454.02"/>
    <x v="0"/>
    <n v="41"/>
    <x v="1"/>
    <d v="2024-11-18T00:00:00"/>
    <d v="2024-12-29T00:00:00"/>
    <x v="1"/>
  </r>
  <r>
    <n v="406"/>
    <n v="10175"/>
    <x v="3"/>
    <n v="121265.06"/>
    <x v="2"/>
    <m/>
    <x v="1"/>
    <d v="2024-04-18T00:00:00"/>
    <m/>
    <x v="10"/>
  </r>
  <r>
    <n v="407"/>
    <n v="18830"/>
    <x v="2"/>
    <n v="117014.58"/>
    <x v="0"/>
    <n v="24"/>
    <x v="3"/>
    <d v="2024-06-29T00:00:00"/>
    <d v="2024-07-23T00:00:00"/>
    <x v="7"/>
  </r>
  <r>
    <n v="408"/>
    <n v="18152"/>
    <x v="3"/>
    <n v="163558.45000000001"/>
    <x v="1"/>
    <n v="33"/>
    <x v="1"/>
    <d v="2024-09-07T00:00:00"/>
    <d v="2024-10-10T00:00:00"/>
    <x v="9"/>
  </r>
  <r>
    <n v="409"/>
    <n v="13357"/>
    <x v="3"/>
    <n v="158330.35999999999"/>
    <x v="0"/>
    <n v="6"/>
    <x v="1"/>
    <d v="2024-07-21T00:00:00"/>
    <d v="2024-07-27T00:00:00"/>
    <x v="2"/>
  </r>
  <r>
    <n v="410"/>
    <n v="14392"/>
    <x v="3"/>
    <n v="178570.57"/>
    <x v="0"/>
    <n v="27"/>
    <x v="3"/>
    <d v="2024-10-30T00:00:00"/>
    <d v="2024-11-26T00:00:00"/>
    <x v="6"/>
  </r>
  <r>
    <n v="411"/>
    <n v="15379"/>
    <x v="3"/>
    <n v="112785.75"/>
    <x v="1"/>
    <n v="40"/>
    <x v="0"/>
    <d v="2024-06-18T00:00:00"/>
    <d v="2024-07-28T00:00:00"/>
    <x v="7"/>
  </r>
  <r>
    <n v="412"/>
    <n v="15970"/>
    <x v="3"/>
    <n v="193691.18"/>
    <x v="0"/>
    <n v="27"/>
    <x v="1"/>
    <d v="2024-06-23T00:00:00"/>
    <d v="2024-07-20T00:00:00"/>
    <x v="7"/>
  </r>
  <r>
    <n v="413"/>
    <n v="18666"/>
    <x v="1"/>
    <n v="199248.63"/>
    <x v="0"/>
    <n v="4"/>
    <x v="3"/>
    <d v="2024-12-12T00:00:00"/>
    <d v="2024-12-16T00:00:00"/>
    <x v="11"/>
  </r>
  <r>
    <n v="414"/>
    <n v="19838"/>
    <x v="2"/>
    <n v="27726.2"/>
    <x v="0"/>
    <n v="25"/>
    <x v="2"/>
    <d v="2024-06-18T00:00:00"/>
    <d v="2024-07-13T00:00:00"/>
    <x v="7"/>
  </r>
  <r>
    <n v="415"/>
    <n v="11958"/>
    <x v="3"/>
    <n v="170661.03"/>
    <x v="0"/>
    <n v="35"/>
    <x v="0"/>
    <d v="2024-01-02T00:00:00"/>
    <d v="2024-02-06T00:00:00"/>
    <x v="0"/>
  </r>
  <r>
    <n v="416"/>
    <n v="16679"/>
    <x v="1"/>
    <n v="102465.34"/>
    <x v="0"/>
    <n v="35"/>
    <x v="2"/>
    <d v="2024-05-13T00:00:00"/>
    <d v="2024-06-17T00:00:00"/>
    <x v="3"/>
  </r>
  <r>
    <n v="417"/>
    <n v="17348"/>
    <x v="1"/>
    <n v="80575.44"/>
    <x v="0"/>
    <n v="21"/>
    <x v="2"/>
    <d v="2024-05-06T00:00:00"/>
    <d v="2024-05-27T00:00:00"/>
    <x v="3"/>
  </r>
  <r>
    <n v="418"/>
    <n v="15884"/>
    <x v="0"/>
    <n v="124549.1"/>
    <x v="0"/>
    <n v="31"/>
    <x v="3"/>
    <d v="2024-02-15T00:00:00"/>
    <d v="2024-03-17T00:00:00"/>
    <x v="4"/>
  </r>
  <r>
    <n v="419"/>
    <n v="18540"/>
    <x v="3"/>
    <n v="15913.28"/>
    <x v="0"/>
    <n v="43"/>
    <x v="1"/>
    <d v="2024-07-12T00:00:00"/>
    <d v="2024-08-24T00:00:00"/>
    <x v="2"/>
  </r>
  <r>
    <n v="420"/>
    <n v="18828"/>
    <x v="3"/>
    <n v="103759.92"/>
    <x v="0"/>
    <n v="21"/>
    <x v="3"/>
    <d v="2024-12-27T00:00:00"/>
    <d v="2025-01-17T00:00:00"/>
    <x v="11"/>
  </r>
  <r>
    <n v="421"/>
    <n v="13614"/>
    <x v="3"/>
    <n v="174823.66"/>
    <x v="0"/>
    <n v="42"/>
    <x v="3"/>
    <d v="2024-07-27T00:00:00"/>
    <d v="2024-09-07T00:00:00"/>
    <x v="2"/>
  </r>
  <r>
    <n v="422"/>
    <n v="13820"/>
    <x v="1"/>
    <n v="46625"/>
    <x v="1"/>
    <n v="19"/>
    <x v="3"/>
    <d v="2024-10-22T00:00:00"/>
    <d v="2024-11-10T00:00:00"/>
    <x v="6"/>
  </r>
  <r>
    <n v="423"/>
    <n v="14322"/>
    <x v="0"/>
    <n v="88146.03"/>
    <x v="0"/>
    <n v="39"/>
    <x v="3"/>
    <d v="2024-02-27T00:00:00"/>
    <d v="2024-04-06T00:00:00"/>
    <x v="4"/>
  </r>
  <r>
    <n v="424"/>
    <n v="15467"/>
    <x v="3"/>
    <n v="188198.77"/>
    <x v="0"/>
    <n v="21"/>
    <x v="0"/>
    <d v="2024-03-18T00:00:00"/>
    <d v="2024-04-08T00:00:00"/>
    <x v="5"/>
  </r>
  <r>
    <n v="425"/>
    <n v="15502"/>
    <x v="3"/>
    <n v="88569.95"/>
    <x v="2"/>
    <m/>
    <x v="1"/>
    <d v="2024-07-20T00:00:00"/>
    <m/>
    <x v="2"/>
  </r>
  <r>
    <n v="426"/>
    <n v="16379"/>
    <x v="2"/>
    <n v="74881.69"/>
    <x v="0"/>
    <n v="43"/>
    <x v="2"/>
    <d v="2024-10-15T00:00:00"/>
    <d v="2024-11-27T00:00:00"/>
    <x v="6"/>
  </r>
  <r>
    <n v="427"/>
    <n v="11204"/>
    <x v="0"/>
    <n v="90904.65"/>
    <x v="1"/>
    <n v="26"/>
    <x v="2"/>
    <d v="2024-03-02T00:00:00"/>
    <d v="2024-03-28T00:00:00"/>
    <x v="5"/>
  </r>
  <r>
    <n v="428"/>
    <n v="16449"/>
    <x v="2"/>
    <n v="106293.29"/>
    <x v="1"/>
    <n v="42"/>
    <x v="1"/>
    <d v="2024-09-24T00:00:00"/>
    <d v="2024-11-05T00:00:00"/>
    <x v="9"/>
  </r>
  <r>
    <n v="429"/>
    <n v="18539"/>
    <x v="1"/>
    <n v="128238.31"/>
    <x v="1"/>
    <n v="42"/>
    <x v="2"/>
    <d v="2024-05-05T00:00:00"/>
    <d v="2024-06-16T00:00:00"/>
    <x v="3"/>
  </r>
  <r>
    <n v="430"/>
    <n v="11203"/>
    <x v="3"/>
    <n v="161135.1"/>
    <x v="0"/>
    <n v="4"/>
    <x v="1"/>
    <d v="2024-02-18T00:00:00"/>
    <d v="2024-02-22T00:00:00"/>
    <x v="4"/>
  </r>
  <r>
    <n v="431"/>
    <n v="16558"/>
    <x v="1"/>
    <n v="93159.93"/>
    <x v="1"/>
    <n v="44"/>
    <x v="2"/>
    <d v="2024-03-28T00:00:00"/>
    <d v="2024-05-11T00:00:00"/>
    <x v="5"/>
  </r>
  <r>
    <n v="432"/>
    <n v="10982"/>
    <x v="1"/>
    <n v="164408.78"/>
    <x v="1"/>
    <n v="20"/>
    <x v="3"/>
    <d v="2024-11-29T00:00:00"/>
    <d v="2024-12-19T00:00:00"/>
    <x v="1"/>
  </r>
  <r>
    <n v="433"/>
    <n v="18923"/>
    <x v="3"/>
    <n v="109075.53"/>
    <x v="0"/>
    <n v="11"/>
    <x v="2"/>
    <d v="2024-09-17T00:00:00"/>
    <d v="2024-09-28T00:00:00"/>
    <x v="9"/>
  </r>
  <r>
    <n v="434"/>
    <n v="16528"/>
    <x v="1"/>
    <n v="71003.7"/>
    <x v="0"/>
    <n v="6"/>
    <x v="1"/>
    <d v="2024-06-27T00:00:00"/>
    <d v="2024-07-03T00:00:00"/>
    <x v="7"/>
  </r>
  <r>
    <n v="435"/>
    <n v="16655"/>
    <x v="1"/>
    <n v="133300.41"/>
    <x v="0"/>
    <n v="23"/>
    <x v="1"/>
    <d v="2024-03-09T00:00:00"/>
    <d v="2024-04-01T00:00:00"/>
    <x v="5"/>
  </r>
  <r>
    <n v="436"/>
    <n v="15599"/>
    <x v="3"/>
    <n v="144955.84"/>
    <x v="0"/>
    <n v="10"/>
    <x v="1"/>
    <d v="2024-02-29T00:00:00"/>
    <d v="2024-03-10T00:00:00"/>
    <x v="4"/>
  </r>
  <r>
    <n v="437"/>
    <n v="15690"/>
    <x v="1"/>
    <n v="113819.55"/>
    <x v="0"/>
    <n v="34"/>
    <x v="1"/>
    <d v="2024-10-28T00:00:00"/>
    <d v="2024-12-01T00:00:00"/>
    <x v="6"/>
  </r>
  <r>
    <n v="438"/>
    <n v="15905"/>
    <x v="1"/>
    <n v="16039.92"/>
    <x v="0"/>
    <n v="16"/>
    <x v="1"/>
    <d v="2024-09-05T00:00:00"/>
    <d v="2024-09-21T00:00:00"/>
    <x v="9"/>
  </r>
  <r>
    <n v="439"/>
    <n v="16331"/>
    <x v="2"/>
    <n v="38127.160000000003"/>
    <x v="0"/>
    <n v="25"/>
    <x v="0"/>
    <d v="2024-06-17T00:00:00"/>
    <d v="2024-07-12T00:00:00"/>
    <x v="7"/>
  </r>
  <r>
    <n v="440"/>
    <n v="18644"/>
    <x v="3"/>
    <n v="60633.06"/>
    <x v="0"/>
    <n v="31"/>
    <x v="0"/>
    <d v="2024-09-25T00:00:00"/>
    <d v="2024-10-26T00:00:00"/>
    <x v="9"/>
  </r>
  <r>
    <n v="441"/>
    <n v="14073"/>
    <x v="3"/>
    <n v="60111.99"/>
    <x v="0"/>
    <n v="37"/>
    <x v="2"/>
    <d v="2024-12-29T00:00:00"/>
    <d v="2025-02-04T00:00:00"/>
    <x v="11"/>
  </r>
  <r>
    <n v="442"/>
    <n v="12894"/>
    <x v="1"/>
    <n v="136317.06"/>
    <x v="0"/>
    <n v="40"/>
    <x v="1"/>
    <d v="2024-04-21T00:00:00"/>
    <d v="2024-05-31T00:00:00"/>
    <x v="10"/>
  </r>
  <r>
    <n v="443"/>
    <n v="12234"/>
    <x v="3"/>
    <n v="8577.99"/>
    <x v="2"/>
    <m/>
    <x v="2"/>
    <d v="2024-04-09T00:00:00"/>
    <m/>
    <x v="10"/>
  </r>
  <r>
    <n v="444"/>
    <n v="17631"/>
    <x v="1"/>
    <n v="152357.95000000001"/>
    <x v="0"/>
    <n v="16"/>
    <x v="1"/>
    <d v="2024-08-02T00:00:00"/>
    <d v="2024-08-18T00:00:00"/>
    <x v="8"/>
  </r>
  <r>
    <n v="445"/>
    <n v="15859"/>
    <x v="1"/>
    <n v="56741.78"/>
    <x v="0"/>
    <n v="39"/>
    <x v="1"/>
    <d v="2024-04-22T00:00:00"/>
    <d v="2024-05-31T00:00:00"/>
    <x v="10"/>
  </r>
  <r>
    <n v="446"/>
    <n v="18355"/>
    <x v="3"/>
    <n v="65454.26"/>
    <x v="0"/>
    <n v="40"/>
    <x v="0"/>
    <d v="2024-04-06T00:00:00"/>
    <d v="2024-05-16T00:00:00"/>
    <x v="10"/>
  </r>
  <r>
    <n v="447"/>
    <n v="11447"/>
    <x v="1"/>
    <n v="107942.42"/>
    <x v="0"/>
    <n v="23"/>
    <x v="0"/>
    <d v="2024-11-02T00:00:00"/>
    <d v="2024-11-25T00:00:00"/>
    <x v="1"/>
  </r>
  <r>
    <n v="448"/>
    <n v="10101"/>
    <x v="1"/>
    <n v="47105.49"/>
    <x v="1"/>
    <n v="4"/>
    <x v="3"/>
    <d v="2024-04-27T00:00:00"/>
    <d v="2024-05-01T00:00:00"/>
    <x v="10"/>
  </r>
  <r>
    <n v="449"/>
    <n v="17434"/>
    <x v="3"/>
    <n v="177471.91"/>
    <x v="2"/>
    <m/>
    <x v="0"/>
    <d v="2024-02-05T00:00:00"/>
    <m/>
    <x v="4"/>
  </r>
  <r>
    <n v="450"/>
    <n v="17320"/>
    <x v="2"/>
    <n v="21646.91"/>
    <x v="0"/>
    <n v="30"/>
    <x v="3"/>
    <d v="2024-12-02T00:00:00"/>
    <d v="2025-01-01T00:00:00"/>
    <x v="11"/>
  </r>
  <r>
    <n v="451"/>
    <n v="19644"/>
    <x v="0"/>
    <n v="91654.56"/>
    <x v="2"/>
    <m/>
    <x v="3"/>
    <d v="2024-12-24T00:00:00"/>
    <m/>
    <x v="11"/>
  </r>
  <r>
    <n v="452"/>
    <n v="10535"/>
    <x v="1"/>
    <n v="170637.34"/>
    <x v="0"/>
    <n v="3"/>
    <x v="3"/>
    <d v="2024-10-16T00:00:00"/>
    <d v="2024-10-19T00:00:00"/>
    <x v="6"/>
  </r>
  <r>
    <n v="453"/>
    <n v="17500"/>
    <x v="1"/>
    <n v="125089.56"/>
    <x v="0"/>
    <n v="36"/>
    <x v="3"/>
    <d v="2024-10-30T00:00:00"/>
    <d v="2024-12-05T00:00:00"/>
    <x v="6"/>
  </r>
  <r>
    <n v="454"/>
    <n v="11700"/>
    <x v="3"/>
    <n v="62004.26"/>
    <x v="0"/>
    <n v="10"/>
    <x v="3"/>
    <d v="2024-12-25T00:00:00"/>
    <d v="2025-01-04T00:00:00"/>
    <x v="11"/>
  </r>
  <r>
    <n v="455"/>
    <n v="17039"/>
    <x v="2"/>
    <n v="87048.24"/>
    <x v="1"/>
    <n v="23"/>
    <x v="2"/>
    <d v="2024-12-12T00:00:00"/>
    <d v="2025-01-04T00:00:00"/>
    <x v="11"/>
  </r>
  <r>
    <n v="456"/>
    <n v="19655"/>
    <x v="1"/>
    <n v="142805.4"/>
    <x v="0"/>
    <n v="20"/>
    <x v="0"/>
    <d v="2024-05-03T00:00:00"/>
    <d v="2024-05-23T00:00:00"/>
    <x v="3"/>
  </r>
  <r>
    <n v="457"/>
    <n v="17114"/>
    <x v="1"/>
    <n v="194785.84"/>
    <x v="0"/>
    <n v="38"/>
    <x v="3"/>
    <d v="2024-02-09T00:00:00"/>
    <d v="2024-03-18T00:00:00"/>
    <x v="4"/>
  </r>
  <r>
    <n v="458"/>
    <n v="17469"/>
    <x v="0"/>
    <n v="179162.05"/>
    <x v="1"/>
    <n v="11"/>
    <x v="1"/>
    <d v="2024-05-20T00:00:00"/>
    <d v="2024-05-31T00:00:00"/>
    <x v="3"/>
  </r>
  <r>
    <n v="459"/>
    <n v="16492"/>
    <x v="3"/>
    <n v="71774.399999999994"/>
    <x v="0"/>
    <n v="22"/>
    <x v="0"/>
    <d v="2024-01-26T00:00:00"/>
    <d v="2024-02-17T00:00:00"/>
    <x v="0"/>
  </r>
  <r>
    <n v="460"/>
    <n v="14344"/>
    <x v="0"/>
    <n v="199648.59"/>
    <x v="0"/>
    <n v="18"/>
    <x v="0"/>
    <d v="2024-05-21T00:00:00"/>
    <d v="2024-06-08T00:00:00"/>
    <x v="3"/>
  </r>
  <r>
    <n v="461"/>
    <n v="11971"/>
    <x v="3"/>
    <n v="5683.41"/>
    <x v="1"/>
    <n v="4"/>
    <x v="3"/>
    <d v="2024-12-17T00:00:00"/>
    <d v="2024-12-21T00:00:00"/>
    <x v="11"/>
  </r>
  <r>
    <n v="462"/>
    <n v="19644"/>
    <x v="3"/>
    <n v="10387.799999999999"/>
    <x v="0"/>
    <n v="8"/>
    <x v="2"/>
    <d v="2024-12-01T00:00:00"/>
    <d v="2024-12-09T00:00:00"/>
    <x v="11"/>
  </r>
  <r>
    <n v="463"/>
    <n v="19785"/>
    <x v="3"/>
    <n v="165648.9"/>
    <x v="0"/>
    <n v="42"/>
    <x v="3"/>
    <d v="2024-02-26T00:00:00"/>
    <d v="2024-04-08T00:00:00"/>
    <x v="4"/>
  </r>
  <r>
    <n v="464"/>
    <n v="10712"/>
    <x v="2"/>
    <n v="43895.22"/>
    <x v="0"/>
    <n v="38"/>
    <x v="2"/>
    <d v="2024-05-29T00:00:00"/>
    <d v="2024-07-06T00:00:00"/>
    <x v="3"/>
  </r>
  <r>
    <n v="465"/>
    <n v="13655"/>
    <x v="0"/>
    <n v="16850.009999999998"/>
    <x v="0"/>
    <n v="37"/>
    <x v="1"/>
    <d v="2024-07-23T00:00:00"/>
    <d v="2024-08-29T00:00:00"/>
    <x v="2"/>
  </r>
  <r>
    <n v="466"/>
    <n v="16241"/>
    <x v="1"/>
    <n v="51243.87"/>
    <x v="0"/>
    <n v="4"/>
    <x v="0"/>
    <d v="2024-03-16T00:00:00"/>
    <d v="2024-03-20T00:00:00"/>
    <x v="5"/>
  </r>
  <r>
    <n v="467"/>
    <n v="16472"/>
    <x v="1"/>
    <n v="88089.53"/>
    <x v="0"/>
    <n v="14"/>
    <x v="1"/>
    <d v="2024-10-11T00:00:00"/>
    <d v="2024-10-25T00:00:00"/>
    <x v="6"/>
  </r>
  <r>
    <n v="468"/>
    <n v="17760"/>
    <x v="1"/>
    <n v="147460.42000000001"/>
    <x v="0"/>
    <n v="42"/>
    <x v="2"/>
    <d v="2024-07-28T00:00:00"/>
    <d v="2024-09-08T00:00:00"/>
    <x v="2"/>
  </r>
  <r>
    <n v="469"/>
    <n v="19640"/>
    <x v="2"/>
    <n v="126745.43"/>
    <x v="0"/>
    <n v="31"/>
    <x v="2"/>
    <d v="2024-09-14T00:00:00"/>
    <d v="2024-10-15T00:00:00"/>
    <x v="9"/>
  </r>
  <r>
    <n v="470"/>
    <n v="13648"/>
    <x v="3"/>
    <n v="51336.14"/>
    <x v="1"/>
    <n v="24"/>
    <x v="1"/>
    <d v="2024-09-15T00:00:00"/>
    <d v="2024-10-09T00:00:00"/>
    <x v="9"/>
  </r>
  <r>
    <n v="471"/>
    <n v="15124"/>
    <x v="3"/>
    <n v="103137.74"/>
    <x v="2"/>
    <m/>
    <x v="2"/>
    <d v="2024-07-02T00:00:00"/>
    <m/>
    <x v="2"/>
  </r>
  <r>
    <n v="472"/>
    <n v="18650"/>
    <x v="3"/>
    <n v="185611.75"/>
    <x v="0"/>
    <n v="31"/>
    <x v="1"/>
    <d v="2024-11-23T00:00:00"/>
    <d v="2024-12-24T00:00:00"/>
    <x v="1"/>
  </r>
  <r>
    <n v="473"/>
    <n v="12843"/>
    <x v="1"/>
    <n v="163926.51999999999"/>
    <x v="0"/>
    <n v="30"/>
    <x v="0"/>
    <d v="2024-01-11T00:00:00"/>
    <d v="2024-02-10T00:00:00"/>
    <x v="0"/>
  </r>
  <r>
    <n v="474"/>
    <n v="17973"/>
    <x v="1"/>
    <n v="68022.009999999995"/>
    <x v="2"/>
    <m/>
    <x v="1"/>
    <d v="2024-06-08T00:00:00"/>
    <m/>
    <x v="7"/>
  </r>
  <r>
    <n v="475"/>
    <n v="10592"/>
    <x v="3"/>
    <n v="196541.59"/>
    <x v="0"/>
    <n v="11"/>
    <x v="0"/>
    <d v="2024-09-16T00:00:00"/>
    <d v="2024-09-27T00:00:00"/>
    <x v="9"/>
  </r>
  <r>
    <n v="476"/>
    <n v="10497"/>
    <x v="3"/>
    <n v="143180.98000000001"/>
    <x v="0"/>
    <n v="34"/>
    <x v="1"/>
    <d v="2024-03-28T00:00:00"/>
    <d v="2024-05-01T00:00:00"/>
    <x v="5"/>
  </r>
  <r>
    <n v="477"/>
    <n v="12134"/>
    <x v="0"/>
    <n v="17177.62"/>
    <x v="2"/>
    <m/>
    <x v="2"/>
    <d v="2024-07-02T00:00:00"/>
    <m/>
    <x v="2"/>
  </r>
  <r>
    <n v="478"/>
    <n v="12449"/>
    <x v="3"/>
    <n v="11856.34"/>
    <x v="1"/>
    <n v="30"/>
    <x v="1"/>
    <d v="2024-01-16T00:00:00"/>
    <d v="2024-02-15T00:00:00"/>
    <x v="0"/>
  </r>
  <r>
    <n v="479"/>
    <n v="15412"/>
    <x v="1"/>
    <n v="37839.550000000003"/>
    <x v="1"/>
    <n v="30"/>
    <x v="2"/>
    <d v="2024-08-31T00:00:00"/>
    <d v="2024-09-30T00:00:00"/>
    <x v="8"/>
  </r>
  <r>
    <n v="480"/>
    <n v="17448"/>
    <x v="2"/>
    <n v="146931.89000000001"/>
    <x v="1"/>
    <n v="22"/>
    <x v="1"/>
    <d v="2024-03-26T00:00:00"/>
    <d v="2024-04-17T00:00:00"/>
    <x v="5"/>
  </r>
  <r>
    <n v="481"/>
    <n v="14292"/>
    <x v="3"/>
    <n v="40829.089999999997"/>
    <x v="0"/>
    <n v="2"/>
    <x v="1"/>
    <d v="2024-07-17T00:00:00"/>
    <d v="2024-07-19T00:00:00"/>
    <x v="2"/>
  </r>
  <r>
    <n v="482"/>
    <n v="10026"/>
    <x v="3"/>
    <n v="104739.92"/>
    <x v="0"/>
    <n v="35"/>
    <x v="3"/>
    <d v="2024-01-10T00:00:00"/>
    <d v="2024-02-14T00:00:00"/>
    <x v="0"/>
  </r>
  <r>
    <n v="483"/>
    <n v="19909"/>
    <x v="1"/>
    <n v="23185.72"/>
    <x v="0"/>
    <n v="33"/>
    <x v="2"/>
    <d v="2024-06-12T00:00:00"/>
    <d v="2024-07-15T00:00:00"/>
    <x v="7"/>
  </r>
  <r>
    <n v="484"/>
    <n v="12253"/>
    <x v="0"/>
    <n v="184572.79999999999"/>
    <x v="0"/>
    <n v="15"/>
    <x v="3"/>
    <d v="2024-01-24T00:00:00"/>
    <d v="2024-02-08T00:00:00"/>
    <x v="0"/>
  </r>
  <r>
    <n v="485"/>
    <n v="13642"/>
    <x v="1"/>
    <n v="72072.320000000007"/>
    <x v="0"/>
    <n v="38"/>
    <x v="2"/>
    <d v="2024-03-04T00:00:00"/>
    <d v="2024-04-11T00:00:00"/>
    <x v="5"/>
  </r>
  <r>
    <n v="486"/>
    <n v="13655"/>
    <x v="2"/>
    <n v="182085.75"/>
    <x v="1"/>
    <n v="36"/>
    <x v="3"/>
    <d v="2024-11-07T00:00:00"/>
    <d v="2024-12-13T00:00:00"/>
    <x v="1"/>
  </r>
  <r>
    <n v="487"/>
    <n v="19475"/>
    <x v="3"/>
    <n v="189250.75"/>
    <x v="1"/>
    <n v="25"/>
    <x v="0"/>
    <d v="2024-08-25T00:00:00"/>
    <d v="2024-09-19T00:00:00"/>
    <x v="8"/>
  </r>
  <r>
    <n v="488"/>
    <n v="11086"/>
    <x v="1"/>
    <n v="6195.09"/>
    <x v="0"/>
    <n v="2"/>
    <x v="1"/>
    <d v="2024-12-10T00:00:00"/>
    <d v="2024-12-12T00:00:00"/>
    <x v="11"/>
  </r>
  <r>
    <n v="489"/>
    <n v="18022"/>
    <x v="1"/>
    <n v="95506.36"/>
    <x v="1"/>
    <n v="7"/>
    <x v="2"/>
    <d v="2024-08-25T00:00:00"/>
    <d v="2024-09-01T00:00:00"/>
    <x v="8"/>
  </r>
  <r>
    <n v="490"/>
    <n v="12015"/>
    <x v="0"/>
    <n v="9807.93"/>
    <x v="1"/>
    <n v="5"/>
    <x v="2"/>
    <d v="2024-01-22T00:00:00"/>
    <d v="2024-01-27T00:00:00"/>
    <x v="0"/>
  </r>
  <r>
    <n v="491"/>
    <n v="15067"/>
    <x v="3"/>
    <n v="182195.09"/>
    <x v="0"/>
    <n v="39"/>
    <x v="1"/>
    <d v="2024-06-28T00:00:00"/>
    <d v="2024-08-06T00:00:00"/>
    <x v="7"/>
  </r>
  <r>
    <n v="492"/>
    <n v="19907"/>
    <x v="0"/>
    <n v="106089.47"/>
    <x v="0"/>
    <n v="2"/>
    <x v="2"/>
    <d v="2024-11-01T00:00:00"/>
    <d v="2024-11-03T00:00:00"/>
    <x v="1"/>
  </r>
  <r>
    <n v="493"/>
    <n v="17123"/>
    <x v="1"/>
    <n v="19614.080000000002"/>
    <x v="0"/>
    <n v="42"/>
    <x v="2"/>
    <d v="2024-02-16T00:00:00"/>
    <d v="2024-03-29T00:00:00"/>
    <x v="4"/>
  </r>
  <r>
    <n v="494"/>
    <n v="19918"/>
    <x v="3"/>
    <n v="26503.96"/>
    <x v="0"/>
    <n v="32"/>
    <x v="3"/>
    <d v="2024-10-05T00:00:00"/>
    <d v="2024-11-06T00:00:00"/>
    <x v="6"/>
  </r>
  <r>
    <n v="495"/>
    <n v="17084"/>
    <x v="3"/>
    <n v="79784.259999999995"/>
    <x v="0"/>
    <n v="37"/>
    <x v="2"/>
    <d v="2024-08-11T00:00:00"/>
    <d v="2024-09-17T00:00:00"/>
    <x v="8"/>
  </r>
  <r>
    <n v="496"/>
    <n v="19099"/>
    <x v="0"/>
    <n v="188345.67"/>
    <x v="0"/>
    <n v="10"/>
    <x v="0"/>
    <d v="2024-08-05T00:00:00"/>
    <d v="2024-08-15T00:00:00"/>
    <x v="8"/>
  </r>
  <r>
    <n v="497"/>
    <n v="13463"/>
    <x v="3"/>
    <n v="140117.28"/>
    <x v="0"/>
    <n v="42"/>
    <x v="0"/>
    <d v="2024-08-24T00:00:00"/>
    <d v="2024-10-05T00:00:00"/>
    <x v="8"/>
  </r>
  <r>
    <n v="498"/>
    <n v="14341"/>
    <x v="3"/>
    <n v="174185.68"/>
    <x v="0"/>
    <n v="24"/>
    <x v="1"/>
    <d v="2024-07-22T00:00:00"/>
    <d v="2024-08-15T00:00:00"/>
    <x v="2"/>
  </r>
  <r>
    <n v="499"/>
    <n v="16421"/>
    <x v="3"/>
    <n v="76459.05"/>
    <x v="2"/>
    <m/>
    <x v="2"/>
    <d v="2024-12-04T00:00:00"/>
    <m/>
    <x v="11"/>
  </r>
  <r>
    <n v="500"/>
    <n v="14467"/>
    <x v="0"/>
    <n v="13426.67"/>
    <x v="0"/>
    <n v="30"/>
    <x v="1"/>
    <d v="2024-01-19T00:00:00"/>
    <d v="2024-02-18T00:00:00"/>
    <x v="0"/>
  </r>
  <r>
    <n v="501"/>
    <n v="19000"/>
    <x v="1"/>
    <n v="194991.94"/>
    <x v="1"/>
    <n v="22"/>
    <x v="0"/>
    <d v="2024-06-28T00:00:00"/>
    <d v="2024-07-20T00:00:00"/>
    <x v="7"/>
  </r>
  <r>
    <n v="502"/>
    <n v="12896"/>
    <x v="1"/>
    <n v="8348.73"/>
    <x v="0"/>
    <n v="4"/>
    <x v="2"/>
    <d v="2024-06-10T00:00:00"/>
    <d v="2024-06-14T00:00:00"/>
    <x v="7"/>
  </r>
  <r>
    <n v="503"/>
    <n v="13128"/>
    <x v="3"/>
    <n v="189792.07"/>
    <x v="0"/>
    <n v="27"/>
    <x v="2"/>
    <d v="2024-10-11T00:00:00"/>
    <d v="2024-11-07T00:00:00"/>
    <x v="6"/>
  </r>
  <r>
    <n v="504"/>
    <n v="14255"/>
    <x v="1"/>
    <n v="76892.100000000006"/>
    <x v="2"/>
    <m/>
    <x v="1"/>
    <d v="2024-03-01T00:00:00"/>
    <m/>
    <x v="5"/>
  </r>
  <r>
    <n v="505"/>
    <n v="19342"/>
    <x v="1"/>
    <n v="6967.63"/>
    <x v="0"/>
    <n v="21"/>
    <x v="0"/>
    <d v="2024-03-25T00:00:00"/>
    <d v="2024-04-15T00:00:00"/>
    <x v="5"/>
  </r>
  <r>
    <n v="506"/>
    <n v="16880"/>
    <x v="0"/>
    <n v="139385.66"/>
    <x v="0"/>
    <n v="14"/>
    <x v="2"/>
    <d v="2024-02-04T00:00:00"/>
    <d v="2024-02-18T00:00:00"/>
    <x v="4"/>
  </r>
  <r>
    <n v="507"/>
    <n v="11334"/>
    <x v="2"/>
    <n v="196205.36"/>
    <x v="1"/>
    <n v="42"/>
    <x v="1"/>
    <d v="2024-01-05T00:00:00"/>
    <d v="2024-02-16T00:00:00"/>
    <x v="0"/>
  </r>
  <r>
    <n v="508"/>
    <n v="18709"/>
    <x v="3"/>
    <n v="193297.02"/>
    <x v="0"/>
    <n v="24"/>
    <x v="0"/>
    <d v="2024-03-16T00:00:00"/>
    <d v="2024-04-09T00:00:00"/>
    <x v="5"/>
  </r>
  <r>
    <n v="509"/>
    <n v="17078"/>
    <x v="1"/>
    <n v="36382.720000000001"/>
    <x v="0"/>
    <n v="16"/>
    <x v="1"/>
    <d v="2024-09-09T00:00:00"/>
    <d v="2024-09-25T00:00:00"/>
    <x v="9"/>
  </r>
  <r>
    <n v="510"/>
    <n v="11288"/>
    <x v="3"/>
    <n v="40343.32"/>
    <x v="0"/>
    <n v="32"/>
    <x v="3"/>
    <d v="2024-01-07T00:00:00"/>
    <d v="2024-02-08T00:00:00"/>
    <x v="0"/>
  </r>
  <r>
    <n v="511"/>
    <n v="18937"/>
    <x v="1"/>
    <n v="115280.09"/>
    <x v="1"/>
    <n v="5"/>
    <x v="2"/>
    <d v="2024-06-17T00:00:00"/>
    <d v="2024-06-22T00:00:00"/>
    <x v="7"/>
  </r>
  <r>
    <n v="512"/>
    <n v="15647"/>
    <x v="3"/>
    <n v="129274.44"/>
    <x v="0"/>
    <n v="12"/>
    <x v="3"/>
    <d v="2024-05-09T00:00:00"/>
    <d v="2024-05-21T00:00:00"/>
    <x v="3"/>
  </r>
  <r>
    <n v="513"/>
    <n v="15928"/>
    <x v="3"/>
    <n v="149186.49"/>
    <x v="0"/>
    <n v="3"/>
    <x v="0"/>
    <d v="2024-05-17T00:00:00"/>
    <d v="2024-05-20T00:00:00"/>
    <x v="3"/>
  </r>
  <r>
    <n v="514"/>
    <n v="14802"/>
    <x v="3"/>
    <n v="40304.82"/>
    <x v="0"/>
    <n v="17"/>
    <x v="3"/>
    <d v="2024-12-23T00:00:00"/>
    <d v="2025-01-09T00:00:00"/>
    <x v="11"/>
  </r>
  <r>
    <n v="515"/>
    <n v="10697"/>
    <x v="1"/>
    <n v="192006.38"/>
    <x v="0"/>
    <n v="32"/>
    <x v="3"/>
    <d v="2024-10-26T00:00:00"/>
    <d v="2024-11-27T00:00:00"/>
    <x v="6"/>
  </r>
  <r>
    <n v="516"/>
    <n v="10474"/>
    <x v="3"/>
    <n v="129554.15"/>
    <x v="1"/>
    <n v="40"/>
    <x v="0"/>
    <d v="2024-11-21T00:00:00"/>
    <d v="2024-12-31T00:00:00"/>
    <x v="1"/>
  </r>
  <r>
    <n v="517"/>
    <n v="17696"/>
    <x v="1"/>
    <n v="170174.15"/>
    <x v="0"/>
    <n v="44"/>
    <x v="1"/>
    <d v="2024-03-31T00:00:00"/>
    <d v="2024-05-14T00:00:00"/>
    <x v="5"/>
  </r>
  <r>
    <n v="518"/>
    <n v="16532"/>
    <x v="3"/>
    <n v="110312.81"/>
    <x v="0"/>
    <n v="5"/>
    <x v="3"/>
    <d v="2024-06-11T00:00:00"/>
    <d v="2024-06-16T00:00:00"/>
    <x v="7"/>
  </r>
  <r>
    <n v="519"/>
    <n v="18702"/>
    <x v="3"/>
    <n v="85783.99"/>
    <x v="0"/>
    <n v="29"/>
    <x v="1"/>
    <d v="2024-11-13T00:00:00"/>
    <d v="2024-12-12T00:00:00"/>
    <x v="1"/>
  </r>
  <r>
    <n v="520"/>
    <n v="18729"/>
    <x v="1"/>
    <n v="195550.67"/>
    <x v="1"/>
    <n v="17"/>
    <x v="3"/>
    <d v="2024-09-09T00:00:00"/>
    <d v="2024-09-26T00:00:00"/>
    <x v="9"/>
  </r>
  <r>
    <n v="521"/>
    <n v="12944"/>
    <x v="3"/>
    <n v="118513.67"/>
    <x v="0"/>
    <n v="40"/>
    <x v="1"/>
    <d v="2024-07-19T00:00:00"/>
    <d v="2024-08-28T00:00:00"/>
    <x v="2"/>
  </r>
  <r>
    <n v="522"/>
    <n v="15632"/>
    <x v="3"/>
    <n v="174040.35"/>
    <x v="1"/>
    <n v="26"/>
    <x v="0"/>
    <d v="2024-01-20T00:00:00"/>
    <d v="2024-02-15T00:00:00"/>
    <x v="0"/>
  </r>
  <r>
    <n v="523"/>
    <n v="15384"/>
    <x v="1"/>
    <n v="190892.02"/>
    <x v="1"/>
    <n v="14"/>
    <x v="3"/>
    <d v="2024-08-16T00:00:00"/>
    <d v="2024-08-30T00:00:00"/>
    <x v="8"/>
  </r>
  <r>
    <n v="524"/>
    <n v="11366"/>
    <x v="3"/>
    <n v="136694.15"/>
    <x v="0"/>
    <n v="6"/>
    <x v="0"/>
    <d v="2024-06-11T00:00:00"/>
    <d v="2024-06-17T00:00:00"/>
    <x v="7"/>
  </r>
  <r>
    <n v="525"/>
    <n v="11061"/>
    <x v="3"/>
    <n v="112043.04"/>
    <x v="0"/>
    <n v="31"/>
    <x v="3"/>
    <d v="2024-06-13T00:00:00"/>
    <d v="2024-07-14T00:00:00"/>
    <x v="7"/>
  </r>
  <r>
    <n v="526"/>
    <n v="12307"/>
    <x v="3"/>
    <n v="5684.62"/>
    <x v="0"/>
    <n v="2"/>
    <x v="0"/>
    <d v="2024-08-19T00:00:00"/>
    <d v="2024-08-21T00:00:00"/>
    <x v="8"/>
  </r>
  <r>
    <n v="527"/>
    <n v="10307"/>
    <x v="2"/>
    <n v="12803.83"/>
    <x v="1"/>
    <n v="6"/>
    <x v="0"/>
    <d v="2024-11-23T00:00:00"/>
    <d v="2024-11-29T00:00:00"/>
    <x v="1"/>
  </r>
  <r>
    <n v="528"/>
    <n v="19188"/>
    <x v="1"/>
    <n v="44165.99"/>
    <x v="0"/>
    <n v="15"/>
    <x v="3"/>
    <d v="2024-08-25T00:00:00"/>
    <d v="2024-09-09T00:00:00"/>
    <x v="8"/>
  </r>
  <r>
    <n v="529"/>
    <n v="19476"/>
    <x v="1"/>
    <n v="41271.64"/>
    <x v="0"/>
    <n v="12"/>
    <x v="3"/>
    <d v="2024-04-29T00:00:00"/>
    <d v="2024-05-11T00:00:00"/>
    <x v="10"/>
  </r>
  <r>
    <n v="530"/>
    <n v="19321"/>
    <x v="1"/>
    <n v="54677.97"/>
    <x v="1"/>
    <n v="35"/>
    <x v="3"/>
    <d v="2024-12-16T00:00:00"/>
    <d v="2025-01-20T00:00:00"/>
    <x v="11"/>
  </r>
  <r>
    <n v="531"/>
    <n v="10303"/>
    <x v="3"/>
    <n v="64462.25"/>
    <x v="0"/>
    <n v="30"/>
    <x v="2"/>
    <d v="2024-04-16T00:00:00"/>
    <d v="2024-05-16T00:00:00"/>
    <x v="10"/>
  </r>
  <r>
    <n v="532"/>
    <n v="16486"/>
    <x v="3"/>
    <n v="75212.77"/>
    <x v="0"/>
    <n v="19"/>
    <x v="1"/>
    <d v="2024-09-06T00:00:00"/>
    <d v="2024-09-25T00:00:00"/>
    <x v="9"/>
  </r>
  <r>
    <n v="533"/>
    <n v="15566"/>
    <x v="1"/>
    <n v="87004.85"/>
    <x v="0"/>
    <n v="16"/>
    <x v="2"/>
    <d v="2024-12-01T00:00:00"/>
    <d v="2024-12-17T00:00:00"/>
    <x v="11"/>
  </r>
  <r>
    <n v="534"/>
    <n v="15157"/>
    <x v="3"/>
    <n v="24278.94"/>
    <x v="0"/>
    <n v="26"/>
    <x v="2"/>
    <d v="2024-10-10T00:00:00"/>
    <d v="2024-11-05T00:00:00"/>
    <x v="6"/>
  </r>
  <r>
    <n v="535"/>
    <n v="13891"/>
    <x v="3"/>
    <n v="13260.58"/>
    <x v="1"/>
    <n v="31"/>
    <x v="0"/>
    <d v="2024-07-16T00:00:00"/>
    <d v="2024-08-16T00:00:00"/>
    <x v="2"/>
  </r>
  <r>
    <n v="536"/>
    <n v="19046"/>
    <x v="3"/>
    <n v="136419.17000000001"/>
    <x v="0"/>
    <n v="3"/>
    <x v="3"/>
    <d v="2024-08-07T00:00:00"/>
    <d v="2024-08-10T00:00:00"/>
    <x v="8"/>
  </r>
  <r>
    <n v="537"/>
    <n v="19937"/>
    <x v="3"/>
    <n v="109780.29"/>
    <x v="0"/>
    <n v="41"/>
    <x v="1"/>
    <d v="2024-05-30T00:00:00"/>
    <d v="2024-07-10T00:00:00"/>
    <x v="3"/>
  </r>
  <r>
    <n v="538"/>
    <n v="15724"/>
    <x v="2"/>
    <n v="91608.12"/>
    <x v="1"/>
    <n v="28"/>
    <x v="0"/>
    <d v="2024-10-12T00:00:00"/>
    <d v="2024-11-09T00:00:00"/>
    <x v="6"/>
  </r>
  <r>
    <n v="539"/>
    <n v="16280"/>
    <x v="3"/>
    <n v="128715.79"/>
    <x v="0"/>
    <n v="16"/>
    <x v="2"/>
    <d v="2024-09-21T00:00:00"/>
    <d v="2024-10-07T00:00:00"/>
    <x v="9"/>
  </r>
  <r>
    <n v="540"/>
    <n v="15350"/>
    <x v="1"/>
    <n v="166397.48000000001"/>
    <x v="2"/>
    <m/>
    <x v="3"/>
    <d v="2024-08-07T00:00:00"/>
    <m/>
    <x v="8"/>
  </r>
  <r>
    <n v="541"/>
    <n v="19009"/>
    <x v="3"/>
    <n v="88400.12"/>
    <x v="2"/>
    <m/>
    <x v="0"/>
    <d v="2024-08-03T00:00:00"/>
    <m/>
    <x v="8"/>
  </r>
  <r>
    <n v="542"/>
    <n v="19164"/>
    <x v="2"/>
    <n v="130018.3"/>
    <x v="0"/>
    <n v="15"/>
    <x v="3"/>
    <d v="2024-11-10T00:00:00"/>
    <d v="2024-11-25T00:00:00"/>
    <x v="1"/>
  </r>
  <r>
    <n v="543"/>
    <n v="14133"/>
    <x v="3"/>
    <n v="190946.58"/>
    <x v="0"/>
    <n v="28"/>
    <x v="0"/>
    <d v="2024-06-04T00:00:00"/>
    <d v="2024-07-02T00:00:00"/>
    <x v="7"/>
  </r>
  <r>
    <n v="544"/>
    <n v="19370"/>
    <x v="3"/>
    <n v="168726.78"/>
    <x v="1"/>
    <n v="4"/>
    <x v="3"/>
    <d v="2024-08-03T00:00:00"/>
    <d v="2024-08-07T00:00:00"/>
    <x v="8"/>
  </r>
  <r>
    <n v="545"/>
    <n v="10104"/>
    <x v="1"/>
    <n v="88070.16"/>
    <x v="0"/>
    <n v="4"/>
    <x v="2"/>
    <d v="2024-11-30T00:00:00"/>
    <d v="2024-12-04T00:00:00"/>
    <x v="1"/>
  </r>
  <r>
    <n v="546"/>
    <n v="18446"/>
    <x v="1"/>
    <n v="130719.78"/>
    <x v="0"/>
    <n v="14"/>
    <x v="1"/>
    <d v="2024-12-24T00:00:00"/>
    <d v="2025-01-07T00:00:00"/>
    <x v="11"/>
  </r>
  <r>
    <n v="547"/>
    <n v="17571"/>
    <x v="3"/>
    <n v="39528.83"/>
    <x v="1"/>
    <n v="26"/>
    <x v="2"/>
    <d v="2024-04-23T00:00:00"/>
    <d v="2024-05-19T00:00:00"/>
    <x v="10"/>
  </r>
  <r>
    <n v="548"/>
    <n v="16601"/>
    <x v="3"/>
    <n v="114301.83"/>
    <x v="0"/>
    <n v="19"/>
    <x v="1"/>
    <d v="2024-06-09T00:00:00"/>
    <d v="2024-06-28T00:00:00"/>
    <x v="7"/>
  </r>
  <r>
    <n v="549"/>
    <n v="16671"/>
    <x v="3"/>
    <n v="196359.02"/>
    <x v="1"/>
    <n v="2"/>
    <x v="3"/>
    <d v="2024-10-29T00:00:00"/>
    <d v="2024-10-31T00:00:00"/>
    <x v="6"/>
  </r>
  <r>
    <n v="550"/>
    <n v="18782"/>
    <x v="3"/>
    <n v="106071.45"/>
    <x v="0"/>
    <n v="40"/>
    <x v="0"/>
    <d v="2024-04-07T00:00:00"/>
    <d v="2024-05-17T00:00:00"/>
    <x v="10"/>
  </r>
  <r>
    <n v="551"/>
    <n v="18716"/>
    <x v="3"/>
    <n v="185889.47"/>
    <x v="0"/>
    <n v="6"/>
    <x v="2"/>
    <d v="2024-06-05T00:00:00"/>
    <d v="2024-06-11T00:00:00"/>
    <x v="7"/>
  </r>
  <r>
    <n v="552"/>
    <n v="18561"/>
    <x v="3"/>
    <n v="84430.31"/>
    <x v="0"/>
    <n v="3"/>
    <x v="1"/>
    <d v="2024-06-10T00:00:00"/>
    <d v="2024-06-13T00:00:00"/>
    <x v="7"/>
  </r>
  <r>
    <n v="553"/>
    <n v="12963"/>
    <x v="3"/>
    <n v="199774.74"/>
    <x v="2"/>
    <m/>
    <x v="2"/>
    <d v="2024-02-11T00:00:00"/>
    <m/>
    <x v="4"/>
  </r>
  <r>
    <n v="554"/>
    <n v="18855"/>
    <x v="3"/>
    <n v="117947.91"/>
    <x v="0"/>
    <n v="18"/>
    <x v="1"/>
    <d v="2024-06-28T00:00:00"/>
    <d v="2024-07-16T00:00:00"/>
    <x v="7"/>
  </r>
  <r>
    <n v="555"/>
    <n v="10689"/>
    <x v="1"/>
    <n v="13242.45"/>
    <x v="1"/>
    <n v="30"/>
    <x v="2"/>
    <d v="2024-10-29T00:00:00"/>
    <d v="2024-11-28T00:00:00"/>
    <x v="6"/>
  </r>
  <r>
    <n v="556"/>
    <n v="16743"/>
    <x v="2"/>
    <n v="119417.19"/>
    <x v="0"/>
    <n v="43"/>
    <x v="1"/>
    <d v="2024-11-25T00:00:00"/>
    <d v="2025-01-07T00:00:00"/>
    <x v="1"/>
  </r>
  <r>
    <n v="557"/>
    <n v="12588"/>
    <x v="1"/>
    <n v="58541.68"/>
    <x v="0"/>
    <n v="5"/>
    <x v="1"/>
    <d v="2024-02-20T00:00:00"/>
    <d v="2024-02-25T00:00:00"/>
    <x v="4"/>
  </r>
  <r>
    <n v="558"/>
    <n v="11535"/>
    <x v="3"/>
    <n v="11333.86"/>
    <x v="0"/>
    <n v="10"/>
    <x v="3"/>
    <d v="2024-09-08T00:00:00"/>
    <d v="2024-09-18T00:00:00"/>
    <x v="9"/>
  </r>
  <r>
    <n v="559"/>
    <n v="12028"/>
    <x v="3"/>
    <n v="165066.39000000001"/>
    <x v="0"/>
    <n v="22"/>
    <x v="1"/>
    <d v="2024-12-15T00:00:00"/>
    <d v="2025-01-06T00:00:00"/>
    <x v="11"/>
  </r>
  <r>
    <n v="560"/>
    <n v="11856"/>
    <x v="2"/>
    <n v="58767.28"/>
    <x v="0"/>
    <n v="44"/>
    <x v="3"/>
    <d v="2024-04-29T00:00:00"/>
    <d v="2024-06-12T00:00:00"/>
    <x v="10"/>
  </r>
  <r>
    <n v="561"/>
    <n v="13186"/>
    <x v="3"/>
    <n v="160326.97"/>
    <x v="0"/>
    <n v="13"/>
    <x v="1"/>
    <d v="2024-03-15T00:00:00"/>
    <d v="2024-03-28T00:00:00"/>
    <x v="5"/>
  </r>
  <r>
    <n v="562"/>
    <n v="12769"/>
    <x v="3"/>
    <n v="61202.43"/>
    <x v="0"/>
    <n v="13"/>
    <x v="0"/>
    <d v="2024-06-10T00:00:00"/>
    <d v="2024-06-23T00:00:00"/>
    <x v="7"/>
  </r>
  <r>
    <n v="563"/>
    <n v="16085"/>
    <x v="1"/>
    <n v="42893.64"/>
    <x v="2"/>
    <m/>
    <x v="0"/>
    <d v="2024-05-28T00:00:00"/>
    <m/>
    <x v="3"/>
  </r>
  <r>
    <n v="564"/>
    <n v="16486"/>
    <x v="1"/>
    <n v="194917.44"/>
    <x v="0"/>
    <n v="29"/>
    <x v="0"/>
    <d v="2024-05-02T00:00:00"/>
    <d v="2024-05-31T00:00:00"/>
    <x v="3"/>
  </r>
  <r>
    <n v="565"/>
    <n v="17241"/>
    <x v="1"/>
    <n v="75520.84"/>
    <x v="2"/>
    <m/>
    <x v="1"/>
    <d v="2024-05-20T00:00:00"/>
    <m/>
    <x v="3"/>
  </r>
  <r>
    <n v="566"/>
    <n v="12987"/>
    <x v="3"/>
    <n v="122268.36"/>
    <x v="0"/>
    <n v="41"/>
    <x v="3"/>
    <d v="2024-06-30T00:00:00"/>
    <d v="2024-08-10T00:00:00"/>
    <x v="7"/>
  </r>
  <r>
    <n v="567"/>
    <n v="18135"/>
    <x v="3"/>
    <n v="123946.39"/>
    <x v="0"/>
    <n v="33"/>
    <x v="3"/>
    <d v="2024-10-03T00:00:00"/>
    <d v="2024-11-05T00:00:00"/>
    <x v="6"/>
  </r>
  <r>
    <n v="568"/>
    <n v="16090"/>
    <x v="2"/>
    <n v="114292.33"/>
    <x v="0"/>
    <n v="14"/>
    <x v="1"/>
    <d v="2024-09-13T00:00:00"/>
    <d v="2024-09-27T00:00:00"/>
    <x v="9"/>
  </r>
  <r>
    <n v="569"/>
    <n v="19340"/>
    <x v="3"/>
    <n v="183365.67"/>
    <x v="0"/>
    <n v="35"/>
    <x v="0"/>
    <d v="2024-11-20T00:00:00"/>
    <d v="2024-12-25T00:00:00"/>
    <x v="1"/>
  </r>
  <r>
    <n v="570"/>
    <n v="10780"/>
    <x v="1"/>
    <n v="136516.01"/>
    <x v="0"/>
    <n v="20"/>
    <x v="0"/>
    <d v="2024-09-01T00:00:00"/>
    <d v="2024-09-21T00:00:00"/>
    <x v="9"/>
  </r>
  <r>
    <n v="571"/>
    <n v="14405"/>
    <x v="1"/>
    <n v="83727.94"/>
    <x v="0"/>
    <n v="15"/>
    <x v="3"/>
    <d v="2024-03-26T00:00:00"/>
    <d v="2024-04-10T00:00:00"/>
    <x v="5"/>
  </r>
  <r>
    <n v="572"/>
    <n v="12153"/>
    <x v="1"/>
    <n v="173164.17"/>
    <x v="0"/>
    <n v="6"/>
    <x v="0"/>
    <d v="2024-03-11T00:00:00"/>
    <d v="2024-03-17T00:00:00"/>
    <x v="5"/>
  </r>
  <r>
    <n v="573"/>
    <n v="18747"/>
    <x v="3"/>
    <n v="40307.269999999997"/>
    <x v="1"/>
    <n v="28"/>
    <x v="2"/>
    <d v="2024-09-25T00:00:00"/>
    <d v="2024-10-23T00:00:00"/>
    <x v="9"/>
  </r>
  <r>
    <n v="574"/>
    <n v="13296"/>
    <x v="3"/>
    <n v="111126.17"/>
    <x v="0"/>
    <n v="29"/>
    <x v="3"/>
    <d v="2024-06-28T00:00:00"/>
    <d v="2024-07-27T00:00:00"/>
    <x v="7"/>
  </r>
  <r>
    <n v="575"/>
    <n v="13313"/>
    <x v="1"/>
    <n v="190357.32"/>
    <x v="1"/>
    <n v="27"/>
    <x v="0"/>
    <d v="2024-10-05T00:00:00"/>
    <d v="2024-11-01T00:00:00"/>
    <x v="6"/>
  </r>
  <r>
    <n v="576"/>
    <n v="14492"/>
    <x v="0"/>
    <n v="126952.54"/>
    <x v="0"/>
    <n v="11"/>
    <x v="3"/>
    <d v="2024-05-28T00:00:00"/>
    <d v="2024-06-08T00:00:00"/>
    <x v="3"/>
  </r>
  <r>
    <n v="577"/>
    <n v="16296"/>
    <x v="2"/>
    <n v="164308.85"/>
    <x v="0"/>
    <n v="25"/>
    <x v="2"/>
    <d v="2024-01-06T00:00:00"/>
    <d v="2024-01-31T00:00:00"/>
    <x v="0"/>
  </r>
  <r>
    <n v="578"/>
    <n v="12583"/>
    <x v="3"/>
    <n v="132444.34"/>
    <x v="0"/>
    <n v="18"/>
    <x v="3"/>
    <d v="2024-05-27T00:00:00"/>
    <d v="2024-06-14T00:00:00"/>
    <x v="3"/>
  </r>
  <r>
    <n v="579"/>
    <n v="13043"/>
    <x v="3"/>
    <n v="168677.32"/>
    <x v="0"/>
    <n v="17"/>
    <x v="3"/>
    <d v="2024-11-27T00:00:00"/>
    <d v="2024-12-14T00:00:00"/>
    <x v="1"/>
  </r>
  <r>
    <n v="580"/>
    <n v="17569"/>
    <x v="2"/>
    <n v="189175.14"/>
    <x v="0"/>
    <n v="18"/>
    <x v="3"/>
    <d v="2024-06-16T00:00:00"/>
    <d v="2024-07-04T00:00:00"/>
    <x v="7"/>
  </r>
  <r>
    <n v="581"/>
    <n v="15979"/>
    <x v="1"/>
    <n v="58219.74"/>
    <x v="0"/>
    <n v="2"/>
    <x v="3"/>
    <d v="2024-01-09T00:00:00"/>
    <d v="2024-01-11T00:00:00"/>
    <x v="0"/>
  </r>
  <r>
    <n v="582"/>
    <n v="11169"/>
    <x v="0"/>
    <n v="38083.910000000003"/>
    <x v="0"/>
    <n v="22"/>
    <x v="2"/>
    <d v="2024-06-26T00:00:00"/>
    <d v="2024-07-18T00:00:00"/>
    <x v="7"/>
  </r>
  <r>
    <n v="583"/>
    <n v="13262"/>
    <x v="3"/>
    <n v="99378.2"/>
    <x v="0"/>
    <n v="44"/>
    <x v="1"/>
    <d v="2024-10-10T00:00:00"/>
    <d v="2024-11-23T00:00:00"/>
    <x v="6"/>
  </r>
  <r>
    <n v="584"/>
    <n v="17036"/>
    <x v="1"/>
    <n v="141863.17000000001"/>
    <x v="0"/>
    <n v="23"/>
    <x v="3"/>
    <d v="2024-04-25T00:00:00"/>
    <d v="2024-05-18T00:00:00"/>
    <x v="10"/>
  </r>
  <r>
    <n v="585"/>
    <n v="16726"/>
    <x v="1"/>
    <n v="49302.29"/>
    <x v="0"/>
    <n v="6"/>
    <x v="3"/>
    <d v="2024-04-05T00:00:00"/>
    <d v="2024-04-11T00:00:00"/>
    <x v="10"/>
  </r>
  <r>
    <n v="586"/>
    <n v="14022"/>
    <x v="1"/>
    <n v="5799.78"/>
    <x v="0"/>
    <n v="37"/>
    <x v="0"/>
    <d v="2024-11-26T00:00:00"/>
    <d v="2025-01-02T00:00:00"/>
    <x v="1"/>
  </r>
  <r>
    <n v="587"/>
    <n v="18392"/>
    <x v="3"/>
    <n v="71872.350000000006"/>
    <x v="2"/>
    <m/>
    <x v="3"/>
    <d v="2024-12-09T00:00:00"/>
    <m/>
    <x v="11"/>
  </r>
  <r>
    <n v="588"/>
    <n v="11890"/>
    <x v="3"/>
    <n v="193927.57"/>
    <x v="1"/>
    <n v="10"/>
    <x v="0"/>
    <d v="2024-02-25T00:00:00"/>
    <d v="2024-03-06T00:00:00"/>
    <x v="4"/>
  </r>
  <r>
    <n v="589"/>
    <n v="18203"/>
    <x v="1"/>
    <n v="140518.65"/>
    <x v="0"/>
    <n v="28"/>
    <x v="1"/>
    <d v="2024-07-25T00:00:00"/>
    <d v="2024-08-22T00:00:00"/>
    <x v="2"/>
  </r>
  <r>
    <n v="590"/>
    <n v="15171"/>
    <x v="3"/>
    <n v="83258.460000000006"/>
    <x v="1"/>
    <n v="13"/>
    <x v="2"/>
    <d v="2024-04-14T00:00:00"/>
    <d v="2024-04-27T00:00:00"/>
    <x v="10"/>
  </r>
  <r>
    <n v="591"/>
    <n v="19517"/>
    <x v="3"/>
    <n v="42552.34"/>
    <x v="1"/>
    <n v="19"/>
    <x v="2"/>
    <d v="2024-02-04T00:00:00"/>
    <d v="2024-02-23T00:00:00"/>
    <x v="4"/>
  </r>
  <r>
    <n v="592"/>
    <n v="16664"/>
    <x v="2"/>
    <n v="74437.490000000005"/>
    <x v="0"/>
    <n v="36"/>
    <x v="1"/>
    <d v="2024-07-27T00:00:00"/>
    <d v="2024-09-01T00:00:00"/>
    <x v="2"/>
  </r>
  <r>
    <n v="593"/>
    <n v="17307"/>
    <x v="3"/>
    <n v="38118.69"/>
    <x v="0"/>
    <n v="16"/>
    <x v="2"/>
    <d v="2024-10-07T00:00:00"/>
    <d v="2024-10-23T00:00:00"/>
    <x v="6"/>
  </r>
  <r>
    <n v="594"/>
    <n v="16243"/>
    <x v="0"/>
    <n v="25729.64"/>
    <x v="2"/>
    <m/>
    <x v="1"/>
    <d v="2024-12-20T00:00:00"/>
    <m/>
    <x v="11"/>
  </r>
  <r>
    <n v="595"/>
    <n v="13556"/>
    <x v="3"/>
    <n v="181814.76"/>
    <x v="0"/>
    <n v="34"/>
    <x v="1"/>
    <d v="2024-05-26T00:00:00"/>
    <d v="2024-06-29T00:00:00"/>
    <x v="3"/>
  </r>
  <r>
    <n v="596"/>
    <n v="17304"/>
    <x v="1"/>
    <n v="199541.82"/>
    <x v="2"/>
    <m/>
    <x v="1"/>
    <d v="2024-10-13T00:00:00"/>
    <m/>
    <x v="6"/>
  </r>
  <r>
    <n v="597"/>
    <n v="14966"/>
    <x v="2"/>
    <n v="37002.32"/>
    <x v="0"/>
    <n v="41"/>
    <x v="2"/>
    <d v="2024-03-21T00:00:00"/>
    <d v="2024-05-01T00:00:00"/>
    <x v="5"/>
  </r>
  <r>
    <n v="598"/>
    <n v="10365"/>
    <x v="3"/>
    <n v="15631.9"/>
    <x v="0"/>
    <n v="31"/>
    <x v="0"/>
    <d v="2024-02-19T00:00:00"/>
    <d v="2024-03-21T00:00:00"/>
    <x v="4"/>
  </r>
  <r>
    <n v="599"/>
    <n v="18051"/>
    <x v="3"/>
    <n v="69297.570000000007"/>
    <x v="0"/>
    <n v="27"/>
    <x v="1"/>
    <d v="2024-03-27T00:00:00"/>
    <d v="2024-04-23T00:00:00"/>
    <x v="5"/>
  </r>
  <r>
    <n v="600"/>
    <n v="10656"/>
    <x v="3"/>
    <n v="95023.54"/>
    <x v="0"/>
    <n v="22"/>
    <x v="3"/>
    <d v="2024-07-09T00:00:00"/>
    <d v="2024-07-31T00:00:00"/>
    <x v="2"/>
  </r>
  <r>
    <n v="601"/>
    <n v="18352"/>
    <x v="3"/>
    <n v="44940.14"/>
    <x v="1"/>
    <n v="38"/>
    <x v="2"/>
    <d v="2024-10-29T00:00:00"/>
    <d v="2024-12-06T00:00:00"/>
    <x v="6"/>
  </r>
  <r>
    <n v="602"/>
    <n v="18366"/>
    <x v="1"/>
    <n v="63777.86"/>
    <x v="2"/>
    <m/>
    <x v="1"/>
    <d v="2024-01-01T00:00:00"/>
    <m/>
    <x v="0"/>
  </r>
  <r>
    <n v="603"/>
    <n v="13470"/>
    <x v="2"/>
    <n v="44169.79"/>
    <x v="0"/>
    <n v="32"/>
    <x v="1"/>
    <d v="2024-05-17T00:00:00"/>
    <d v="2024-06-18T00:00:00"/>
    <x v="3"/>
  </r>
  <r>
    <n v="604"/>
    <n v="14060"/>
    <x v="3"/>
    <n v="155980.81"/>
    <x v="0"/>
    <n v="18"/>
    <x v="3"/>
    <d v="2024-05-15T00:00:00"/>
    <d v="2024-06-02T00:00:00"/>
    <x v="3"/>
  </r>
  <r>
    <n v="605"/>
    <n v="15599"/>
    <x v="3"/>
    <n v="143952.70000000001"/>
    <x v="1"/>
    <n v="18"/>
    <x v="0"/>
    <d v="2024-12-27T00:00:00"/>
    <d v="2025-01-14T00:00:00"/>
    <x v="11"/>
  </r>
  <r>
    <n v="606"/>
    <n v="10544"/>
    <x v="3"/>
    <n v="128815.55"/>
    <x v="0"/>
    <n v="35"/>
    <x v="0"/>
    <d v="2024-06-02T00:00:00"/>
    <d v="2024-07-07T00:00:00"/>
    <x v="7"/>
  </r>
  <r>
    <n v="607"/>
    <n v="16426"/>
    <x v="1"/>
    <n v="80507.48"/>
    <x v="0"/>
    <n v="25"/>
    <x v="0"/>
    <d v="2024-06-10T00:00:00"/>
    <d v="2024-07-05T00:00:00"/>
    <x v="7"/>
  </r>
  <r>
    <n v="608"/>
    <n v="11761"/>
    <x v="3"/>
    <n v="182262.98"/>
    <x v="0"/>
    <n v="34"/>
    <x v="1"/>
    <d v="2024-01-19T00:00:00"/>
    <d v="2024-02-22T00:00:00"/>
    <x v="0"/>
  </r>
  <r>
    <n v="609"/>
    <n v="10956"/>
    <x v="1"/>
    <n v="194058.85"/>
    <x v="1"/>
    <n v="5"/>
    <x v="1"/>
    <d v="2024-11-23T00:00:00"/>
    <d v="2024-11-28T00:00:00"/>
    <x v="1"/>
  </r>
  <r>
    <n v="610"/>
    <n v="18643"/>
    <x v="1"/>
    <n v="38859.67"/>
    <x v="1"/>
    <n v="10"/>
    <x v="1"/>
    <d v="2024-08-30T00:00:00"/>
    <d v="2024-09-09T00:00:00"/>
    <x v="8"/>
  </r>
  <r>
    <n v="611"/>
    <n v="18176"/>
    <x v="1"/>
    <n v="48487.47"/>
    <x v="0"/>
    <n v="3"/>
    <x v="2"/>
    <d v="2024-05-08T00:00:00"/>
    <d v="2024-05-11T00:00:00"/>
    <x v="3"/>
  </r>
  <r>
    <n v="612"/>
    <n v="17791"/>
    <x v="3"/>
    <n v="107498.05"/>
    <x v="0"/>
    <n v="36"/>
    <x v="3"/>
    <d v="2024-06-24T00:00:00"/>
    <d v="2024-07-30T00:00:00"/>
    <x v="7"/>
  </r>
  <r>
    <n v="613"/>
    <n v="18273"/>
    <x v="1"/>
    <n v="22793.86"/>
    <x v="2"/>
    <m/>
    <x v="1"/>
    <d v="2024-10-06T00:00:00"/>
    <m/>
    <x v="6"/>
  </r>
  <r>
    <n v="614"/>
    <n v="11236"/>
    <x v="3"/>
    <n v="90107.44"/>
    <x v="0"/>
    <n v="16"/>
    <x v="3"/>
    <d v="2024-03-24T00:00:00"/>
    <d v="2024-04-09T00:00:00"/>
    <x v="5"/>
  </r>
  <r>
    <n v="615"/>
    <n v="14911"/>
    <x v="3"/>
    <n v="118449.3"/>
    <x v="0"/>
    <n v="44"/>
    <x v="3"/>
    <d v="2024-08-09T00:00:00"/>
    <d v="2024-09-22T00:00:00"/>
    <x v="8"/>
  </r>
  <r>
    <n v="616"/>
    <n v="16277"/>
    <x v="0"/>
    <n v="106804.35"/>
    <x v="0"/>
    <n v="43"/>
    <x v="0"/>
    <d v="2024-11-20T00:00:00"/>
    <d v="2025-01-02T00:00:00"/>
    <x v="1"/>
  </r>
  <r>
    <n v="617"/>
    <n v="10446"/>
    <x v="1"/>
    <n v="69527.17"/>
    <x v="1"/>
    <n v="4"/>
    <x v="2"/>
    <d v="2024-05-24T00:00:00"/>
    <d v="2024-05-28T00:00:00"/>
    <x v="3"/>
  </r>
  <r>
    <n v="618"/>
    <n v="12165"/>
    <x v="3"/>
    <n v="110776.93"/>
    <x v="0"/>
    <n v="32"/>
    <x v="1"/>
    <d v="2024-04-15T00:00:00"/>
    <d v="2024-05-17T00:00:00"/>
    <x v="10"/>
  </r>
  <r>
    <n v="619"/>
    <n v="11619"/>
    <x v="3"/>
    <n v="191966.19"/>
    <x v="0"/>
    <n v="42"/>
    <x v="0"/>
    <d v="2024-11-20T00:00:00"/>
    <d v="2025-01-01T00:00:00"/>
    <x v="1"/>
  </r>
  <r>
    <n v="620"/>
    <n v="11793"/>
    <x v="3"/>
    <n v="45173.39"/>
    <x v="0"/>
    <n v="43"/>
    <x v="0"/>
    <d v="2024-01-11T00:00:00"/>
    <d v="2024-02-23T00:00:00"/>
    <x v="0"/>
  </r>
  <r>
    <n v="621"/>
    <n v="19365"/>
    <x v="3"/>
    <n v="132692.10999999999"/>
    <x v="0"/>
    <n v="24"/>
    <x v="1"/>
    <d v="2024-06-14T00:00:00"/>
    <d v="2024-07-08T00:00:00"/>
    <x v="7"/>
  </r>
  <r>
    <n v="622"/>
    <n v="16005"/>
    <x v="3"/>
    <n v="13462.36"/>
    <x v="0"/>
    <n v="13"/>
    <x v="3"/>
    <d v="2024-07-14T00:00:00"/>
    <d v="2024-07-27T00:00:00"/>
    <x v="2"/>
  </r>
  <r>
    <n v="623"/>
    <n v="10645"/>
    <x v="3"/>
    <n v="17951.2"/>
    <x v="0"/>
    <n v="9"/>
    <x v="0"/>
    <d v="2024-08-18T00:00:00"/>
    <d v="2024-08-27T00:00:00"/>
    <x v="8"/>
  </r>
  <r>
    <n v="624"/>
    <n v="10378"/>
    <x v="3"/>
    <n v="112606.5"/>
    <x v="0"/>
    <n v="22"/>
    <x v="3"/>
    <d v="2024-05-26T00:00:00"/>
    <d v="2024-06-17T00:00:00"/>
    <x v="3"/>
  </r>
  <r>
    <n v="625"/>
    <n v="12655"/>
    <x v="1"/>
    <n v="25463.14"/>
    <x v="0"/>
    <n v="22"/>
    <x v="2"/>
    <d v="2024-12-24T00:00:00"/>
    <d v="2025-01-15T00:00:00"/>
    <x v="11"/>
  </r>
  <r>
    <n v="626"/>
    <n v="17109"/>
    <x v="1"/>
    <n v="9357.6200000000008"/>
    <x v="0"/>
    <n v="33"/>
    <x v="3"/>
    <d v="2024-08-25T00:00:00"/>
    <d v="2024-09-27T00:00:00"/>
    <x v="8"/>
  </r>
  <r>
    <n v="627"/>
    <n v="13584"/>
    <x v="1"/>
    <n v="38445.03"/>
    <x v="0"/>
    <n v="18"/>
    <x v="2"/>
    <d v="2024-01-13T00:00:00"/>
    <d v="2024-01-31T00:00:00"/>
    <x v="0"/>
  </r>
  <r>
    <n v="628"/>
    <n v="11140"/>
    <x v="3"/>
    <n v="115145.59"/>
    <x v="2"/>
    <m/>
    <x v="3"/>
    <d v="2024-08-06T00:00:00"/>
    <m/>
    <x v="8"/>
  </r>
  <r>
    <n v="629"/>
    <n v="13735"/>
    <x v="2"/>
    <n v="142151.49"/>
    <x v="1"/>
    <n v="25"/>
    <x v="0"/>
    <d v="2024-09-13T00:00:00"/>
    <d v="2024-10-08T00:00:00"/>
    <x v="9"/>
  </r>
  <r>
    <n v="630"/>
    <n v="10661"/>
    <x v="0"/>
    <n v="44483.32"/>
    <x v="0"/>
    <n v="9"/>
    <x v="0"/>
    <d v="2024-01-02T00:00:00"/>
    <d v="2024-01-11T00:00:00"/>
    <x v="0"/>
  </r>
  <r>
    <n v="631"/>
    <n v="15436"/>
    <x v="0"/>
    <n v="135310.59"/>
    <x v="1"/>
    <n v="19"/>
    <x v="2"/>
    <d v="2024-07-28T00:00:00"/>
    <d v="2024-08-16T00:00:00"/>
    <x v="2"/>
  </r>
  <r>
    <n v="632"/>
    <n v="18203"/>
    <x v="0"/>
    <n v="40582.879999999997"/>
    <x v="0"/>
    <n v="12"/>
    <x v="1"/>
    <d v="2024-12-30T00:00:00"/>
    <d v="2025-01-11T00:00:00"/>
    <x v="11"/>
  </r>
  <r>
    <n v="633"/>
    <n v="15209"/>
    <x v="2"/>
    <n v="124624.2"/>
    <x v="2"/>
    <m/>
    <x v="2"/>
    <d v="2024-08-12T00:00:00"/>
    <m/>
    <x v="8"/>
  </r>
  <r>
    <n v="634"/>
    <n v="10387"/>
    <x v="1"/>
    <n v="85332.14"/>
    <x v="0"/>
    <n v="27"/>
    <x v="2"/>
    <d v="2024-07-12T00:00:00"/>
    <d v="2024-08-08T00:00:00"/>
    <x v="2"/>
  </r>
  <r>
    <n v="635"/>
    <n v="13023"/>
    <x v="3"/>
    <n v="132490.9"/>
    <x v="0"/>
    <n v="7"/>
    <x v="3"/>
    <d v="2024-07-14T00:00:00"/>
    <d v="2024-07-21T00:00:00"/>
    <x v="2"/>
  </r>
  <r>
    <n v="636"/>
    <n v="14735"/>
    <x v="1"/>
    <n v="199035.29"/>
    <x v="0"/>
    <n v="18"/>
    <x v="3"/>
    <d v="2024-09-16T00:00:00"/>
    <d v="2024-10-04T00:00:00"/>
    <x v="9"/>
  </r>
  <r>
    <n v="637"/>
    <n v="18291"/>
    <x v="1"/>
    <n v="187874.31"/>
    <x v="0"/>
    <n v="24"/>
    <x v="2"/>
    <d v="2024-02-26T00:00:00"/>
    <d v="2024-03-21T00:00:00"/>
    <x v="4"/>
  </r>
  <r>
    <n v="638"/>
    <n v="16471"/>
    <x v="1"/>
    <n v="5834.94"/>
    <x v="2"/>
    <m/>
    <x v="0"/>
    <d v="2024-04-22T00:00:00"/>
    <m/>
    <x v="10"/>
  </r>
  <r>
    <n v="639"/>
    <n v="12771"/>
    <x v="1"/>
    <n v="177660.56"/>
    <x v="0"/>
    <n v="38"/>
    <x v="3"/>
    <d v="2024-07-31T00:00:00"/>
    <d v="2024-09-07T00:00:00"/>
    <x v="2"/>
  </r>
  <r>
    <n v="640"/>
    <n v="14169"/>
    <x v="3"/>
    <n v="17965.71"/>
    <x v="0"/>
    <n v="29"/>
    <x v="1"/>
    <d v="2024-10-05T00:00:00"/>
    <d v="2024-11-03T00:00:00"/>
    <x v="6"/>
  </r>
  <r>
    <n v="641"/>
    <n v="17263"/>
    <x v="3"/>
    <n v="190844.08"/>
    <x v="0"/>
    <n v="17"/>
    <x v="3"/>
    <d v="2024-08-31T00:00:00"/>
    <d v="2024-09-17T00:00:00"/>
    <x v="8"/>
  </r>
  <r>
    <n v="642"/>
    <n v="16235"/>
    <x v="2"/>
    <n v="59956.01"/>
    <x v="1"/>
    <n v="13"/>
    <x v="3"/>
    <d v="2024-04-26T00:00:00"/>
    <d v="2024-05-09T00:00:00"/>
    <x v="10"/>
  </r>
  <r>
    <n v="643"/>
    <n v="14019"/>
    <x v="1"/>
    <n v="79496.789999999994"/>
    <x v="0"/>
    <n v="22"/>
    <x v="1"/>
    <d v="2024-03-27T00:00:00"/>
    <d v="2024-04-18T00:00:00"/>
    <x v="5"/>
  </r>
  <r>
    <n v="644"/>
    <n v="14270"/>
    <x v="1"/>
    <n v="22869.45"/>
    <x v="0"/>
    <n v="25"/>
    <x v="2"/>
    <d v="2024-09-19T00:00:00"/>
    <d v="2024-10-14T00:00:00"/>
    <x v="9"/>
  </r>
  <r>
    <n v="645"/>
    <n v="15856"/>
    <x v="3"/>
    <n v="26893.19"/>
    <x v="2"/>
    <m/>
    <x v="1"/>
    <d v="2024-10-26T00:00:00"/>
    <m/>
    <x v="6"/>
  </r>
  <r>
    <n v="646"/>
    <n v="10034"/>
    <x v="3"/>
    <n v="146714.41"/>
    <x v="0"/>
    <n v="38"/>
    <x v="2"/>
    <d v="2024-04-22T00:00:00"/>
    <d v="2024-05-30T00:00:00"/>
    <x v="10"/>
  </r>
  <r>
    <n v="647"/>
    <n v="17618"/>
    <x v="0"/>
    <n v="189144.79"/>
    <x v="0"/>
    <n v="22"/>
    <x v="2"/>
    <d v="2024-06-12T00:00:00"/>
    <d v="2024-07-04T00:00:00"/>
    <x v="7"/>
  </r>
  <r>
    <n v="648"/>
    <n v="13380"/>
    <x v="1"/>
    <n v="124095.96"/>
    <x v="2"/>
    <m/>
    <x v="2"/>
    <d v="2024-01-04T00:00:00"/>
    <m/>
    <x v="0"/>
  </r>
  <r>
    <n v="649"/>
    <n v="15476"/>
    <x v="1"/>
    <n v="144590.75"/>
    <x v="0"/>
    <n v="3"/>
    <x v="1"/>
    <d v="2024-04-27T00:00:00"/>
    <d v="2024-04-30T00:00:00"/>
    <x v="10"/>
  </r>
  <r>
    <n v="650"/>
    <n v="17543"/>
    <x v="3"/>
    <n v="153584.1"/>
    <x v="0"/>
    <n v="38"/>
    <x v="2"/>
    <d v="2024-01-23T00:00:00"/>
    <d v="2024-03-01T00:00:00"/>
    <x v="0"/>
  </r>
  <r>
    <n v="651"/>
    <n v="13176"/>
    <x v="1"/>
    <n v="56248.78"/>
    <x v="0"/>
    <n v="20"/>
    <x v="0"/>
    <d v="2024-08-20T00:00:00"/>
    <d v="2024-09-09T00:00:00"/>
    <x v="8"/>
  </r>
  <r>
    <n v="652"/>
    <n v="18367"/>
    <x v="3"/>
    <n v="13819.78"/>
    <x v="1"/>
    <n v="29"/>
    <x v="1"/>
    <d v="2024-03-30T00:00:00"/>
    <d v="2024-04-28T00:00:00"/>
    <x v="5"/>
  </r>
  <r>
    <n v="653"/>
    <n v="12153"/>
    <x v="1"/>
    <n v="5365.19"/>
    <x v="0"/>
    <n v="16"/>
    <x v="0"/>
    <d v="2024-09-11T00:00:00"/>
    <d v="2024-09-27T00:00:00"/>
    <x v="9"/>
  </r>
  <r>
    <n v="654"/>
    <n v="14687"/>
    <x v="3"/>
    <n v="73376.61"/>
    <x v="2"/>
    <m/>
    <x v="2"/>
    <d v="2024-04-01T00:00:00"/>
    <m/>
    <x v="10"/>
  </r>
  <r>
    <n v="655"/>
    <n v="11586"/>
    <x v="3"/>
    <n v="52085.52"/>
    <x v="1"/>
    <n v="44"/>
    <x v="3"/>
    <d v="2024-06-03T00:00:00"/>
    <d v="2024-07-17T00:00:00"/>
    <x v="7"/>
  </r>
  <r>
    <n v="656"/>
    <n v="18056"/>
    <x v="1"/>
    <n v="17151.96"/>
    <x v="0"/>
    <n v="29"/>
    <x v="2"/>
    <d v="2024-11-02T00:00:00"/>
    <d v="2024-12-01T00:00:00"/>
    <x v="1"/>
  </r>
  <r>
    <n v="657"/>
    <n v="15422"/>
    <x v="2"/>
    <n v="40008.019999999997"/>
    <x v="1"/>
    <n v="36"/>
    <x v="0"/>
    <d v="2024-04-24T00:00:00"/>
    <d v="2024-05-30T00:00:00"/>
    <x v="10"/>
  </r>
  <r>
    <n v="658"/>
    <n v="13658"/>
    <x v="3"/>
    <n v="29277.29"/>
    <x v="0"/>
    <n v="33"/>
    <x v="0"/>
    <d v="2024-07-25T00:00:00"/>
    <d v="2024-08-27T00:00:00"/>
    <x v="2"/>
  </r>
  <r>
    <n v="659"/>
    <n v="10952"/>
    <x v="0"/>
    <n v="183401.28"/>
    <x v="0"/>
    <n v="29"/>
    <x v="1"/>
    <d v="2024-03-21T00:00:00"/>
    <d v="2024-04-19T00:00:00"/>
    <x v="5"/>
  </r>
  <r>
    <n v="660"/>
    <n v="16270"/>
    <x v="3"/>
    <n v="32352.11"/>
    <x v="1"/>
    <n v="10"/>
    <x v="3"/>
    <d v="2024-04-12T00:00:00"/>
    <d v="2024-04-22T00:00:00"/>
    <x v="10"/>
  </r>
  <r>
    <n v="661"/>
    <n v="15365"/>
    <x v="3"/>
    <n v="109841.45"/>
    <x v="2"/>
    <m/>
    <x v="1"/>
    <d v="2024-03-20T00:00:00"/>
    <m/>
    <x v="5"/>
  </r>
  <r>
    <n v="662"/>
    <n v="12871"/>
    <x v="3"/>
    <n v="120655.66"/>
    <x v="0"/>
    <n v="5"/>
    <x v="0"/>
    <d v="2024-04-12T00:00:00"/>
    <d v="2024-04-17T00:00:00"/>
    <x v="10"/>
  </r>
  <r>
    <n v="663"/>
    <n v="12978"/>
    <x v="3"/>
    <n v="110980.44"/>
    <x v="0"/>
    <n v="42"/>
    <x v="2"/>
    <d v="2024-08-27T00:00:00"/>
    <d v="2024-10-08T00:00:00"/>
    <x v="8"/>
  </r>
  <r>
    <n v="664"/>
    <n v="12970"/>
    <x v="1"/>
    <n v="24316"/>
    <x v="0"/>
    <n v="4"/>
    <x v="3"/>
    <d v="2024-09-21T00:00:00"/>
    <d v="2024-09-25T00:00:00"/>
    <x v="9"/>
  </r>
  <r>
    <n v="665"/>
    <n v="14908"/>
    <x v="3"/>
    <n v="67165.679999999993"/>
    <x v="0"/>
    <n v="23"/>
    <x v="2"/>
    <d v="2024-02-02T00:00:00"/>
    <d v="2024-02-25T00:00:00"/>
    <x v="4"/>
  </r>
  <r>
    <n v="666"/>
    <n v="11959"/>
    <x v="3"/>
    <n v="14997.71"/>
    <x v="0"/>
    <n v="41"/>
    <x v="2"/>
    <d v="2024-02-04T00:00:00"/>
    <d v="2024-03-16T00:00:00"/>
    <x v="4"/>
  </r>
  <r>
    <n v="667"/>
    <n v="15182"/>
    <x v="2"/>
    <n v="82155.63"/>
    <x v="0"/>
    <n v="40"/>
    <x v="3"/>
    <d v="2024-09-05T00:00:00"/>
    <d v="2024-10-15T00:00:00"/>
    <x v="9"/>
  </r>
  <r>
    <n v="668"/>
    <n v="10805"/>
    <x v="3"/>
    <n v="41776.79"/>
    <x v="0"/>
    <n v="26"/>
    <x v="1"/>
    <d v="2024-02-19T00:00:00"/>
    <d v="2024-03-16T00:00:00"/>
    <x v="4"/>
  </r>
  <r>
    <n v="669"/>
    <n v="13100"/>
    <x v="1"/>
    <n v="114518.34"/>
    <x v="0"/>
    <n v="23"/>
    <x v="2"/>
    <d v="2024-10-06T00:00:00"/>
    <d v="2024-10-29T00:00:00"/>
    <x v="6"/>
  </r>
  <r>
    <n v="670"/>
    <n v="11575"/>
    <x v="3"/>
    <n v="140097.64000000001"/>
    <x v="0"/>
    <n v="35"/>
    <x v="0"/>
    <d v="2024-08-29T00:00:00"/>
    <d v="2024-10-03T00:00:00"/>
    <x v="8"/>
  </r>
  <r>
    <n v="671"/>
    <n v="18791"/>
    <x v="1"/>
    <n v="108763.37"/>
    <x v="1"/>
    <n v="21"/>
    <x v="2"/>
    <d v="2024-05-31T00:00:00"/>
    <d v="2024-06-21T00:00:00"/>
    <x v="3"/>
  </r>
  <r>
    <n v="672"/>
    <n v="12615"/>
    <x v="3"/>
    <n v="89676.160000000003"/>
    <x v="1"/>
    <n v="37"/>
    <x v="3"/>
    <d v="2024-05-26T00:00:00"/>
    <d v="2024-07-02T00:00:00"/>
    <x v="3"/>
  </r>
  <r>
    <n v="673"/>
    <n v="18803"/>
    <x v="3"/>
    <n v="80530.02"/>
    <x v="0"/>
    <n v="38"/>
    <x v="3"/>
    <d v="2024-02-08T00:00:00"/>
    <d v="2024-03-17T00:00:00"/>
    <x v="4"/>
  </r>
  <r>
    <n v="674"/>
    <n v="15626"/>
    <x v="3"/>
    <n v="169129.89"/>
    <x v="0"/>
    <n v="40"/>
    <x v="3"/>
    <d v="2024-07-07T00:00:00"/>
    <d v="2024-08-16T00:00:00"/>
    <x v="2"/>
  </r>
  <r>
    <n v="675"/>
    <n v="18752"/>
    <x v="3"/>
    <n v="47776.77"/>
    <x v="0"/>
    <n v="28"/>
    <x v="1"/>
    <d v="2024-01-25T00:00:00"/>
    <d v="2024-02-22T00:00:00"/>
    <x v="0"/>
  </r>
  <r>
    <n v="676"/>
    <n v="10626"/>
    <x v="3"/>
    <n v="148172.57999999999"/>
    <x v="0"/>
    <n v="33"/>
    <x v="2"/>
    <d v="2024-08-31T00:00:00"/>
    <d v="2024-10-03T00:00:00"/>
    <x v="8"/>
  </r>
  <r>
    <n v="677"/>
    <n v="16884"/>
    <x v="1"/>
    <n v="152709.04999999999"/>
    <x v="0"/>
    <n v="43"/>
    <x v="1"/>
    <d v="2024-08-10T00:00:00"/>
    <d v="2024-09-22T00:00:00"/>
    <x v="8"/>
  </r>
  <r>
    <n v="678"/>
    <n v="12811"/>
    <x v="0"/>
    <n v="86744"/>
    <x v="1"/>
    <n v="30"/>
    <x v="1"/>
    <d v="2024-08-17T00:00:00"/>
    <d v="2024-09-16T00:00:00"/>
    <x v="8"/>
  </r>
  <r>
    <n v="679"/>
    <n v="11610"/>
    <x v="0"/>
    <n v="62973.62"/>
    <x v="0"/>
    <n v="42"/>
    <x v="3"/>
    <d v="2024-06-01T00:00:00"/>
    <d v="2024-07-13T00:00:00"/>
    <x v="7"/>
  </r>
  <r>
    <n v="680"/>
    <n v="18866"/>
    <x v="1"/>
    <n v="96755.59"/>
    <x v="0"/>
    <n v="33"/>
    <x v="3"/>
    <d v="2024-10-14T00:00:00"/>
    <d v="2024-11-16T00:00:00"/>
    <x v="6"/>
  </r>
  <r>
    <n v="681"/>
    <n v="10048"/>
    <x v="3"/>
    <n v="23176.720000000001"/>
    <x v="0"/>
    <n v="25"/>
    <x v="1"/>
    <d v="2024-04-17T00:00:00"/>
    <d v="2024-05-12T00:00:00"/>
    <x v="10"/>
  </r>
  <r>
    <n v="682"/>
    <n v="11386"/>
    <x v="3"/>
    <n v="13956.36"/>
    <x v="0"/>
    <n v="4"/>
    <x v="2"/>
    <d v="2024-02-02T00:00:00"/>
    <d v="2024-02-06T00:00:00"/>
    <x v="4"/>
  </r>
  <r>
    <n v="683"/>
    <n v="11902"/>
    <x v="3"/>
    <n v="26762.62"/>
    <x v="0"/>
    <n v="28"/>
    <x v="0"/>
    <d v="2024-12-28T00:00:00"/>
    <d v="2025-01-25T00:00:00"/>
    <x v="11"/>
  </r>
  <r>
    <n v="684"/>
    <n v="14722"/>
    <x v="3"/>
    <n v="41493.279999999999"/>
    <x v="2"/>
    <m/>
    <x v="1"/>
    <d v="2024-04-20T00:00:00"/>
    <m/>
    <x v="10"/>
  </r>
  <r>
    <n v="685"/>
    <n v="14372"/>
    <x v="1"/>
    <n v="103314.48"/>
    <x v="0"/>
    <n v="41"/>
    <x v="2"/>
    <d v="2024-04-30T00:00:00"/>
    <d v="2024-06-10T00:00:00"/>
    <x v="10"/>
  </r>
  <r>
    <n v="686"/>
    <n v="13842"/>
    <x v="1"/>
    <n v="170581.64"/>
    <x v="0"/>
    <n v="24"/>
    <x v="3"/>
    <d v="2024-01-16T00:00:00"/>
    <d v="2024-02-09T00:00:00"/>
    <x v="0"/>
  </r>
  <r>
    <n v="687"/>
    <n v="17069"/>
    <x v="3"/>
    <n v="50950.25"/>
    <x v="0"/>
    <n v="8"/>
    <x v="3"/>
    <d v="2024-08-14T00:00:00"/>
    <d v="2024-08-22T00:00:00"/>
    <x v="8"/>
  </r>
  <r>
    <n v="688"/>
    <n v="14311"/>
    <x v="3"/>
    <n v="187356.59"/>
    <x v="2"/>
    <m/>
    <x v="2"/>
    <d v="2024-01-11T00:00:00"/>
    <m/>
    <x v="0"/>
  </r>
  <r>
    <n v="689"/>
    <n v="18421"/>
    <x v="0"/>
    <n v="191207.04000000001"/>
    <x v="0"/>
    <n v="38"/>
    <x v="0"/>
    <d v="2024-07-21T00:00:00"/>
    <d v="2024-08-28T00:00:00"/>
    <x v="2"/>
  </r>
  <r>
    <n v="690"/>
    <n v="17806"/>
    <x v="1"/>
    <n v="191986.4"/>
    <x v="0"/>
    <n v="8"/>
    <x v="3"/>
    <d v="2024-07-20T00:00:00"/>
    <d v="2024-07-28T00:00:00"/>
    <x v="2"/>
  </r>
  <r>
    <n v="691"/>
    <n v="16466"/>
    <x v="3"/>
    <n v="168324.73"/>
    <x v="1"/>
    <n v="31"/>
    <x v="3"/>
    <d v="2024-04-07T00:00:00"/>
    <d v="2024-05-08T00:00:00"/>
    <x v="10"/>
  </r>
  <r>
    <n v="692"/>
    <n v="17997"/>
    <x v="2"/>
    <n v="75945.88"/>
    <x v="0"/>
    <n v="14"/>
    <x v="3"/>
    <d v="2024-04-25T00:00:00"/>
    <d v="2024-05-09T00:00:00"/>
    <x v="10"/>
  </r>
  <r>
    <n v="693"/>
    <n v="16368"/>
    <x v="2"/>
    <n v="19173.36"/>
    <x v="0"/>
    <n v="19"/>
    <x v="2"/>
    <d v="2024-10-07T00:00:00"/>
    <d v="2024-10-26T00:00:00"/>
    <x v="6"/>
  </r>
  <r>
    <n v="694"/>
    <n v="11685"/>
    <x v="3"/>
    <n v="115919.65"/>
    <x v="0"/>
    <n v="32"/>
    <x v="1"/>
    <d v="2024-12-14T00:00:00"/>
    <d v="2025-01-15T00:00:00"/>
    <x v="11"/>
  </r>
  <r>
    <n v="695"/>
    <n v="19502"/>
    <x v="3"/>
    <n v="113942.88"/>
    <x v="0"/>
    <n v="23"/>
    <x v="3"/>
    <d v="2024-08-19T00:00:00"/>
    <d v="2024-09-11T00:00:00"/>
    <x v="8"/>
  </r>
  <r>
    <n v="696"/>
    <n v="18139"/>
    <x v="1"/>
    <n v="170745.27"/>
    <x v="0"/>
    <n v="15"/>
    <x v="1"/>
    <d v="2024-04-20T00:00:00"/>
    <d v="2024-05-05T00:00:00"/>
    <x v="10"/>
  </r>
  <r>
    <n v="697"/>
    <n v="15133"/>
    <x v="2"/>
    <n v="199218.25"/>
    <x v="0"/>
    <n v="19"/>
    <x v="0"/>
    <d v="2024-12-17T00:00:00"/>
    <d v="2025-01-05T00:00:00"/>
    <x v="11"/>
  </r>
  <r>
    <n v="698"/>
    <n v="18824"/>
    <x v="0"/>
    <n v="104090.67"/>
    <x v="0"/>
    <n v="36"/>
    <x v="3"/>
    <d v="2024-01-12T00:00:00"/>
    <d v="2024-02-17T00:00:00"/>
    <x v="0"/>
  </r>
  <r>
    <n v="699"/>
    <n v="12422"/>
    <x v="3"/>
    <n v="72314.789999999994"/>
    <x v="0"/>
    <n v="18"/>
    <x v="3"/>
    <d v="2024-01-21T00:00:00"/>
    <d v="2024-02-08T00:00:00"/>
    <x v="0"/>
  </r>
  <r>
    <n v="700"/>
    <n v="12750"/>
    <x v="3"/>
    <n v="41250.83"/>
    <x v="0"/>
    <n v="20"/>
    <x v="0"/>
    <d v="2024-05-06T00:00:00"/>
    <d v="2024-05-26T00:00:00"/>
    <x v="3"/>
  </r>
  <r>
    <n v="701"/>
    <n v="18524"/>
    <x v="1"/>
    <n v="5935.97"/>
    <x v="0"/>
    <n v="32"/>
    <x v="3"/>
    <d v="2024-10-11T00:00:00"/>
    <d v="2024-11-12T00:00:00"/>
    <x v="6"/>
  </r>
  <r>
    <n v="702"/>
    <n v="16309"/>
    <x v="1"/>
    <n v="104277.17"/>
    <x v="0"/>
    <n v="40"/>
    <x v="1"/>
    <d v="2024-04-30T00:00:00"/>
    <d v="2024-06-09T00:00:00"/>
    <x v="10"/>
  </r>
  <r>
    <n v="703"/>
    <n v="18698"/>
    <x v="3"/>
    <n v="113326.14"/>
    <x v="2"/>
    <m/>
    <x v="2"/>
    <d v="2024-05-03T00:00:00"/>
    <m/>
    <x v="3"/>
  </r>
  <r>
    <n v="704"/>
    <n v="14212"/>
    <x v="0"/>
    <n v="165863"/>
    <x v="0"/>
    <n v="16"/>
    <x v="1"/>
    <d v="2024-02-02T00:00:00"/>
    <d v="2024-02-18T00:00:00"/>
    <x v="4"/>
  </r>
  <r>
    <n v="705"/>
    <n v="10942"/>
    <x v="1"/>
    <n v="103392.51"/>
    <x v="0"/>
    <n v="30"/>
    <x v="2"/>
    <d v="2024-06-18T00:00:00"/>
    <d v="2024-07-18T00:00:00"/>
    <x v="7"/>
  </r>
  <r>
    <n v="706"/>
    <n v="18827"/>
    <x v="0"/>
    <n v="183711.33"/>
    <x v="0"/>
    <n v="41"/>
    <x v="2"/>
    <d v="2024-03-17T00:00:00"/>
    <d v="2024-04-27T00:00:00"/>
    <x v="5"/>
  </r>
  <r>
    <n v="707"/>
    <n v="19781"/>
    <x v="0"/>
    <n v="127476.28"/>
    <x v="0"/>
    <n v="17"/>
    <x v="1"/>
    <d v="2024-10-23T00:00:00"/>
    <d v="2024-11-09T00:00:00"/>
    <x v="6"/>
  </r>
  <r>
    <n v="708"/>
    <n v="11462"/>
    <x v="1"/>
    <n v="168865.57"/>
    <x v="0"/>
    <n v="34"/>
    <x v="1"/>
    <d v="2024-11-25T00:00:00"/>
    <d v="2024-12-29T00:00:00"/>
    <x v="1"/>
  </r>
  <r>
    <n v="709"/>
    <n v="17471"/>
    <x v="3"/>
    <n v="33918.839999999997"/>
    <x v="0"/>
    <n v="26"/>
    <x v="1"/>
    <d v="2024-03-03T00:00:00"/>
    <d v="2024-03-29T00:00:00"/>
    <x v="5"/>
  </r>
  <r>
    <n v="710"/>
    <n v="11991"/>
    <x v="1"/>
    <n v="171790.55"/>
    <x v="0"/>
    <n v="17"/>
    <x v="1"/>
    <d v="2024-09-26T00:00:00"/>
    <d v="2024-10-13T00:00:00"/>
    <x v="9"/>
  </r>
  <r>
    <n v="711"/>
    <n v="15390"/>
    <x v="3"/>
    <n v="136653.04999999999"/>
    <x v="0"/>
    <n v="31"/>
    <x v="0"/>
    <d v="2024-08-03T00:00:00"/>
    <d v="2024-09-03T00:00:00"/>
    <x v="8"/>
  </r>
  <r>
    <n v="712"/>
    <n v="19926"/>
    <x v="1"/>
    <n v="38195.440000000002"/>
    <x v="1"/>
    <n v="35"/>
    <x v="3"/>
    <d v="2024-07-08T00:00:00"/>
    <d v="2024-08-12T00:00:00"/>
    <x v="2"/>
  </r>
  <r>
    <n v="713"/>
    <n v="10112"/>
    <x v="3"/>
    <n v="42003.89"/>
    <x v="0"/>
    <n v="3"/>
    <x v="2"/>
    <d v="2024-03-15T00:00:00"/>
    <d v="2024-03-18T00:00:00"/>
    <x v="5"/>
  </r>
  <r>
    <n v="714"/>
    <n v="17183"/>
    <x v="1"/>
    <n v="185667.62"/>
    <x v="0"/>
    <n v="41"/>
    <x v="1"/>
    <d v="2024-06-22T00:00:00"/>
    <d v="2024-08-02T00:00:00"/>
    <x v="7"/>
  </r>
  <r>
    <n v="715"/>
    <n v="12263"/>
    <x v="3"/>
    <n v="11282"/>
    <x v="0"/>
    <n v="44"/>
    <x v="1"/>
    <d v="2024-03-07T00:00:00"/>
    <d v="2024-04-20T00:00:00"/>
    <x v="5"/>
  </r>
  <r>
    <n v="716"/>
    <n v="18618"/>
    <x v="3"/>
    <n v="95194.31"/>
    <x v="0"/>
    <n v="39"/>
    <x v="1"/>
    <d v="2024-04-02T00:00:00"/>
    <d v="2024-05-11T00:00:00"/>
    <x v="10"/>
  </r>
  <r>
    <n v="717"/>
    <n v="15254"/>
    <x v="3"/>
    <n v="66127.679999999993"/>
    <x v="0"/>
    <n v="19"/>
    <x v="0"/>
    <d v="2024-02-22T00:00:00"/>
    <d v="2024-03-12T00:00:00"/>
    <x v="4"/>
  </r>
  <r>
    <n v="718"/>
    <n v="19258"/>
    <x v="3"/>
    <n v="134690.1"/>
    <x v="0"/>
    <n v="6"/>
    <x v="1"/>
    <d v="2024-04-03T00:00:00"/>
    <d v="2024-04-09T00:00:00"/>
    <x v="10"/>
  </r>
  <r>
    <n v="719"/>
    <n v="12811"/>
    <x v="1"/>
    <n v="168727.73"/>
    <x v="0"/>
    <n v="41"/>
    <x v="1"/>
    <d v="2024-04-22T00:00:00"/>
    <d v="2024-06-02T00:00:00"/>
    <x v="10"/>
  </r>
  <r>
    <n v="720"/>
    <n v="10833"/>
    <x v="1"/>
    <n v="75273.73"/>
    <x v="1"/>
    <n v="7"/>
    <x v="1"/>
    <d v="2024-08-16T00:00:00"/>
    <d v="2024-08-23T00:00:00"/>
    <x v="8"/>
  </r>
  <r>
    <n v="721"/>
    <n v="17227"/>
    <x v="1"/>
    <n v="88245.91"/>
    <x v="1"/>
    <n v="13"/>
    <x v="3"/>
    <d v="2024-09-06T00:00:00"/>
    <d v="2024-09-19T00:00:00"/>
    <x v="9"/>
  </r>
  <r>
    <n v="722"/>
    <n v="18421"/>
    <x v="3"/>
    <n v="196473.97"/>
    <x v="0"/>
    <n v="13"/>
    <x v="0"/>
    <d v="2024-07-27T00:00:00"/>
    <d v="2024-08-09T00:00:00"/>
    <x v="2"/>
  </r>
  <r>
    <n v="723"/>
    <n v="14254"/>
    <x v="3"/>
    <n v="157863.72"/>
    <x v="0"/>
    <n v="13"/>
    <x v="1"/>
    <d v="2024-06-30T00:00:00"/>
    <d v="2024-07-13T00:00:00"/>
    <x v="7"/>
  </r>
  <r>
    <n v="724"/>
    <n v="19015"/>
    <x v="3"/>
    <n v="179954.81"/>
    <x v="1"/>
    <n v="10"/>
    <x v="2"/>
    <d v="2024-09-23T00:00:00"/>
    <d v="2024-10-03T00:00:00"/>
    <x v="9"/>
  </r>
  <r>
    <n v="725"/>
    <n v="12518"/>
    <x v="3"/>
    <n v="90558.63"/>
    <x v="0"/>
    <n v="43"/>
    <x v="2"/>
    <d v="2024-10-07T00:00:00"/>
    <d v="2024-11-19T00:00:00"/>
    <x v="6"/>
  </r>
  <r>
    <n v="726"/>
    <n v="13667"/>
    <x v="0"/>
    <n v="50644.86"/>
    <x v="0"/>
    <n v="23"/>
    <x v="2"/>
    <d v="2024-06-03T00:00:00"/>
    <d v="2024-06-26T00:00:00"/>
    <x v="7"/>
  </r>
  <r>
    <n v="727"/>
    <n v="19296"/>
    <x v="3"/>
    <n v="85313.38"/>
    <x v="0"/>
    <n v="17"/>
    <x v="0"/>
    <d v="2024-03-23T00:00:00"/>
    <d v="2024-04-09T00:00:00"/>
    <x v="5"/>
  </r>
  <r>
    <n v="728"/>
    <n v="11041"/>
    <x v="3"/>
    <n v="144637.92000000001"/>
    <x v="0"/>
    <n v="5"/>
    <x v="0"/>
    <d v="2024-07-04T00:00:00"/>
    <d v="2024-07-09T00:00:00"/>
    <x v="2"/>
  </r>
  <r>
    <n v="729"/>
    <n v="15112"/>
    <x v="3"/>
    <n v="26338.93"/>
    <x v="0"/>
    <n v="4"/>
    <x v="2"/>
    <d v="2024-12-14T00:00:00"/>
    <d v="2024-12-18T00:00:00"/>
    <x v="11"/>
  </r>
  <r>
    <n v="730"/>
    <n v="10707"/>
    <x v="3"/>
    <n v="57741.48"/>
    <x v="0"/>
    <n v="17"/>
    <x v="1"/>
    <d v="2024-05-18T00:00:00"/>
    <d v="2024-06-04T00:00:00"/>
    <x v="3"/>
  </r>
  <r>
    <n v="731"/>
    <n v="17458"/>
    <x v="1"/>
    <n v="14094"/>
    <x v="0"/>
    <n v="15"/>
    <x v="0"/>
    <d v="2024-02-24T00:00:00"/>
    <d v="2024-03-10T00:00:00"/>
    <x v="4"/>
  </r>
  <r>
    <n v="732"/>
    <n v="11383"/>
    <x v="1"/>
    <n v="89307.81"/>
    <x v="0"/>
    <n v="42"/>
    <x v="2"/>
    <d v="2024-01-19T00:00:00"/>
    <d v="2024-03-01T00:00:00"/>
    <x v="0"/>
  </r>
  <r>
    <n v="733"/>
    <n v="11302"/>
    <x v="3"/>
    <n v="166351.92000000001"/>
    <x v="1"/>
    <n v="39"/>
    <x v="2"/>
    <d v="2024-12-13T00:00:00"/>
    <d v="2025-01-21T00:00:00"/>
    <x v="11"/>
  </r>
  <r>
    <n v="734"/>
    <n v="17118"/>
    <x v="3"/>
    <n v="9809.42"/>
    <x v="0"/>
    <n v="5"/>
    <x v="1"/>
    <d v="2024-12-11T00:00:00"/>
    <d v="2024-12-16T00:00:00"/>
    <x v="11"/>
  </r>
  <r>
    <n v="735"/>
    <n v="18868"/>
    <x v="3"/>
    <n v="136688.09"/>
    <x v="0"/>
    <n v="3"/>
    <x v="3"/>
    <d v="2024-09-23T00:00:00"/>
    <d v="2024-09-26T00:00:00"/>
    <x v="9"/>
  </r>
  <r>
    <n v="736"/>
    <n v="12564"/>
    <x v="3"/>
    <n v="186836.7"/>
    <x v="0"/>
    <n v="11"/>
    <x v="0"/>
    <d v="2024-05-21T00:00:00"/>
    <d v="2024-06-01T00:00:00"/>
    <x v="3"/>
  </r>
  <r>
    <n v="737"/>
    <n v="19755"/>
    <x v="3"/>
    <n v="51200.93"/>
    <x v="1"/>
    <n v="12"/>
    <x v="1"/>
    <d v="2024-11-11T00:00:00"/>
    <d v="2024-11-23T00:00:00"/>
    <x v="1"/>
  </r>
  <r>
    <n v="738"/>
    <n v="11260"/>
    <x v="2"/>
    <n v="140258.79"/>
    <x v="1"/>
    <n v="40"/>
    <x v="2"/>
    <d v="2024-06-12T00:00:00"/>
    <d v="2024-07-22T00:00:00"/>
    <x v="7"/>
  </r>
  <r>
    <n v="739"/>
    <n v="13203"/>
    <x v="1"/>
    <n v="195144.87"/>
    <x v="0"/>
    <n v="27"/>
    <x v="2"/>
    <d v="2024-09-08T00:00:00"/>
    <d v="2024-10-05T00:00:00"/>
    <x v="9"/>
  </r>
  <r>
    <n v="740"/>
    <n v="10357"/>
    <x v="1"/>
    <n v="192644.22"/>
    <x v="0"/>
    <n v="38"/>
    <x v="1"/>
    <d v="2024-08-19T00:00:00"/>
    <d v="2024-09-26T00:00:00"/>
    <x v="8"/>
  </r>
  <r>
    <n v="741"/>
    <n v="15404"/>
    <x v="3"/>
    <n v="50811.19"/>
    <x v="1"/>
    <n v="27"/>
    <x v="0"/>
    <d v="2024-10-23T00:00:00"/>
    <d v="2024-11-19T00:00:00"/>
    <x v="6"/>
  </r>
  <r>
    <n v="742"/>
    <n v="15412"/>
    <x v="3"/>
    <n v="24564.560000000001"/>
    <x v="0"/>
    <n v="5"/>
    <x v="3"/>
    <d v="2024-12-28T00:00:00"/>
    <d v="2025-01-02T00:00:00"/>
    <x v="11"/>
  </r>
  <r>
    <n v="743"/>
    <n v="13234"/>
    <x v="1"/>
    <n v="33915.089999999997"/>
    <x v="0"/>
    <n v="27"/>
    <x v="3"/>
    <d v="2024-02-29T00:00:00"/>
    <d v="2024-03-27T00:00:00"/>
    <x v="4"/>
  </r>
  <r>
    <n v="744"/>
    <n v="18083"/>
    <x v="1"/>
    <n v="141896.95999999999"/>
    <x v="0"/>
    <n v="39"/>
    <x v="2"/>
    <d v="2024-01-22T00:00:00"/>
    <d v="2024-03-01T00:00:00"/>
    <x v="0"/>
  </r>
  <r>
    <n v="745"/>
    <n v="10418"/>
    <x v="1"/>
    <n v="146522.98000000001"/>
    <x v="0"/>
    <n v="29"/>
    <x v="0"/>
    <d v="2024-05-05T00:00:00"/>
    <d v="2024-06-03T00:00:00"/>
    <x v="3"/>
  </r>
  <r>
    <n v="746"/>
    <n v="17906"/>
    <x v="3"/>
    <n v="136476.13"/>
    <x v="0"/>
    <n v="3"/>
    <x v="3"/>
    <d v="2024-04-12T00:00:00"/>
    <d v="2024-04-15T00:00:00"/>
    <x v="10"/>
  </r>
  <r>
    <n v="747"/>
    <n v="15587"/>
    <x v="1"/>
    <n v="70535.289999999994"/>
    <x v="0"/>
    <n v="3"/>
    <x v="0"/>
    <d v="2024-08-08T00:00:00"/>
    <d v="2024-08-11T00:00:00"/>
    <x v="8"/>
  </r>
  <r>
    <n v="748"/>
    <n v="13955"/>
    <x v="3"/>
    <n v="38106.5"/>
    <x v="0"/>
    <n v="17"/>
    <x v="0"/>
    <d v="2024-04-19T00:00:00"/>
    <d v="2024-05-06T00:00:00"/>
    <x v="10"/>
  </r>
  <r>
    <n v="749"/>
    <n v="11593"/>
    <x v="0"/>
    <n v="118248.41"/>
    <x v="2"/>
    <m/>
    <x v="2"/>
    <d v="2024-02-27T00:00:00"/>
    <m/>
    <x v="4"/>
  </r>
  <r>
    <n v="750"/>
    <n v="14602"/>
    <x v="1"/>
    <n v="99317.69"/>
    <x v="1"/>
    <n v="24"/>
    <x v="3"/>
    <d v="2024-03-05T00:00:00"/>
    <d v="2024-03-29T00:00:00"/>
    <x v="5"/>
  </r>
  <r>
    <n v="751"/>
    <n v="19577"/>
    <x v="1"/>
    <n v="147122.66"/>
    <x v="2"/>
    <m/>
    <x v="1"/>
    <d v="2024-02-27T00:00:00"/>
    <m/>
    <x v="4"/>
  </r>
  <r>
    <n v="752"/>
    <n v="10244"/>
    <x v="3"/>
    <n v="91065.22"/>
    <x v="2"/>
    <m/>
    <x v="2"/>
    <d v="2024-06-06T00:00:00"/>
    <m/>
    <x v="7"/>
  </r>
  <r>
    <n v="753"/>
    <n v="14572"/>
    <x v="1"/>
    <n v="71034.740000000005"/>
    <x v="0"/>
    <n v="40"/>
    <x v="3"/>
    <d v="2024-03-16T00:00:00"/>
    <d v="2024-04-25T00:00:00"/>
    <x v="5"/>
  </r>
  <r>
    <n v="754"/>
    <n v="10614"/>
    <x v="3"/>
    <n v="62228.32"/>
    <x v="0"/>
    <n v="26"/>
    <x v="3"/>
    <d v="2024-01-19T00:00:00"/>
    <d v="2024-02-14T00:00:00"/>
    <x v="0"/>
  </r>
  <r>
    <n v="755"/>
    <n v="10249"/>
    <x v="3"/>
    <n v="46236.71"/>
    <x v="0"/>
    <n v="38"/>
    <x v="3"/>
    <d v="2024-07-08T00:00:00"/>
    <d v="2024-08-15T00:00:00"/>
    <x v="2"/>
  </r>
  <r>
    <n v="756"/>
    <n v="16620"/>
    <x v="3"/>
    <n v="56820.54"/>
    <x v="1"/>
    <n v="14"/>
    <x v="3"/>
    <d v="2024-09-06T00:00:00"/>
    <d v="2024-09-20T00:00:00"/>
    <x v="9"/>
  </r>
  <r>
    <n v="757"/>
    <n v="19787"/>
    <x v="1"/>
    <n v="23491.94"/>
    <x v="0"/>
    <n v="16"/>
    <x v="3"/>
    <d v="2024-12-25T00:00:00"/>
    <d v="2025-01-10T00:00:00"/>
    <x v="11"/>
  </r>
  <r>
    <n v="758"/>
    <n v="15869"/>
    <x v="3"/>
    <n v="72637.119999999995"/>
    <x v="2"/>
    <m/>
    <x v="0"/>
    <d v="2024-12-28T00:00:00"/>
    <m/>
    <x v="11"/>
  </r>
  <r>
    <n v="759"/>
    <n v="15971"/>
    <x v="3"/>
    <n v="12131.11"/>
    <x v="0"/>
    <n v="4"/>
    <x v="2"/>
    <d v="2024-03-19T00:00:00"/>
    <d v="2024-03-23T00:00:00"/>
    <x v="5"/>
  </r>
  <r>
    <n v="760"/>
    <n v="10510"/>
    <x v="0"/>
    <n v="41350.699999999997"/>
    <x v="1"/>
    <n v="24"/>
    <x v="0"/>
    <d v="2024-03-24T00:00:00"/>
    <d v="2024-04-17T00:00:00"/>
    <x v="5"/>
  </r>
  <r>
    <n v="761"/>
    <n v="15968"/>
    <x v="3"/>
    <n v="150620.24"/>
    <x v="0"/>
    <n v="5"/>
    <x v="1"/>
    <d v="2024-06-20T00:00:00"/>
    <d v="2024-06-25T00:00:00"/>
    <x v="7"/>
  </r>
  <r>
    <n v="762"/>
    <n v="14869"/>
    <x v="1"/>
    <n v="68466.45"/>
    <x v="0"/>
    <n v="4"/>
    <x v="3"/>
    <d v="2024-07-30T00:00:00"/>
    <d v="2024-08-03T00:00:00"/>
    <x v="2"/>
  </r>
  <r>
    <n v="763"/>
    <n v="19557"/>
    <x v="3"/>
    <n v="135306.22"/>
    <x v="1"/>
    <n v="40"/>
    <x v="2"/>
    <d v="2024-05-28T00:00:00"/>
    <d v="2024-07-07T00:00:00"/>
    <x v="3"/>
  </r>
  <r>
    <n v="764"/>
    <n v="17505"/>
    <x v="3"/>
    <n v="144792.41"/>
    <x v="0"/>
    <n v="9"/>
    <x v="3"/>
    <d v="2024-01-10T00:00:00"/>
    <d v="2024-01-19T00:00:00"/>
    <x v="0"/>
  </r>
  <r>
    <n v="765"/>
    <n v="17647"/>
    <x v="1"/>
    <n v="118331.14"/>
    <x v="1"/>
    <n v="44"/>
    <x v="2"/>
    <d v="2024-01-30T00:00:00"/>
    <d v="2024-03-14T00:00:00"/>
    <x v="0"/>
  </r>
  <r>
    <n v="766"/>
    <n v="19115"/>
    <x v="3"/>
    <n v="191946.06"/>
    <x v="0"/>
    <n v="26"/>
    <x v="0"/>
    <d v="2024-10-06T00:00:00"/>
    <d v="2024-11-01T00:00:00"/>
    <x v="6"/>
  </r>
  <r>
    <n v="767"/>
    <n v="10073"/>
    <x v="3"/>
    <n v="9180.77"/>
    <x v="0"/>
    <n v="42"/>
    <x v="2"/>
    <d v="2024-02-24T00:00:00"/>
    <d v="2024-04-06T00:00:00"/>
    <x v="4"/>
  </r>
  <r>
    <n v="768"/>
    <n v="19000"/>
    <x v="1"/>
    <n v="149037.26999999999"/>
    <x v="0"/>
    <n v="13"/>
    <x v="1"/>
    <d v="2024-12-25T00:00:00"/>
    <d v="2025-01-07T00:00:00"/>
    <x v="11"/>
  </r>
  <r>
    <n v="769"/>
    <n v="12878"/>
    <x v="1"/>
    <n v="191963.4"/>
    <x v="0"/>
    <n v="6"/>
    <x v="1"/>
    <d v="2024-05-06T00:00:00"/>
    <d v="2024-05-12T00:00:00"/>
    <x v="3"/>
  </r>
  <r>
    <n v="770"/>
    <n v="15141"/>
    <x v="1"/>
    <n v="173142.99"/>
    <x v="0"/>
    <n v="34"/>
    <x v="2"/>
    <d v="2024-06-28T00:00:00"/>
    <d v="2024-08-01T00:00:00"/>
    <x v="7"/>
  </r>
  <r>
    <n v="771"/>
    <n v="12126"/>
    <x v="3"/>
    <n v="37739.07"/>
    <x v="0"/>
    <n v="26"/>
    <x v="2"/>
    <d v="2024-08-19T00:00:00"/>
    <d v="2024-09-14T00:00:00"/>
    <x v="8"/>
  </r>
  <r>
    <n v="772"/>
    <n v="12204"/>
    <x v="3"/>
    <n v="68729.960000000006"/>
    <x v="0"/>
    <n v="26"/>
    <x v="2"/>
    <d v="2024-04-02T00:00:00"/>
    <d v="2024-04-28T00:00:00"/>
    <x v="10"/>
  </r>
  <r>
    <n v="773"/>
    <n v="16470"/>
    <x v="1"/>
    <n v="38628.11"/>
    <x v="0"/>
    <n v="36"/>
    <x v="2"/>
    <d v="2024-01-08T00:00:00"/>
    <d v="2024-02-13T00:00:00"/>
    <x v="0"/>
  </r>
  <r>
    <n v="774"/>
    <n v="13679"/>
    <x v="1"/>
    <n v="122255.13"/>
    <x v="0"/>
    <n v="16"/>
    <x v="1"/>
    <d v="2024-09-03T00:00:00"/>
    <d v="2024-09-19T00:00:00"/>
    <x v="9"/>
  </r>
  <r>
    <n v="775"/>
    <n v="18089"/>
    <x v="0"/>
    <n v="143876.66"/>
    <x v="0"/>
    <n v="43"/>
    <x v="3"/>
    <d v="2024-11-26T00:00:00"/>
    <d v="2025-01-08T00:00:00"/>
    <x v="1"/>
  </r>
  <r>
    <n v="776"/>
    <n v="10984"/>
    <x v="0"/>
    <n v="66829.39"/>
    <x v="1"/>
    <n v="27"/>
    <x v="2"/>
    <d v="2024-07-14T00:00:00"/>
    <d v="2024-08-10T00:00:00"/>
    <x v="2"/>
  </r>
  <r>
    <n v="777"/>
    <n v="11298"/>
    <x v="0"/>
    <n v="110203.78"/>
    <x v="0"/>
    <n v="11"/>
    <x v="2"/>
    <d v="2024-06-11T00:00:00"/>
    <d v="2024-06-22T00:00:00"/>
    <x v="7"/>
  </r>
  <r>
    <n v="778"/>
    <n v="17548"/>
    <x v="3"/>
    <n v="139729.51"/>
    <x v="0"/>
    <n v="25"/>
    <x v="1"/>
    <d v="2024-02-09T00:00:00"/>
    <d v="2024-03-05T00:00:00"/>
    <x v="4"/>
  </r>
  <r>
    <n v="779"/>
    <n v="17187"/>
    <x v="3"/>
    <n v="87161.26"/>
    <x v="0"/>
    <n v="36"/>
    <x v="1"/>
    <d v="2024-09-10T00:00:00"/>
    <d v="2024-10-16T00:00:00"/>
    <x v="9"/>
  </r>
  <r>
    <n v="780"/>
    <n v="13955"/>
    <x v="1"/>
    <n v="171533.03"/>
    <x v="0"/>
    <n v="30"/>
    <x v="0"/>
    <d v="2024-03-25T00:00:00"/>
    <d v="2024-04-24T00:00:00"/>
    <x v="5"/>
  </r>
  <r>
    <n v="781"/>
    <n v="15713"/>
    <x v="3"/>
    <n v="155452.24"/>
    <x v="0"/>
    <n v="39"/>
    <x v="2"/>
    <d v="2024-09-28T00:00:00"/>
    <d v="2024-11-06T00:00:00"/>
    <x v="9"/>
  </r>
  <r>
    <n v="782"/>
    <n v="13687"/>
    <x v="3"/>
    <n v="17609.78"/>
    <x v="2"/>
    <m/>
    <x v="0"/>
    <d v="2024-03-18T00:00:00"/>
    <m/>
    <x v="5"/>
  </r>
  <r>
    <n v="783"/>
    <n v="13045"/>
    <x v="0"/>
    <n v="126119.43"/>
    <x v="1"/>
    <n v="25"/>
    <x v="1"/>
    <d v="2024-07-31T00:00:00"/>
    <d v="2024-08-25T00:00:00"/>
    <x v="2"/>
  </r>
  <r>
    <n v="784"/>
    <n v="19051"/>
    <x v="0"/>
    <n v="50888.480000000003"/>
    <x v="0"/>
    <n v="20"/>
    <x v="1"/>
    <d v="2024-10-30T00:00:00"/>
    <d v="2024-11-19T00:00:00"/>
    <x v="6"/>
  </r>
  <r>
    <n v="785"/>
    <n v="16716"/>
    <x v="3"/>
    <n v="113716.06"/>
    <x v="0"/>
    <n v="10"/>
    <x v="3"/>
    <d v="2024-09-11T00:00:00"/>
    <d v="2024-09-21T00:00:00"/>
    <x v="9"/>
  </r>
  <r>
    <n v="786"/>
    <n v="12085"/>
    <x v="3"/>
    <n v="191593.25"/>
    <x v="1"/>
    <n v="27"/>
    <x v="2"/>
    <d v="2024-03-31T00:00:00"/>
    <d v="2024-04-27T00:00:00"/>
    <x v="5"/>
  </r>
  <r>
    <n v="787"/>
    <n v="16533"/>
    <x v="3"/>
    <n v="176417.09"/>
    <x v="0"/>
    <n v="26"/>
    <x v="0"/>
    <d v="2024-07-11T00:00:00"/>
    <d v="2024-08-06T00:00:00"/>
    <x v="2"/>
  </r>
  <r>
    <n v="788"/>
    <n v="12727"/>
    <x v="0"/>
    <n v="83880.7"/>
    <x v="0"/>
    <n v="36"/>
    <x v="1"/>
    <d v="2024-09-09T00:00:00"/>
    <d v="2024-10-15T00:00:00"/>
    <x v="9"/>
  </r>
  <r>
    <n v="789"/>
    <n v="10376"/>
    <x v="2"/>
    <n v="61845.2"/>
    <x v="0"/>
    <n v="37"/>
    <x v="1"/>
    <d v="2024-10-04T00:00:00"/>
    <d v="2024-11-10T00:00:00"/>
    <x v="6"/>
  </r>
  <r>
    <n v="790"/>
    <n v="16992"/>
    <x v="3"/>
    <n v="50709.120000000003"/>
    <x v="0"/>
    <n v="15"/>
    <x v="0"/>
    <d v="2024-05-22T00:00:00"/>
    <d v="2024-06-06T00:00:00"/>
    <x v="3"/>
  </r>
  <r>
    <n v="791"/>
    <n v="15700"/>
    <x v="3"/>
    <n v="108840.4"/>
    <x v="2"/>
    <m/>
    <x v="3"/>
    <d v="2024-08-31T00:00:00"/>
    <m/>
    <x v="8"/>
  </r>
  <r>
    <n v="792"/>
    <n v="14690"/>
    <x v="0"/>
    <n v="27278.45"/>
    <x v="0"/>
    <n v="33"/>
    <x v="1"/>
    <d v="2024-07-30T00:00:00"/>
    <d v="2024-09-01T00:00:00"/>
    <x v="2"/>
  </r>
  <r>
    <n v="793"/>
    <n v="12794"/>
    <x v="3"/>
    <n v="112108.63"/>
    <x v="0"/>
    <n v="27"/>
    <x v="2"/>
    <d v="2024-07-13T00:00:00"/>
    <d v="2024-08-09T00:00:00"/>
    <x v="2"/>
  </r>
  <r>
    <n v="794"/>
    <n v="11065"/>
    <x v="1"/>
    <n v="5260.06"/>
    <x v="0"/>
    <n v="16"/>
    <x v="1"/>
    <d v="2024-09-26T00:00:00"/>
    <d v="2024-10-12T00:00:00"/>
    <x v="9"/>
  </r>
  <r>
    <n v="795"/>
    <n v="13682"/>
    <x v="2"/>
    <n v="68150.679999999993"/>
    <x v="1"/>
    <n v="32"/>
    <x v="2"/>
    <d v="2024-11-24T00:00:00"/>
    <d v="2024-12-26T00:00:00"/>
    <x v="1"/>
  </r>
  <r>
    <n v="796"/>
    <n v="17637"/>
    <x v="3"/>
    <n v="47887.19"/>
    <x v="1"/>
    <n v="38"/>
    <x v="0"/>
    <d v="2024-01-19T00:00:00"/>
    <d v="2024-02-26T00:00:00"/>
    <x v="0"/>
  </r>
  <r>
    <n v="797"/>
    <n v="11051"/>
    <x v="1"/>
    <n v="194387.66"/>
    <x v="0"/>
    <n v="39"/>
    <x v="2"/>
    <d v="2024-02-09T00:00:00"/>
    <d v="2024-03-19T00:00:00"/>
    <x v="4"/>
  </r>
  <r>
    <n v="798"/>
    <n v="18820"/>
    <x v="3"/>
    <n v="146812.25"/>
    <x v="0"/>
    <n v="38"/>
    <x v="0"/>
    <d v="2024-04-07T00:00:00"/>
    <d v="2024-05-15T00:00:00"/>
    <x v="10"/>
  </r>
  <r>
    <n v="799"/>
    <n v="18080"/>
    <x v="3"/>
    <n v="73182.41"/>
    <x v="0"/>
    <n v="20"/>
    <x v="2"/>
    <d v="2024-01-04T00:00:00"/>
    <d v="2024-01-24T00:00:00"/>
    <x v="0"/>
  </r>
  <r>
    <n v="800"/>
    <n v="12373"/>
    <x v="0"/>
    <n v="23104.79"/>
    <x v="1"/>
    <n v="15"/>
    <x v="0"/>
    <d v="2024-02-02T00:00:00"/>
    <d v="2024-02-17T00:00:00"/>
    <x v="4"/>
  </r>
  <r>
    <n v="801"/>
    <n v="16762"/>
    <x v="3"/>
    <n v="105776.12"/>
    <x v="1"/>
    <n v="37"/>
    <x v="2"/>
    <d v="2024-10-25T00:00:00"/>
    <d v="2024-12-01T00:00:00"/>
    <x v="6"/>
  </r>
  <r>
    <n v="802"/>
    <n v="18058"/>
    <x v="2"/>
    <n v="46622.34"/>
    <x v="0"/>
    <n v="38"/>
    <x v="3"/>
    <d v="2024-06-13T00:00:00"/>
    <d v="2024-07-21T00:00:00"/>
    <x v="7"/>
  </r>
  <r>
    <n v="803"/>
    <n v="16468"/>
    <x v="1"/>
    <n v="109603.76"/>
    <x v="1"/>
    <n v="12"/>
    <x v="2"/>
    <d v="2024-01-27T00:00:00"/>
    <d v="2024-02-08T00:00:00"/>
    <x v="0"/>
  </r>
  <r>
    <n v="804"/>
    <n v="13974"/>
    <x v="3"/>
    <n v="167895.66"/>
    <x v="0"/>
    <n v="28"/>
    <x v="2"/>
    <d v="2024-06-21T00:00:00"/>
    <d v="2024-07-19T00:00:00"/>
    <x v="7"/>
  </r>
  <r>
    <n v="805"/>
    <n v="19375"/>
    <x v="3"/>
    <n v="125079.55"/>
    <x v="0"/>
    <n v="3"/>
    <x v="3"/>
    <d v="2024-12-02T00:00:00"/>
    <d v="2024-12-05T00:00:00"/>
    <x v="11"/>
  </r>
  <r>
    <n v="806"/>
    <n v="16659"/>
    <x v="3"/>
    <n v="128588.74"/>
    <x v="0"/>
    <n v="23"/>
    <x v="1"/>
    <d v="2024-04-22T00:00:00"/>
    <d v="2024-05-15T00:00:00"/>
    <x v="10"/>
  </r>
  <r>
    <n v="807"/>
    <n v="17828"/>
    <x v="3"/>
    <n v="110500.91"/>
    <x v="0"/>
    <n v="3"/>
    <x v="1"/>
    <d v="2024-04-04T00:00:00"/>
    <d v="2024-04-07T00:00:00"/>
    <x v="10"/>
  </r>
  <r>
    <n v="808"/>
    <n v="14841"/>
    <x v="3"/>
    <n v="185816.8"/>
    <x v="0"/>
    <n v="21"/>
    <x v="2"/>
    <d v="2024-11-14T00:00:00"/>
    <d v="2024-12-05T00:00:00"/>
    <x v="1"/>
  </r>
  <r>
    <n v="809"/>
    <n v="19469"/>
    <x v="3"/>
    <n v="186721.02"/>
    <x v="0"/>
    <n v="18"/>
    <x v="3"/>
    <d v="2024-08-20T00:00:00"/>
    <d v="2024-09-07T00:00:00"/>
    <x v="8"/>
  </r>
  <r>
    <n v="810"/>
    <n v="11951"/>
    <x v="3"/>
    <n v="104981.02"/>
    <x v="0"/>
    <n v="5"/>
    <x v="2"/>
    <d v="2024-05-13T00:00:00"/>
    <d v="2024-05-18T00:00:00"/>
    <x v="3"/>
  </r>
  <r>
    <n v="811"/>
    <n v="13921"/>
    <x v="1"/>
    <n v="64623.1"/>
    <x v="0"/>
    <n v="15"/>
    <x v="0"/>
    <d v="2024-05-03T00:00:00"/>
    <d v="2024-05-18T00:00:00"/>
    <x v="3"/>
  </r>
  <r>
    <n v="812"/>
    <n v="13424"/>
    <x v="1"/>
    <n v="94619.47"/>
    <x v="0"/>
    <n v="8"/>
    <x v="0"/>
    <d v="2024-12-16T00:00:00"/>
    <d v="2024-12-24T00:00:00"/>
    <x v="11"/>
  </r>
  <r>
    <n v="813"/>
    <n v="16725"/>
    <x v="1"/>
    <n v="41378.79"/>
    <x v="0"/>
    <n v="16"/>
    <x v="2"/>
    <d v="2024-11-18T00:00:00"/>
    <d v="2024-12-04T00:00:00"/>
    <x v="1"/>
  </r>
  <r>
    <n v="814"/>
    <n v="19517"/>
    <x v="3"/>
    <n v="129087.14"/>
    <x v="0"/>
    <n v="31"/>
    <x v="1"/>
    <d v="2024-12-18T00:00:00"/>
    <d v="2025-01-18T00:00:00"/>
    <x v="11"/>
  </r>
  <r>
    <n v="815"/>
    <n v="11171"/>
    <x v="3"/>
    <n v="102518.01"/>
    <x v="0"/>
    <n v="17"/>
    <x v="1"/>
    <d v="2024-04-25T00:00:00"/>
    <d v="2024-05-12T00:00:00"/>
    <x v="10"/>
  </r>
  <r>
    <n v="816"/>
    <n v="13769"/>
    <x v="1"/>
    <n v="25143.59"/>
    <x v="0"/>
    <n v="41"/>
    <x v="2"/>
    <d v="2024-01-13T00:00:00"/>
    <d v="2024-02-23T00:00:00"/>
    <x v="0"/>
  </r>
  <r>
    <n v="817"/>
    <n v="13631"/>
    <x v="3"/>
    <n v="43541.32"/>
    <x v="1"/>
    <n v="3"/>
    <x v="2"/>
    <d v="2024-11-15T00:00:00"/>
    <d v="2024-11-18T00:00:00"/>
    <x v="1"/>
  </r>
  <r>
    <n v="818"/>
    <n v="12310"/>
    <x v="3"/>
    <n v="98528.23"/>
    <x v="1"/>
    <n v="20"/>
    <x v="0"/>
    <d v="2024-06-13T00:00:00"/>
    <d v="2024-07-03T00:00:00"/>
    <x v="7"/>
  </r>
  <r>
    <n v="819"/>
    <n v="12343"/>
    <x v="0"/>
    <n v="178079.85"/>
    <x v="1"/>
    <n v="2"/>
    <x v="1"/>
    <d v="2024-07-26T00:00:00"/>
    <d v="2024-07-28T00:00:00"/>
    <x v="2"/>
  </r>
  <r>
    <n v="820"/>
    <n v="13386"/>
    <x v="1"/>
    <n v="115446.19"/>
    <x v="0"/>
    <n v="32"/>
    <x v="2"/>
    <d v="2024-03-25T00:00:00"/>
    <d v="2024-04-26T00:00:00"/>
    <x v="5"/>
  </r>
  <r>
    <n v="821"/>
    <n v="13067"/>
    <x v="1"/>
    <n v="137899.32999999999"/>
    <x v="0"/>
    <n v="5"/>
    <x v="0"/>
    <d v="2024-09-04T00:00:00"/>
    <d v="2024-09-09T00:00:00"/>
    <x v="9"/>
  </r>
  <r>
    <n v="822"/>
    <n v="12339"/>
    <x v="3"/>
    <n v="71110.570000000007"/>
    <x v="0"/>
    <n v="28"/>
    <x v="1"/>
    <d v="2024-02-25T00:00:00"/>
    <d v="2024-03-24T00:00:00"/>
    <x v="4"/>
  </r>
  <r>
    <n v="823"/>
    <n v="10683"/>
    <x v="1"/>
    <n v="116425.22"/>
    <x v="0"/>
    <n v="26"/>
    <x v="3"/>
    <d v="2024-06-20T00:00:00"/>
    <d v="2024-07-16T00:00:00"/>
    <x v="7"/>
  </r>
  <r>
    <n v="824"/>
    <n v="19067"/>
    <x v="1"/>
    <n v="92239.07"/>
    <x v="0"/>
    <n v="23"/>
    <x v="0"/>
    <d v="2024-05-20T00:00:00"/>
    <d v="2024-06-12T00:00:00"/>
    <x v="3"/>
  </r>
  <r>
    <n v="825"/>
    <n v="11054"/>
    <x v="1"/>
    <n v="133530.32999999999"/>
    <x v="0"/>
    <n v="44"/>
    <x v="1"/>
    <d v="2024-05-11T00:00:00"/>
    <d v="2024-06-24T00:00:00"/>
    <x v="3"/>
  </r>
  <r>
    <n v="826"/>
    <n v="17211"/>
    <x v="1"/>
    <n v="14862.24"/>
    <x v="1"/>
    <n v="11"/>
    <x v="1"/>
    <d v="2024-07-19T00:00:00"/>
    <d v="2024-07-30T00:00:00"/>
    <x v="2"/>
  </r>
  <r>
    <n v="827"/>
    <n v="12602"/>
    <x v="0"/>
    <n v="101193.54"/>
    <x v="0"/>
    <n v="34"/>
    <x v="0"/>
    <d v="2024-10-15T00:00:00"/>
    <d v="2024-11-18T00:00:00"/>
    <x v="6"/>
  </r>
  <r>
    <n v="828"/>
    <n v="14014"/>
    <x v="1"/>
    <n v="62718.559999999998"/>
    <x v="2"/>
    <m/>
    <x v="3"/>
    <d v="2024-11-04T00:00:00"/>
    <m/>
    <x v="1"/>
  </r>
  <r>
    <n v="829"/>
    <n v="17301"/>
    <x v="3"/>
    <n v="68606.09"/>
    <x v="1"/>
    <n v="31"/>
    <x v="0"/>
    <d v="2024-12-22T00:00:00"/>
    <d v="2025-01-22T00:00:00"/>
    <x v="11"/>
  </r>
  <r>
    <n v="830"/>
    <n v="10348"/>
    <x v="1"/>
    <n v="192378.9"/>
    <x v="0"/>
    <n v="17"/>
    <x v="1"/>
    <d v="2024-12-10T00:00:00"/>
    <d v="2024-12-27T00:00:00"/>
    <x v="11"/>
  </r>
  <r>
    <n v="831"/>
    <n v="11022"/>
    <x v="1"/>
    <n v="40625.49"/>
    <x v="1"/>
    <n v="10"/>
    <x v="2"/>
    <d v="2024-06-27T00:00:00"/>
    <d v="2024-07-07T00:00:00"/>
    <x v="7"/>
  </r>
  <r>
    <n v="832"/>
    <n v="18641"/>
    <x v="1"/>
    <n v="65692.820000000007"/>
    <x v="0"/>
    <n v="18"/>
    <x v="2"/>
    <d v="2024-01-29T00:00:00"/>
    <d v="2024-02-16T00:00:00"/>
    <x v="0"/>
  </r>
  <r>
    <n v="833"/>
    <n v="10503"/>
    <x v="3"/>
    <n v="104429.05"/>
    <x v="1"/>
    <n v="36"/>
    <x v="0"/>
    <d v="2024-11-02T00:00:00"/>
    <d v="2024-12-08T00:00:00"/>
    <x v="1"/>
  </r>
  <r>
    <n v="834"/>
    <n v="18277"/>
    <x v="3"/>
    <n v="173290.25"/>
    <x v="0"/>
    <n v="16"/>
    <x v="1"/>
    <d v="2024-11-01T00:00:00"/>
    <d v="2024-11-17T00:00:00"/>
    <x v="1"/>
  </r>
  <r>
    <n v="835"/>
    <n v="10522"/>
    <x v="0"/>
    <n v="86250.67"/>
    <x v="1"/>
    <n v="29"/>
    <x v="2"/>
    <d v="2024-02-05T00:00:00"/>
    <d v="2024-03-05T00:00:00"/>
    <x v="4"/>
  </r>
  <r>
    <n v="836"/>
    <n v="12508"/>
    <x v="1"/>
    <n v="150053.73000000001"/>
    <x v="0"/>
    <n v="21"/>
    <x v="1"/>
    <d v="2024-04-18T00:00:00"/>
    <d v="2024-05-09T00:00:00"/>
    <x v="10"/>
  </r>
  <r>
    <n v="837"/>
    <n v="18821"/>
    <x v="2"/>
    <n v="171992.95"/>
    <x v="2"/>
    <m/>
    <x v="0"/>
    <d v="2024-11-11T00:00:00"/>
    <m/>
    <x v="1"/>
  </r>
  <r>
    <n v="838"/>
    <n v="10017"/>
    <x v="1"/>
    <n v="65453.19"/>
    <x v="0"/>
    <n v="34"/>
    <x v="2"/>
    <d v="2024-05-25T00:00:00"/>
    <d v="2024-06-28T00:00:00"/>
    <x v="3"/>
  </r>
  <r>
    <n v="839"/>
    <n v="17423"/>
    <x v="1"/>
    <n v="81586.289999999994"/>
    <x v="0"/>
    <n v="37"/>
    <x v="1"/>
    <d v="2024-10-02T00:00:00"/>
    <d v="2024-11-08T00:00:00"/>
    <x v="6"/>
  </r>
  <r>
    <n v="840"/>
    <n v="11268"/>
    <x v="1"/>
    <n v="74528.460000000006"/>
    <x v="1"/>
    <n v="14"/>
    <x v="2"/>
    <d v="2024-05-25T00:00:00"/>
    <d v="2024-06-08T00:00:00"/>
    <x v="3"/>
  </r>
  <r>
    <n v="841"/>
    <n v="11176"/>
    <x v="0"/>
    <n v="167406.88"/>
    <x v="1"/>
    <n v="5"/>
    <x v="0"/>
    <d v="2024-06-16T00:00:00"/>
    <d v="2024-06-21T00:00:00"/>
    <x v="7"/>
  </r>
  <r>
    <n v="842"/>
    <n v="11632"/>
    <x v="1"/>
    <n v="13647.64"/>
    <x v="0"/>
    <n v="24"/>
    <x v="1"/>
    <d v="2024-09-13T00:00:00"/>
    <d v="2024-10-07T00:00:00"/>
    <x v="9"/>
  </r>
  <r>
    <n v="843"/>
    <n v="13613"/>
    <x v="1"/>
    <n v="65142.11"/>
    <x v="0"/>
    <n v="9"/>
    <x v="2"/>
    <d v="2024-10-01T00:00:00"/>
    <d v="2024-10-10T00:00:00"/>
    <x v="6"/>
  </r>
  <r>
    <n v="844"/>
    <n v="10114"/>
    <x v="3"/>
    <n v="137484.67000000001"/>
    <x v="0"/>
    <n v="14"/>
    <x v="0"/>
    <d v="2024-03-27T00:00:00"/>
    <d v="2024-04-10T00:00:00"/>
    <x v="5"/>
  </r>
  <r>
    <n v="845"/>
    <n v="18944"/>
    <x v="3"/>
    <n v="115261.48"/>
    <x v="2"/>
    <m/>
    <x v="2"/>
    <d v="2024-06-02T00:00:00"/>
    <m/>
    <x v="7"/>
  </r>
  <r>
    <n v="846"/>
    <n v="16590"/>
    <x v="1"/>
    <n v="90076.43"/>
    <x v="1"/>
    <n v="41"/>
    <x v="2"/>
    <d v="2024-10-11T00:00:00"/>
    <d v="2024-11-21T00:00:00"/>
    <x v="6"/>
  </r>
  <r>
    <n v="847"/>
    <n v="12400"/>
    <x v="3"/>
    <n v="110289.9"/>
    <x v="1"/>
    <n v="31"/>
    <x v="3"/>
    <d v="2024-11-10T00:00:00"/>
    <d v="2024-12-11T00:00:00"/>
    <x v="1"/>
  </r>
  <r>
    <n v="848"/>
    <n v="16768"/>
    <x v="3"/>
    <n v="43528.99"/>
    <x v="0"/>
    <n v="31"/>
    <x v="3"/>
    <d v="2024-11-14T00:00:00"/>
    <d v="2024-12-15T00:00:00"/>
    <x v="1"/>
  </r>
  <r>
    <n v="849"/>
    <n v="12588"/>
    <x v="3"/>
    <n v="88989.74"/>
    <x v="0"/>
    <n v="26"/>
    <x v="0"/>
    <d v="2024-04-07T00:00:00"/>
    <d v="2024-05-03T00:00:00"/>
    <x v="10"/>
  </r>
  <r>
    <n v="850"/>
    <n v="10321"/>
    <x v="3"/>
    <n v="102832.08"/>
    <x v="0"/>
    <n v="34"/>
    <x v="3"/>
    <d v="2024-07-29T00:00:00"/>
    <d v="2024-09-01T00:00:00"/>
    <x v="2"/>
  </r>
  <r>
    <n v="851"/>
    <n v="17626"/>
    <x v="3"/>
    <n v="180731.88"/>
    <x v="1"/>
    <n v="10"/>
    <x v="0"/>
    <d v="2024-02-17T00:00:00"/>
    <d v="2024-02-27T00:00:00"/>
    <x v="4"/>
  </r>
  <r>
    <n v="852"/>
    <n v="10833"/>
    <x v="3"/>
    <n v="55862.86"/>
    <x v="0"/>
    <n v="27"/>
    <x v="3"/>
    <d v="2024-11-13T00:00:00"/>
    <d v="2024-12-10T00:00:00"/>
    <x v="1"/>
  </r>
  <r>
    <n v="853"/>
    <n v="18403"/>
    <x v="2"/>
    <n v="174226.56"/>
    <x v="1"/>
    <n v="25"/>
    <x v="2"/>
    <d v="2024-09-30T00:00:00"/>
    <d v="2024-10-25T00:00:00"/>
    <x v="9"/>
  </r>
  <r>
    <n v="854"/>
    <n v="19448"/>
    <x v="1"/>
    <n v="130627.07"/>
    <x v="0"/>
    <n v="34"/>
    <x v="0"/>
    <d v="2024-07-12T00:00:00"/>
    <d v="2024-08-15T00:00:00"/>
    <x v="2"/>
  </r>
  <r>
    <n v="855"/>
    <n v="10158"/>
    <x v="3"/>
    <n v="8966.4599999999991"/>
    <x v="0"/>
    <n v="40"/>
    <x v="0"/>
    <d v="2024-09-08T00:00:00"/>
    <d v="2024-10-18T00:00:00"/>
    <x v="9"/>
  </r>
  <r>
    <n v="856"/>
    <n v="12619"/>
    <x v="3"/>
    <n v="146303.10999999999"/>
    <x v="0"/>
    <n v="26"/>
    <x v="2"/>
    <d v="2024-10-09T00:00:00"/>
    <d v="2024-11-04T00:00:00"/>
    <x v="6"/>
  </r>
  <r>
    <n v="857"/>
    <n v="11347"/>
    <x v="1"/>
    <n v="11932.62"/>
    <x v="0"/>
    <n v="16"/>
    <x v="0"/>
    <d v="2024-09-18T00:00:00"/>
    <d v="2024-10-04T00:00:00"/>
    <x v="9"/>
  </r>
  <r>
    <n v="858"/>
    <n v="13164"/>
    <x v="3"/>
    <n v="199489.32"/>
    <x v="0"/>
    <n v="42"/>
    <x v="0"/>
    <d v="2024-09-18T00:00:00"/>
    <d v="2024-10-30T00:00:00"/>
    <x v="9"/>
  </r>
  <r>
    <n v="859"/>
    <n v="16813"/>
    <x v="0"/>
    <n v="175164.15"/>
    <x v="0"/>
    <n v="42"/>
    <x v="3"/>
    <d v="2024-01-31T00:00:00"/>
    <d v="2024-03-13T00:00:00"/>
    <x v="0"/>
  </r>
  <r>
    <n v="860"/>
    <n v="10910"/>
    <x v="1"/>
    <n v="62982.03"/>
    <x v="0"/>
    <n v="7"/>
    <x v="0"/>
    <d v="2024-04-14T00:00:00"/>
    <d v="2024-04-21T00:00:00"/>
    <x v="10"/>
  </r>
  <r>
    <n v="861"/>
    <n v="17166"/>
    <x v="1"/>
    <n v="55195.19"/>
    <x v="1"/>
    <n v="21"/>
    <x v="1"/>
    <d v="2024-12-15T00:00:00"/>
    <d v="2025-01-05T00:00:00"/>
    <x v="11"/>
  </r>
  <r>
    <n v="862"/>
    <n v="12451"/>
    <x v="3"/>
    <n v="79381.009999999995"/>
    <x v="0"/>
    <n v="17"/>
    <x v="2"/>
    <d v="2024-11-07T00:00:00"/>
    <d v="2024-11-24T00:00:00"/>
    <x v="1"/>
  </r>
  <r>
    <n v="863"/>
    <n v="10403"/>
    <x v="1"/>
    <n v="74452.56"/>
    <x v="0"/>
    <n v="22"/>
    <x v="3"/>
    <d v="2024-06-17T00:00:00"/>
    <d v="2024-07-09T00:00:00"/>
    <x v="7"/>
  </r>
  <r>
    <n v="864"/>
    <n v="11690"/>
    <x v="3"/>
    <n v="77605.87"/>
    <x v="0"/>
    <n v="16"/>
    <x v="3"/>
    <d v="2024-08-23T00:00:00"/>
    <d v="2024-09-08T00:00:00"/>
    <x v="8"/>
  </r>
  <r>
    <n v="865"/>
    <n v="13485"/>
    <x v="2"/>
    <n v="67063.929999999993"/>
    <x v="0"/>
    <n v="40"/>
    <x v="1"/>
    <d v="2024-09-30T00:00:00"/>
    <d v="2024-11-09T00:00:00"/>
    <x v="9"/>
  </r>
  <r>
    <n v="866"/>
    <n v="19448"/>
    <x v="1"/>
    <n v="126121.01"/>
    <x v="1"/>
    <n v="43"/>
    <x v="2"/>
    <d v="2024-12-08T00:00:00"/>
    <d v="2025-01-20T00:00:00"/>
    <x v="11"/>
  </r>
  <r>
    <n v="867"/>
    <n v="14288"/>
    <x v="3"/>
    <n v="37031.410000000003"/>
    <x v="0"/>
    <n v="5"/>
    <x v="2"/>
    <d v="2024-08-17T00:00:00"/>
    <d v="2024-08-22T00:00:00"/>
    <x v="8"/>
  </r>
  <r>
    <n v="868"/>
    <n v="19834"/>
    <x v="3"/>
    <n v="169966.35"/>
    <x v="1"/>
    <n v="25"/>
    <x v="3"/>
    <d v="2024-01-23T00:00:00"/>
    <d v="2024-02-17T00:00:00"/>
    <x v="0"/>
  </r>
  <r>
    <n v="869"/>
    <n v="18116"/>
    <x v="3"/>
    <n v="163418.48000000001"/>
    <x v="0"/>
    <n v="4"/>
    <x v="0"/>
    <d v="2024-06-12T00:00:00"/>
    <d v="2024-06-16T00:00:00"/>
    <x v="7"/>
  </r>
  <r>
    <n v="870"/>
    <n v="10522"/>
    <x v="1"/>
    <n v="97914.23"/>
    <x v="0"/>
    <n v="2"/>
    <x v="3"/>
    <d v="2024-10-07T00:00:00"/>
    <d v="2024-10-09T00:00:00"/>
    <x v="6"/>
  </r>
  <r>
    <n v="871"/>
    <n v="14445"/>
    <x v="3"/>
    <n v="171282.34"/>
    <x v="0"/>
    <n v="31"/>
    <x v="2"/>
    <d v="2024-01-07T00:00:00"/>
    <d v="2024-02-07T00:00:00"/>
    <x v="0"/>
  </r>
  <r>
    <n v="872"/>
    <n v="16459"/>
    <x v="1"/>
    <n v="53193.29"/>
    <x v="0"/>
    <n v="14"/>
    <x v="1"/>
    <d v="2024-07-28T00:00:00"/>
    <d v="2024-08-11T00:00:00"/>
    <x v="2"/>
  </r>
  <r>
    <n v="873"/>
    <n v="17086"/>
    <x v="3"/>
    <n v="8425.26"/>
    <x v="0"/>
    <n v="19"/>
    <x v="3"/>
    <d v="2024-09-09T00:00:00"/>
    <d v="2024-09-28T00:00:00"/>
    <x v="9"/>
  </r>
  <r>
    <n v="874"/>
    <n v="11944"/>
    <x v="1"/>
    <n v="125745.55"/>
    <x v="1"/>
    <n v="41"/>
    <x v="2"/>
    <d v="2024-05-12T00:00:00"/>
    <d v="2024-06-22T00:00:00"/>
    <x v="3"/>
  </r>
  <r>
    <n v="875"/>
    <n v="13571"/>
    <x v="0"/>
    <n v="94292.33"/>
    <x v="0"/>
    <n v="12"/>
    <x v="3"/>
    <d v="2024-09-30T00:00:00"/>
    <d v="2024-10-12T00:00:00"/>
    <x v="9"/>
  </r>
  <r>
    <n v="876"/>
    <n v="11560"/>
    <x v="1"/>
    <n v="115597.09"/>
    <x v="0"/>
    <n v="43"/>
    <x v="0"/>
    <d v="2024-04-15T00:00:00"/>
    <d v="2024-05-28T00:00:00"/>
    <x v="10"/>
  </r>
  <r>
    <n v="877"/>
    <n v="14747"/>
    <x v="1"/>
    <n v="180371.18"/>
    <x v="0"/>
    <n v="30"/>
    <x v="3"/>
    <d v="2024-08-19T00:00:00"/>
    <d v="2024-09-18T00:00:00"/>
    <x v="8"/>
  </r>
  <r>
    <n v="878"/>
    <n v="17154"/>
    <x v="3"/>
    <n v="194135.49"/>
    <x v="0"/>
    <n v="5"/>
    <x v="3"/>
    <d v="2024-02-02T00:00:00"/>
    <d v="2024-02-07T00:00:00"/>
    <x v="4"/>
  </r>
  <r>
    <n v="879"/>
    <n v="10592"/>
    <x v="3"/>
    <n v="128718.36"/>
    <x v="0"/>
    <n v="26"/>
    <x v="2"/>
    <d v="2024-03-19T00:00:00"/>
    <d v="2024-04-14T00:00:00"/>
    <x v="5"/>
  </r>
  <r>
    <n v="880"/>
    <n v="15327"/>
    <x v="1"/>
    <n v="153990.84"/>
    <x v="0"/>
    <n v="37"/>
    <x v="2"/>
    <d v="2024-02-04T00:00:00"/>
    <d v="2024-03-12T00:00:00"/>
    <x v="4"/>
  </r>
  <r>
    <n v="881"/>
    <n v="10755"/>
    <x v="3"/>
    <n v="21342.639999999999"/>
    <x v="0"/>
    <n v="37"/>
    <x v="2"/>
    <d v="2024-04-19T00:00:00"/>
    <d v="2024-05-26T00:00:00"/>
    <x v="10"/>
  </r>
  <r>
    <n v="882"/>
    <n v="19491"/>
    <x v="3"/>
    <n v="36339.54"/>
    <x v="0"/>
    <n v="41"/>
    <x v="3"/>
    <d v="2024-11-16T00:00:00"/>
    <d v="2024-12-27T00:00:00"/>
    <x v="1"/>
  </r>
  <r>
    <n v="883"/>
    <n v="10496"/>
    <x v="3"/>
    <n v="147974.94"/>
    <x v="0"/>
    <n v="29"/>
    <x v="0"/>
    <d v="2024-03-03T00:00:00"/>
    <d v="2024-04-01T00:00:00"/>
    <x v="5"/>
  </r>
  <r>
    <n v="884"/>
    <n v="12421"/>
    <x v="3"/>
    <n v="89116.26"/>
    <x v="1"/>
    <n v="9"/>
    <x v="1"/>
    <d v="2024-11-23T00:00:00"/>
    <d v="2024-12-02T00:00:00"/>
    <x v="1"/>
  </r>
  <r>
    <n v="885"/>
    <n v="11598"/>
    <x v="3"/>
    <n v="91963.23"/>
    <x v="0"/>
    <n v="22"/>
    <x v="1"/>
    <d v="2024-10-23T00:00:00"/>
    <d v="2024-11-14T00:00:00"/>
    <x v="6"/>
  </r>
  <r>
    <n v="886"/>
    <n v="14127"/>
    <x v="0"/>
    <n v="65178.5"/>
    <x v="0"/>
    <n v="36"/>
    <x v="2"/>
    <d v="2024-06-26T00:00:00"/>
    <d v="2024-08-01T00:00:00"/>
    <x v="7"/>
  </r>
  <r>
    <n v="887"/>
    <n v="17016"/>
    <x v="3"/>
    <n v="123434.49"/>
    <x v="2"/>
    <m/>
    <x v="2"/>
    <d v="2024-12-29T00:00:00"/>
    <m/>
    <x v="11"/>
  </r>
  <r>
    <n v="888"/>
    <n v="15551"/>
    <x v="1"/>
    <n v="41107.18"/>
    <x v="0"/>
    <n v="26"/>
    <x v="3"/>
    <d v="2024-08-19T00:00:00"/>
    <d v="2024-09-14T00:00:00"/>
    <x v="8"/>
  </r>
  <r>
    <n v="889"/>
    <n v="13590"/>
    <x v="3"/>
    <n v="127248.67"/>
    <x v="0"/>
    <n v="42"/>
    <x v="1"/>
    <d v="2024-04-13T00:00:00"/>
    <d v="2024-05-25T00:00:00"/>
    <x v="10"/>
  </r>
  <r>
    <n v="890"/>
    <n v="10461"/>
    <x v="1"/>
    <n v="38890.78"/>
    <x v="0"/>
    <n v="6"/>
    <x v="2"/>
    <d v="2024-10-20T00:00:00"/>
    <d v="2024-10-26T00:00:00"/>
    <x v="6"/>
  </r>
  <r>
    <n v="891"/>
    <n v="14966"/>
    <x v="3"/>
    <n v="17446.080000000002"/>
    <x v="0"/>
    <n v="9"/>
    <x v="0"/>
    <d v="2024-02-04T00:00:00"/>
    <d v="2024-02-13T00:00:00"/>
    <x v="4"/>
  </r>
  <r>
    <n v="892"/>
    <n v="18559"/>
    <x v="0"/>
    <n v="69419.75"/>
    <x v="0"/>
    <n v="24"/>
    <x v="0"/>
    <d v="2024-07-12T00:00:00"/>
    <d v="2024-08-05T00:00:00"/>
    <x v="2"/>
  </r>
  <r>
    <n v="893"/>
    <n v="10165"/>
    <x v="0"/>
    <n v="50072.37"/>
    <x v="2"/>
    <m/>
    <x v="2"/>
    <d v="2024-06-22T00:00:00"/>
    <m/>
    <x v="7"/>
  </r>
  <r>
    <n v="894"/>
    <n v="11728"/>
    <x v="3"/>
    <n v="178353.37"/>
    <x v="1"/>
    <n v="38"/>
    <x v="2"/>
    <d v="2024-04-11T00:00:00"/>
    <d v="2024-05-19T00:00:00"/>
    <x v="10"/>
  </r>
  <r>
    <n v="895"/>
    <n v="17696"/>
    <x v="2"/>
    <n v="15715.92"/>
    <x v="1"/>
    <n v="32"/>
    <x v="1"/>
    <d v="2024-11-19T00:00:00"/>
    <d v="2024-12-21T00:00:00"/>
    <x v="1"/>
  </r>
  <r>
    <n v="896"/>
    <n v="14697"/>
    <x v="2"/>
    <n v="39439.67"/>
    <x v="1"/>
    <n v="30"/>
    <x v="1"/>
    <d v="2024-10-19T00:00:00"/>
    <d v="2024-11-18T00:00:00"/>
    <x v="6"/>
  </r>
  <r>
    <n v="897"/>
    <n v="12173"/>
    <x v="0"/>
    <n v="112000.32000000001"/>
    <x v="0"/>
    <n v="42"/>
    <x v="3"/>
    <d v="2024-03-25T00:00:00"/>
    <d v="2024-05-06T00:00:00"/>
    <x v="5"/>
  </r>
  <r>
    <n v="898"/>
    <n v="10037"/>
    <x v="0"/>
    <n v="98808.1"/>
    <x v="0"/>
    <n v="21"/>
    <x v="1"/>
    <d v="2024-07-19T00:00:00"/>
    <d v="2024-08-09T00:00:00"/>
    <x v="2"/>
  </r>
  <r>
    <n v="899"/>
    <n v="14443"/>
    <x v="3"/>
    <n v="13941.14"/>
    <x v="1"/>
    <n v="4"/>
    <x v="0"/>
    <d v="2024-06-21T00:00:00"/>
    <d v="2024-06-25T00:00:00"/>
    <x v="7"/>
  </r>
  <r>
    <n v="900"/>
    <n v="17486"/>
    <x v="1"/>
    <n v="6414.22"/>
    <x v="2"/>
    <m/>
    <x v="0"/>
    <d v="2024-01-29T00:00:00"/>
    <m/>
    <x v="0"/>
  </r>
  <r>
    <n v="901"/>
    <n v="12021"/>
    <x v="3"/>
    <n v="197673.25"/>
    <x v="0"/>
    <n v="41"/>
    <x v="2"/>
    <d v="2024-10-23T00:00:00"/>
    <d v="2024-12-03T00:00:00"/>
    <x v="6"/>
  </r>
  <r>
    <n v="902"/>
    <n v="16880"/>
    <x v="3"/>
    <n v="133472.76999999999"/>
    <x v="2"/>
    <m/>
    <x v="1"/>
    <d v="2024-02-25T00:00:00"/>
    <m/>
    <x v="4"/>
  </r>
  <r>
    <n v="903"/>
    <n v="18925"/>
    <x v="2"/>
    <n v="76254.2"/>
    <x v="0"/>
    <n v="14"/>
    <x v="3"/>
    <d v="2024-01-16T00:00:00"/>
    <d v="2024-01-30T00:00:00"/>
    <x v="0"/>
  </r>
  <r>
    <n v="904"/>
    <n v="14521"/>
    <x v="3"/>
    <n v="96734.29"/>
    <x v="0"/>
    <n v="9"/>
    <x v="0"/>
    <d v="2024-05-19T00:00:00"/>
    <d v="2024-05-28T00:00:00"/>
    <x v="3"/>
  </r>
  <r>
    <n v="905"/>
    <n v="18839"/>
    <x v="1"/>
    <n v="56977.27"/>
    <x v="0"/>
    <n v="6"/>
    <x v="0"/>
    <d v="2024-03-06T00:00:00"/>
    <d v="2024-03-12T00:00:00"/>
    <x v="5"/>
  </r>
  <r>
    <n v="906"/>
    <n v="13302"/>
    <x v="0"/>
    <n v="72250.39"/>
    <x v="0"/>
    <n v="26"/>
    <x v="3"/>
    <d v="2024-05-26T00:00:00"/>
    <d v="2024-06-21T00:00:00"/>
    <x v="3"/>
  </r>
  <r>
    <n v="907"/>
    <n v="18511"/>
    <x v="0"/>
    <n v="131563.67000000001"/>
    <x v="0"/>
    <n v="40"/>
    <x v="3"/>
    <d v="2024-06-06T00:00:00"/>
    <d v="2024-07-16T00:00:00"/>
    <x v="7"/>
  </r>
  <r>
    <n v="908"/>
    <n v="14607"/>
    <x v="2"/>
    <n v="177148.3"/>
    <x v="0"/>
    <n v="38"/>
    <x v="0"/>
    <d v="2024-03-09T00:00:00"/>
    <d v="2024-04-16T00:00:00"/>
    <x v="5"/>
  </r>
  <r>
    <n v="909"/>
    <n v="16368"/>
    <x v="3"/>
    <n v="40905.35"/>
    <x v="0"/>
    <n v="42"/>
    <x v="0"/>
    <d v="2024-01-23T00:00:00"/>
    <d v="2024-03-05T00:00:00"/>
    <x v="0"/>
  </r>
  <r>
    <n v="910"/>
    <n v="19914"/>
    <x v="3"/>
    <n v="168870.49"/>
    <x v="0"/>
    <n v="6"/>
    <x v="3"/>
    <d v="2024-07-08T00:00:00"/>
    <d v="2024-07-14T00:00:00"/>
    <x v="2"/>
  </r>
  <r>
    <n v="911"/>
    <n v="19948"/>
    <x v="3"/>
    <n v="28703.54"/>
    <x v="0"/>
    <n v="9"/>
    <x v="0"/>
    <d v="2024-09-04T00:00:00"/>
    <d v="2024-09-13T00:00:00"/>
    <x v="9"/>
  </r>
  <r>
    <n v="912"/>
    <n v="15873"/>
    <x v="3"/>
    <n v="46923.48"/>
    <x v="2"/>
    <m/>
    <x v="2"/>
    <d v="2024-11-04T00:00:00"/>
    <m/>
    <x v="1"/>
  </r>
  <r>
    <n v="913"/>
    <n v="17498"/>
    <x v="3"/>
    <n v="12249.18"/>
    <x v="0"/>
    <n v="42"/>
    <x v="2"/>
    <d v="2024-05-24T00:00:00"/>
    <d v="2024-07-05T00:00:00"/>
    <x v="3"/>
  </r>
  <r>
    <n v="914"/>
    <n v="17172"/>
    <x v="3"/>
    <n v="32458.31"/>
    <x v="0"/>
    <n v="23"/>
    <x v="3"/>
    <d v="2024-10-31T00:00:00"/>
    <d v="2024-11-23T00:00:00"/>
    <x v="6"/>
  </r>
  <r>
    <n v="915"/>
    <n v="15635"/>
    <x v="1"/>
    <n v="183874.11"/>
    <x v="0"/>
    <n v="15"/>
    <x v="1"/>
    <d v="2024-06-25T00:00:00"/>
    <d v="2024-07-10T00:00:00"/>
    <x v="7"/>
  </r>
  <r>
    <n v="916"/>
    <n v="13847"/>
    <x v="1"/>
    <n v="94590.56"/>
    <x v="0"/>
    <n v="20"/>
    <x v="3"/>
    <d v="2024-07-13T00:00:00"/>
    <d v="2024-08-02T00:00:00"/>
    <x v="2"/>
  </r>
  <r>
    <n v="917"/>
    <n v="19129"/>
    <x v="3"/>
    <n v="20144.84"/>
    <x v="1"/>
    <n v="14"/>
    <x v="3"/>
    <d v="2024-01-13T00:00:00"/>
    <d v="2024-01-27T00:00:00"/>
    <x v="0"/>
  </r>
  <r>
    <n v="918"/>
    <n v="10764"/>
    <x v="1"/>
    <n v="192146.73"/>
    <x v="0"/>
    <n v="36"/>
    <x v="1"/>
    <d v="2024-12-29T00:00:00"/>
    <d v="2025-02-03T00:00:00"/>
    <x v="11"/>
  </r>
  <r>
    <n v="919"/>
    <n v="16306"/>
    <x v="3"/>
    <n v="176403.5"/>
    <x v="1"/>
    <n v="5"/>
    <x v="1"/>
    <d v="2024-06-14T00:00:00"/>
    <d v="2024-06-19T00:00:00"/>
    <x v="7"/>
  </r>
  <r>
    <n v="920"/>
    <n v="10652"/>
    <x v="3"/>
    <n v="152163.09"/>
    <x v="0"/>
    <n v="34"/>
    <x v="1"/>
    <d v="2024-05-29T00:00:00"/>
    <d v="2024-07-02T00:00:00"/>
    <x v="3"/>
  </r>
  <r>
    <n v="921"/>
    <n v="17044"/>
    <x v="1"/>
    <n v="187027.19"/>
    <x v="0"/>
    <n v="23"/>
    <x v="2"/>
    <d v="2024-12-06T00:00:00"/>
    <d v="2024-12-29T00:00:00"/>
    <x v="11"/>
  </r>
  <r>
    <n v="922"/>
    <n v="13964"/>
    <x v="1"/>
    <n v="47925.24"/>
    <x v="0"/>
    <n v="2"/>
    <x v="0"/>
    <d v="2024-02-14T00:00:00"/>
    <d v="2024-02-16T00:00:00"/>
    <x v="4"/>
  </r>
  <r>
    <n v="923"/>
    <n v="14611"/>
    <x v="1"/>
    <n v="168092.01"/>
    <x v="0"/>
    <n v="12"/>
    <x v="2"/>
    <d v="2024-06-22T00:00:00"/>
    <d v="2024-07-04T00:00:00"/>
    <x v="7"/>
  </r>
  <r>
    <n v="924"/>
    <n v="15759"/>
    <x v="3"/>
    <n v="139548.28"/>
    <x v="0"/>
    <n v="17"/>
    <x v="0"/>
    <d v="2024-06-15T00:00:00"/>
    <d v="2024-07-02T00:00:00"/>
    <x v="7"/>
  </r>
  <r>
    <n v="925"/>
    <n v="18378"/>
    <x v="0"/>
    <n v="174603.05"/>
    <x v="0"/>
    <n v="5"/>
    <x v="2"/>
    <d v="2024-07-15T00:00:00"/>
    <d v="2024-07-20T00:00:00"/>
    <x v="2"/>
  </r>
  <r>
    <n v="926"/>
    <n v="10145"/>
    <x v="1"/>
    <n v="160397.76000000001"/>
    <x v="0"/>
    <n v="30"/>
    <x v="0"/>
    <d v="2024-07-24T00:00:00"/>
    <d v="2024-08-23T00:00:00"/>
    <x v="2"/>
  </r>
  <r>
    <n v="927"/>
    <n v="15101"/>
    <x v="1"/>
    <n v="72566.539999999994"/>
    <x v="0"/>
    <n v="40"/>
    <x v="2"/>
    <d v="2024-03-22T00:00:00"/>
    <d v="2024-05-01T00:00:00"/>
    <x v="5"/>
  </r>
  <r>
    <n v="928"/>
    <n v="14247"/>
    <x v="1"/>
    <n v="156007.71"/>
    <x v="2"/>
    <m/>
    <x v="1"/>
    <d v="2024-03-08T00:00:00"/>
    <m/>
    <x v="5"/>
  </r>
  <r>
    <n v="929"/>
    <n v="19578"/>
    <x v="0"/>
    <n v="56178.98"/>
    <x v="0"/>
    <n v="25"/>
    <x v="3"/>
    <d v="2024-04-06T00:00:00"/>
    <d v="2024-05-01T00:00:00"/>
    <x v="10"/>
  </r>
  <r>
    <n v="930"/>
    <n v="14188"/>
    <x v="1"/>
    <n v="69075.47"/>
    <x v="0"/>
    <n v="10"/>
    <x v="2"/>
    <d v="2024-06-15T00:00:00"/>
    <d v="2024-06-25T00:00:00"/>
    <x v="7"/>
  </r>
  <r>
    <n v="931"/>
    <n v="12696"/>
    <x v="1"/>
    <n v="26041.61"/>
    <x v="0"/>
    <n v="9"/>
    <x v="0"/>
    <d v="2024-03-17T00:00:00"/>
    <d v="2024-03-26T00:00:00"/>
    <x v="5"/>
  </r>
  <r>
    <n v="932"/>
    <n v="18240"/>
    <x v="2"/>
    <n v="187339.94"/>
    <x v="0"/>
    <n v="15"/>
    <x v="1"/>
    <d v="2024-08-24T00:00:00"/>
    <d v="2024-09-08T00:00:00"/>
    <x v="8"/>
  </r>
  <r>
    <n v="933"/>
    <n v="13329"/>
    <x v="1"/>
    <n v="61745.66"/>
    <x v="0"/>
    <n v="16"/>
    <x v="2"/>
    <d v="2024-07-14T00:00:00"/>
    <d v="2024-07-30T00:00:00"/>
    <x v="2"/>
  </r>
  <r>
    <n v="934"/>
    <n v="13481"/>
    <x v="3"/>
    <n v="106521.38"/>
    <x v="1"/>
    <n v="23"/>
    <x v="2"/>
    <d v="2024-10-17T00:00:00"/>
    <d v="2024-11-09T00:00:00"/>
    <x v="6"/>
  </r>
  <r>
    <n v="935"/>
    <n v="18966"/>
    <x v="1"/>
    <n v="81309.899999999994"/>
    <x v="2"/>
    <m/>
    <x v="1"/>
    <d v="2024-05-15T00:00:00"/>
    <m/>
    <x v="3"/>
  </r>
  <r>
    <n v="936"/>
    <n v="14641"/>
    <x v="3"/>
    <n v="192185.98"/>
    <x v="0"/>
    <n v="16"/>
    <x v="2"/>
    <d v="2024-11-03T00:00:00"/>
    <d v="2024-11-19T00:00:00"/>
    <x v="1"/>
  </r>
  <r>
    <n v="937"/>
    <n v="15559"/>
    <x v="3"/>
    <n v="70334.59"/>
    <x v="0"/>
    <n v="7"/>
    <x v="3"/>
    <d v="2024-10-22T00:00:00"/>
    <d v="2024-10-29T00:00:00"/>
    <x v="6"/>
  </r>
  <r>
    <n v="938"/>
    <n v="11260"/>
    <x v="1"/>
    <n v="156816.44"/>
    <x v="0"/>
    <n v="2"/>
    <x v="2"/>
    <d v="2024-02-05T00:00:00"/>
    <d v="2024-02-07T00:00:00"/>
    <x v="4"/>
  </r>
  <r>
    <n v="939"/>
    <n v="10649"/>
    <x v="2"/>
    <n v="171806.15"/>
    <x v="0"/>
    <n v="21"/>
    <x v="3"/>
    <d v="2024-09-04T00:00:00"/>
    <d v="2024-09-25T00:00:00"/>
    <x v="9"/>
  </r>
  <r>
    <n v="940"/>
    <n v="13048"/>
    <x v="2"/>
    <n v="89943.27"/>
    <x v="0"/>
    <n v="42"/>
    <x v="3"/>
    <d v="2024-09-10T00:00:00"/>
    <d v="2024-10-22T00:00:00"/>
    <x v="9"/>
  </r>
  <r>
    <n v="941"/>
    <n v="12023"/>
    <x v="3"/>
    <n v="78743.5"/>
    <x v="0"/>
    <n v="37"/>
    <x v="1"/>
    <d v="2024-08-01T00:00:00"/>
    <d v="2024-09-07T00:00:00"/>
    <x v="8"/>
  </r>
  <r>
    <n v="942"/>
    <n v="19272"/>
    <x v="1"/>
    <n v="150810.44"/>
    <x v="0"/>
    <n v="3"/>
    <x v="2"/>
    <d v="2024-09-08T00:00:00"/>
    <d v="2024-09-11T00:00:00"/>
    <x v="9"/>
  </r>
  <r>
    <n v="943"/>
    <n v="14270"/>
    <x v="3"/>
    <n v="183014.72"/>
    <x v="0"/>
    <n v="7"/>
    <x v="1"/>
    <d v="2024-03-10T00:00:00"/>
    <d v="2024-03-17T00:00:00"/>
    <x v="5"/>
  </r>
  <r>
    <n v="944"/>
    <n v="15333"/>
    <x v="2"/>
    <n v="152211.69"/>
    <x v="0"/>
    <n v="3"/>
    <x v="2"/>
    <d v="2024-08-21T00:00:00"/>
    <d v="2024-08-24T00:00:00"/>
    <x v="8"/>
  </r>
  <r>
    <n v="945"/>
    <n v="12074"/>
    <x v="2"/>
    <n v="49289.64"/>
    <x v="0"/>
    <n v="4"/>
    <x v="2"/>
    <d v="2024-11-24T00:00:00"/>
    <d v="2024-11-28T00:00:00"/>
    <x v="1"/>
  </r>
  <r>
    <n v="946"/>
    <n v="16037"/>
    <x v="1"/>
    <n v="178220.01"/>
    <x v="0"/>
    <n v="8"/>
    <x v="0"/>
    <d v="2024-01-16T00:00:00"/>
    <d v="2024-01-24T00:00:00"/>
    <x v="0"/>
  </r>
  <r>
    <n v="947"/>
    <n v="12312"/>
    <x v="0"/>
    <n v="80578.429999999993"/>
    <x v="0"/>
    <n v="21"/>
    <x v="2"/>
    <d v="2024-06-22T00:00:00"/>
    <d v="2024-07-13T00:00:00"/>
    <x v="7"/>
  </r>
  <r>
    <n v="948"/>
    <n v="13474"/>
    <x v="1"/>
    <n v="117364.74"/>
    <x v="1"/>
    <n v="42"/>
    <x v="1"/>
    <d v="2024-07-05T00:00:00"/>
    <d v="2024-08-16T00:00:00"/>
    <x v="2"/>
  </r>
  <r>
    <n v="949"/>
    <n v="13260"/>
    <x v="1"/>
    <n v="167129.95000000001"/>
    <x v="0"/>
    <n v="42"/>
    <x v="3"/>
    <d v="2024-10-20T00:00:00"/>
    <d v="2024-12-01T00:00:00"/>
    <x v="6"/>
  </r>
  <r>
    <n v="950"/>
    <n v="14838"/>
    <x v="3"/>
    <n v="41736.980000000003"/>
    <x v="1"/>
    <n v="6"/>
    <x v="2"/>
    <d v="2024-08-12T00:00:00"/>
    <d v="2024-08-18T00:00:00"/>
    <x v="8"/>
  </r>
  <r>
    <n v="951"/>
    <n v="15618"/>
    <x v="3"/>
    <n v="157979.48000000001"/>
    <x v="0"/>
    <n v="26"/>
    <x v="0"/>
    <d v="2024-09-30T00:00:00"/>
    <d v="2024-10-26T00:00:00"/>
    <x v="9"/>
  </r>
  <r>
    <n v="952"/>
    <n v="11350"/>
    <x v="1"/>
    <n v="121251.75"/>
    <x v="0"/>
    <n v="39"/>
    <x v="1"/>
    <d v="2024-01-12T00:00:00"/>
    <d v="2024-02-20T00:00:00"/>
    <x v="0"/>
  </r>
  <r>
    <n v="953"/>
    <n v="19285"/>
    <x v="1"/>
    <n v="179201.62"/>
    <x v="0"/>
    <n v="19"/>
    <x v="2"/>
    <d v="2024-11-05T00:00:00"/>
    <d v="2024-11-24T00:00:00"/>
    <x v="1"/>
  </r>
  <r>
    <n v="954"/>
    <n v="16048"/>
    <x v="3"/>
    <n v="38534.230000000003"/>
    <x v="0"/>
    <n v="2"/>
    <x v="1"/>
    <d v="2024-08-06T00:00:00"/>
    <d v="2024-08-08T00:00:00"/>
    <x v="8"/>
  </r>
  <r>
    <n v="955"/>
    <n v="17931"/>
    <x v="2"/>
    <n v="87033.04"/>
    <x v="2"/>
    <m/>
    <x v="0"/>
    <d v="2024-01-01T00:00:00"/>
    <m/>
    <x v="0"/>
  </r>
  <r>
    <n v="956"/>
    <n v="18141"/>
    <x v="3"/>
    <n v="167404.4"/>
    <x v="0"/>
    <n v="18"/>
    <x v="0"/>
    <d v="2024-04-20T00:00:00"/>
    <d v="2024-05-08T00:00:00"/>
    <x v="10"/>
  </r>
  <r>
    <n v="957"/>
    <n v="17323"/>
    <x v="1"/>
    <n v="8750.18"/>
    <x v="0"/>
    <n v="16"/>
    <x v="1"/>
    <d v="2024-10-03T00:00:00"/>
    <d v="2024-10-19T00:00:00"/>
    <x v="6"/>
  </r>
  <r>
    <n v="958"/>
    <n v="15777"/>
    <x v="1"/>
    <n v="26879.27"/>
    <x v="0"/>
    <n v="6"/>
    <x v="2"/>
    <d v="2024-05-08T00:00:00"/>
    <d v="2024-05-14T00:00:00"/>
    <x v="3"/>
  </r>
  <r>
    <n v="959"/>
    <n v="11854"/>
    <x v="1"/>
    <n v="198160.22"/>
    <x v="2"/>
    <m/>
    <x v="3"/>
    <d v="2024-04-02T00:00:00"/>
    <m/>
    <x v="10"/>
  </r>
  <r>
    <n v="960"/>
    <n v="12266"/>
    <x v="1"/>
    <n v="59676.86"/>
    <x v="0"/>
    <n v="22"/>
    <x v="0"/>
    <d v="2024-02-08T00:00:00"/>
    <d v="2024-03-01T00:00:00"/>
    <x v="4"/>
  </r>
  <r>
    <n v="961"/>
    <n v="10560"/>
    <x v="3"/>
    <n v="195230.92"/>
    <x v="2"/>
    <m/>
    <x v="2"/>
    <d v="2024-11-11T00:00:00"/>
    <m/>
    <x v="1"/>
  </r>
  <r>
    <n v="962"/>
    <n v="17546"/>
    <x v="3"/>
    <n v="40593.65"/>
    <x v="2"/>
    <m/>
    <x v="2"/>
    <d v="2024-06-07T00:00:00"/>
    <m/>
    <x v="7"/>
  </r>
  <r>
    <n v="963"/>
    <n v="14987"/>
    <x v="1"/>
    <n v="75413.42"/>
    <x v="0"/>
    <n v="11"/>
    <x v="3"/>
    <d v="2024-07-04T00:00:00"/>
    <d v="2024-07-15T00:00:00"/>
    <x v="2"/>
  </r>
  <r>
    <n v="964"/>
    <n v="17207"/>
    <x v="1"/>
    <n v="151809.54"/>
    <x v="1"/>
    <n v="18"/>
    <x v="0"/>
    <d v="2024-12-18T00:00:00"/>
    <d v="2025-01-05T00:00:00"/>
    <x v="11"/>
  </r>
  <r>
    <n v="965"/>
    <n v="16486"/>
    <x v="3"/>
    <n v="133266.79"/>
    <x v="2"/>
    <m/>
    <x v="0"/>
    <d v="2024-09-12T00:00:00"/>
    <m/>
    <x v="9"/>
  </r>
  <r>
    <n v="966"/>
    <n v="12383"/>
    <x v="1"/>
    <n v="118318.87"/>
    <x v="0"/>
    <n v="38"/>
    <x v="2"/>
    <d v="2024-08-26T00:00:00"/>
    <d v="2024-10-03T00:00:00"/>
    <x v="8"/>
  </r>
  <r>
    <n v="967"/>
    <n v="16147"/>
    <x v="3"/>
    <n v="108330.34"/>
    <x v="0"/>
    <n v="8"/>
    <x v="2"/>
    <d v="2024-04-13T00:00:00"/>
    <d v="2024-04-21T00:00:00"/>
    <x v="10"/>
  </r>
  <r>
    <n v="968"/>
    <n v="17664"/>
    <x v="1"/>
    <n v="169470.89"/>
    <x v="0"/>
    <n v="13"/>
    <x v="3"/>
    <d v="2024-01-29T00:00:00"/>
    <d v="2024-02-11T00:00:00"/>
    <x v="0"/>
  </r>
  <r>
    <n v="969"/>
    <n v="11683"/>
    <x v="0"/>
    <n v="50814.97"/>
    <x v="0"/>
    <n v="41"/>
    <x v="3"/>
    <d v="2024-03-29T00:00:00"/>
    <d v="2024-05-09T00:00:00"/>
    <x v="5"/>
  </r>
  <r>
    <n v="970"/>
    <n v="19390"/>
    <x v="3"/>
    <n v="91281.83"/>
    <x v="0"/>
    <n v="2"/>
    <x v="0"/>
    <d v="2024-02-20T00:00:00"/>
    <d v="2024-02-22T00:00:00"/>
    <x v="4"/>
  </r>
  <r>
    <n v="971"/>
    <n v="11009"/>
    <x v="3"/>
    <n v="35313.199999999997"/>
    <x v="0"/>
    <n v="21"/>
    <x v="1"/>
    <d v="2024-12-29T00:00:00"/>
    <d v="2025-01-19T00:00:00"/>
    <x v="11"/>
  </r>
  <r>
    <n v="972"/>
    <n v="19963"/>
    <x v="1"/>
    <n v="121208.61"/>
    <x v="0"/>
    <n v="32"/>
    <x v="0"/>
    <d v="2024-05-26T00:00:00"/>
    <d v="2024-06-27T00:00:00"/>
    <x v="3"/>
  </r>
  <r>
    <n v="973"/>
    <n v="19899"/>
    <x v="1"/>
    <n v="53856.160000000003"/>
    <x v="0"/>
    <n v="5"/>
    <x v="2"/>
    <d v="2024-11-09T00:00:00"/>
    <d v="2024-11-14T00:00:00"/>
    <x v="1"/>
  </r>
  <r>
    <n v="974"/>
    <n v="12272"/>
    <x v="1"/>
    <n v="70099.199999999997"/>
    <x v="0"/>
    <n v="27"/>
    <x v="0"/>
    <d v="2024-02-05T00:00:00"/>
    <d v="2024-03-03T00:00:00"/>
    <x v="4"/>
  </r>
  <r>
    <n v="975"/>
    <n v="12612"/>
    <x v="0"/>
    <n v="96893.89"/>
    <x v="1"/>
    <n v="13"/>
    <x v="1"/>
    <d v="2024-10-10T00:00:00"/>
    <d v="2024-10-23T00:00:00"/>
    <x v="6"/>
  </r>
  <r>
    <n v="976"/>
    <n v="17424"/>
    <x v="0"/>
    <n v="10220.26"/>
    <x v="1"/>
    <n v="23"/>
    <x v="3"/>
    <d v="2024-04-10T00:00:00"/>
    <d v="2024-05-03T00:00:00"/>
    <x v="10"/>
  </r>
  <r>
    <n v="977"/>
    <n v="17226"/>
    <x v="2"/>
    <n v="22927.9"/>
    <x v="0"/>
    <n v="2"/>
    <x v="1"/>
    <d v="2024-04-16T00:00:00"/>
    <d v="2024-04-18T00:00:00"/>
    <x v="10"/>
  </r>
  <r>
    <n v="978"/>
    <n v="16063"/>
    <x v="1"/>
    <n v="138756.20000000001"/>
    <x v="0"/>
    <n v="2"/>
    <x v="1"/>
    <d v="2024-12-10T00:00:00"/>
    <d v="2024-12-12T00:00:00"/>
    <x v="11"/>
  </r>
  <r>
    <n v="979"/>
    <n v="14341"/>
    <x v="3"/>
    <n v="88649.15"/>
    <x v="0"/>
    <n v="4"/>
    <x v="1"/>
    <d v="2024-10-17T00:00:00"/>
    <d v="2024-10-21T00:00:00"/>
    <x v="6"/>
  </r>
  <r>
    <n v="980"/>
    <n v="11542"/>
    <x v="3"/>
    <n v="173634.09"/>
    <x v="2"/>
    <m/>
    <x v="3"/>
    <d v="2024-12-14T00:00:00"/>
    <m/>
    <x v="11"/>
  </r>
  <r>
    <n v="981"/>
    <n v="11237"/>
    <x v="3"/>
    <n v="140461.04"/>
    <x v="0"/>
    <n v="22"/>
    <x v="1"/>
    <d v="2024-04-14T00:00:00"/>
    <d v="2024-05-06T00:00:00"/>
    <x v="10"/>
  </r>
  <r>
    <n v="982"/>
    <n v="15709"/>
    <x v="1"/>
    <n v="6579.68"/>
    <x v="0"/>
    <n v="14"/>
    <x v="1"/>
    <d v="2024-08-08T00:00:00"/>
    <d v="2024-08-22T00:00:00"/>
    <x v="8"/>
  </r>
  <r>
    <n v="983"/>
    <n v="19916"/>
    <x v="3"/>
    <n v="125258.9"/>
    <x v="2"/>
    <m/>
    <x v="1"/>
    <d v="2024-03-16T00:00:00"/>
    <m/>
    <x v="5"/>
  </r>
  <r>
    <n v="984"/>
    <n v="12263"/>
    <x v="2"/>
    <n v="23276.35"/>
    <x v="2"/>
    <m/>
    <x v="2"/>
    <d v="2024-08-14T00:00:00"/>
    <m/>
    <x v="8"/>
  </r>
  <r>
    <n v="985"/>
    <n v="10282"/>
    <x v="1"/>
    <n v="157281.97"/>
    <x v="1"/>
    <n v="19"/>
    <x v="1"/>
    <d v="2024-03-24T00:00:00"/>
    <d v="2024-04-12T00:00:00"/>
    <x v="5"/>
  </r>
  <r>
    <n v="986"/>
    <n v="17998"/>
    <x v="1"/>
    <n v="198344"/>
    <x v="1"/>
    <n v="34"/>
    <x v="3"/>
    <d v="2024-03-16T00:00:00"/>
    <d v="2024-04-19T00:00:00"/>
    <x v="5"/>
  </r>
  <r>
    <n v="987"/>
    <n v="17740"/>
    <x v="3"/>
    <n v="108583.76"/>
    <x v="0"/>
    <n v="7"/>
    <x v="1"/>
    <d v="2024-09-05T00:00:00"/>
    <d v="2024-09-12T00:00:00"/>
    <x v="9"/>
  </r>
  <r>
    <n v="988"/>
    <n v="13286"/>
    <x v="3"/>
    <n v="138142"/>
    <x v="0"/>
    <n v="26"/>
    <x v="1"/>
    <d v="2024-09-11T00:00:00"/>
    <d v="2024-10-07T00:00:00"/>
    <x v="9"/>
  </r>
  <r>
    <n v="989"/>
    <n v="18363"/>
    <x v="3"/>
    <n v="51276.26"/>
    <x v="0"/>
    <n v="24"/>
    <x v="3"/>
    <d v="2024-02-19T00:00:00"/>
    <d v="2024-03-14T00:00:00"/>
    <x v="4"/>
  </r>
  <r>
    <n v="990"/>
    <n v="11882"/>
    <x v="3"/>
    <n v="90331.56"/>
    <x v="0"/>
    <n v="25"/>
    <x v="1"/>
    <d v="2024-12-21T00:00:00"/>
    <d v="2025-01-15T00:00:00"/>
    <x v="11"/>
  </r>
  <r>
    <n v="991"/>
    <n v="16187"/>
    <x v="3"/>
    <n v="171938.59"/>
    <x v="1"/>
    <n v="38"/>
    <x v="3"/>
    <d v="2024-07-28T00:00:00"/>
    <d v="2024-09-04T00:00:00"/>
    <x v="2"/>
  </r>
  <r>
    <n v="992"/>
    <n v="12275"/>
    <x v="1"/>
    <n v="37647.47"/>
    <x v="0"/>
    <n v="27"/>
    <x v="1"/>
    <d v="2024-06-06T00:00:00"/>
    <d v="2024-07-03T00:00:00"/>
    <x v="7"/>
  </r>
  <r>
    <n v="993"/>
    <n v="16874"/>
    <x v="0"/>
    <n v="56779.44"/>
    <x v="0"/>
    <n v="5"/>
    <x v="3"/>
    <d v="2024-11-23T00:00:00"/>
    <d v="2024-11-28T00:00:00"/>
    <x v="1"/>
  </r>
  <r>
    <n v="994"/>
    <n v="17502"/>
    <x v="0"/>
    <n v="91859.57"/>
    <x v="2"/>
    <m/>
    <x v="1"/>
    <d v="2024-08-20T00:00:00"/>
    <m/>
    <x v="8"/>
  </r>
  <r>
    <n v="995"/>
    <n v="18792"/>
    <x v="1"/>
    <n v="143888.53"/>
    <x v="0"/>
    <n v="36"/>
    <x v="1"/>
    <d v="2024-03-17T00:00:00"/>
    <d v="2024-04-22T00:00:00"/>
    <x v="5"/>
  </r>
  <r>
    <n v="996"/>
    <n v="13790"/>
    <x v="3"/>
    <n v="78297.37"/>
    <x v="2"/>
    <m/>
    <x v="2"/>
    <d v="2024-08-10T00:00:00"/>
    <m/>
    <x v="8"/>
  </r>
  <r>
    <n v="997"/>
    <n v="12023"/>
    <x v="0"/>
    <n v="185907.79"/>
    <x v="2"/>
    <m/>
    <x v="2"/>
    <d v="2024-04-30T00:00:00"/>
    <m/>
    <x v="10"/>
  </r>
  <r>
    <n v="998"/>
    <n v="10466"/>
    <x v="0"/>
    <n v="23419.119999999999"/>
    <x v="0"/>
    <n v="26"/>
    <x v="1"/>
    <d v="2024-11-05T00:00:00"/>
    <d v="2024-12-01T00:00:00"/>
    <x v="1"/>
  </r>
  <r>
    <n v="999"/>
    <n v="13950"/>
    <x v="3"/>
    <n v="77306.820000000007"/>
    <x v="0"/>
    <n v="21"/>
    <x v="1"/>
    <d v="2024-11-22T00:00:00"/>
    <d v="2024-12-13T00:00:00"/>
    <x v="1"/>
  </r>
  <r>
    <n v="1000"/>
    <n v="13889"/>
    <x v="1"/>
    <n v="143246.04999999999"/>
    <x v="0"/>
    <n v="2"/>
    <x v="0"/>
    <d v="2024-12-06T00:00:00"/>
    <d v="2024-12-08T00:00:00"/>
    <x v="11"/>
  </r>
  <r>
    <n v="1001"/>
    <n v="12592"/>
    <x v="3"/>
    <n v="49067.42"/>
    <x v="0"/>
    <n v="31"/>
    <x v="3"/>
    <d v="2024-12-23T00:00:00"/>
    <d v="2025-01-23T00:00:00"/>
    <x v="11"/>
  </r>
  <r>
    <n v="1002"/>
    <n v="16632"/>
    <x v="0"/>
    <n v="133000.56"/>
    <x v="0"/>
    <n v="5"/>
    <x v="0"/>
    <d v="2024-04-16T00:00:00"/>
    <d v="2024-04-21T00:00:00"/>
    <x v="10"/>
  </r>
  <r>
    <n v="1003"/>
    <n v="19211"/>
    <x v="2"/>
    <n v="37022.31"/>
    <x v="0"/>
    <n v="24"/>
    <x v="2"/>
    <d v="2024-08-28T00:00:00"/>
    <d v="2024-09-21T00:00:00"/>
    <x v="8"/>
  </r>
  <r>
    <n v="1004"/>
    <n v="16358"/>
    <x v="3"/>
    <n v="15916.16"/>
    <x v="2"/>
    <m/>
    <x v="2"/>
    <d v="2024-01-28T00:00:00"/>
    <m/>
    <x v="0"/>
  </r>
  <r>
    <n v="1005"/>
    <n v="11547"/>
    <x v="0"/>
    <n v="28598.06"/>
    <x v="0"/>
    <n v="43"/>
    <x v="2"/>
    <d v="2024-07-10T00:00:00"/>
    <d v="2024-08-22T00:00:00"/>
    <x v="2"/>
  </r>
  <r>
    <n v="1006"/>
    <n v="17169"/>
    <x v="1"/>
    <n v="186347.03"/>
    <x v="1"/>
    <n v="23"/>
    <x v="2"/>
    <d v="2024-09-05T00:00:00"/>
    <d v="2024-09-28T00:00:00"/>
    <x v="9"/>
  </r>
  <r>
    <n v="1007"/>
    <n v="14749"/>
    <x v="2"/>
    <n v="112591.42"/>
    <x v="0"/>
    <n v="32"/>
    <x v="1"/>
    <d v="2024-12-29T00:00:00"/>
    <d v="2025-01-30T00:00:00"/>
    <x v="11"/>
  </r>
  <r>
    <n v="1008"/>
    <n v="14436"/>
    <x v="3"/>
    <n v="160287.43"/>
    <x v="0"/>
    <n v="2"/>
    <x v="2"/>
    <d v="2024-07-31T00:00:00"/>
    <d v="2024-08-02T00:00:00"/>
    <x v="2"/>
  </r>
  <r>
    <n v="1009"/>
    <n v="10703"/>
    <x v="0"/>
    <n v="69867.63"/>
    <x v="2"/>
    <m/>
    <x v="1"/>
    <d v="2024-01-21T00:00:00"/>
    <m/>
    <x v="0"/>
  </r>
  <r>
    <n v="1010"/>
    <n v="16550"/>
    <x v="3"/>
    <n v="120568.44"/>
    <x v="0"/>
    <n v="20"/>
    <x v="1"/>
    <d v="2024-06-03T00:00:00"/>
    <d v="2024-06-23T00:00:00"/>
    <x v="7"/>
  </r>
  <r>
    <n v="1011"/>
    <n v="19044"/>
    <x v="3"/>
    <n v="101515.67"/>
    <x v="0"/>
    <n v="31"/>
    <x v="2"/>
    <d v="2024-01-27T00:00:00"/>
    <d v="2024-02-27T00:00:00"/>
    <x v="0"/>
  </r>
  <r>
    <n v="1012"/>
    <n v="18497"/>
    <x v="3"/>
    <n v="189418.9"/>
    <x v="0"/>
    <n v="2"/>
    <x v="2"/>
    <d v="2024-03-17T00:00:00"/>
    <d v="2024-03-19T00:00:00"/>
    <x v="5"/>
  </r>
  <r>
    <n v="1013"/>
    <n v="17636"/>
    <x v="2"/>
    <n v="150777.04999999999"/>
    <x v="1"/>
    <n v="20"/>
    <x v="3"/>
    <d v="2024-11-01T00:00:00"/>
    <d v="2024-11-21T00:00:00"/>
    <x v="1"/>
  </r>
  <r>
    <n v="1014"/>
    <n v="19979"/>
    <x v="0"/>
    <n v="147455.81"/>
    <x v="0"/>
    <n v="22"/>
    <x v="0"/>
    <d v="2024-02-26T00:00:00"/>
    <d v="2024-03-19T00:00:00"/>
    <x v="4"/>
  </r>
  <r>
    <n v="1015"/>
    <n v="19065"/>
    <x v="0"/>
    <n v="14038.89"/>
    <x v="0"/>
    <n v="23"/>
    <x v="2"/>
    <d v="2024-04-28T00:00:00"/>
    <d v="2024-05-21T00:00:00"/>
    <x v="10"/>
  </r>
  <r>
    <n v="1016"/>
    <n v="11581"/>
    <x v="2"/>
    <n v="112185.59"/>
    <x v="0"/>
    <n v="3"/>
    <x v="3"/>
    <d v="2024-06-13T00:00:00"/>
    <d v="2024-06-16T00:00:00"/>
    <x v="7"/>
  </r>
  <r>
    <n v="1017"/>
    <n v="13957"/>
    <x v="3"/>
    <n v="96063.33"/>
    <x v="2"/>
    <m/>
    <x v="3"/>
    <d v="2024-03-04T00:00:00"/>
    <m/>
    <x v="5"/>
  </r>
  <r>
    <n v="1018"/>
    <n v="14590"/>
    <x v="3"/>
    <n v="185929.24"/>
    <x v="2"/>
    <m/>
    <x v="0"/>
    <d v="2024-02-17T00:00:00"/>
    <m/>
    <x v="4"/>
  </r>
  <r>
    <n v="1019"/>
    <n v="13332"/>
    <x v="3"/>
    <n v="55181.69"/>
    <x v="0"/>
    <n v="34"/>
    <x v="1"/>
    <d v="2024-05-29T00:00:00"/>
    <d v="2024-07-02T00:00:00"/>
    <x v="3"/>
  </r>
  <r>
    <n v="1020"/>
    <n v="11685"/>
    <x v="3"/>
    <n v="57617.52"/>
    <x v="1"/>
    <n v="20"/>
    <x v="2"/>
    <d v="2024-06-06T00:00:00"/>
    <d v="2024-06-26T00:00:00"/>
    <x v="7"/>
  </r>
  <r>
    <n v="1021"/>
    <n v="19797"/>
    <x v="3"/>
    <n v="85212.52"/>
    <x v="0"/>
    <n v="28"/>
    <x v="0"/>
    <d v="2024-06-04T00:00:00"/>
    <d v="2024-07-02T00:00:00"/>
    <x v="7"/>
  </r>
  <r>
    <n v="1022"/>
    <n v="17531"/>
    <x v="3"/>
    <n v="52457.09"/>
    <x v="0"/>
    <n v="38"/>
    <x v="2"/>
    <d v="2024-05-30T00:00:00"/>
    <d v="2024-07-07T00:00:00"/>
    <x v="3"/>
  </r>
  <r>
    <n v="1023"/>
    <n v="16911"/>
    <x v="3"/>
    <n v="30190.86"/>
    <x v="0"/>
    <n v="30"/>
    <x v="3"/>
    <d v="2024-08-12T00:00:00"/>
    <d v="2024-09-11T00:00:00"/>
    <x v="8"/>
  </r>
  <r>
    <n v="1024"/>
    <n v="15731"/>
    <x v="3"/>
    <n v="172195.9"/>
    <x v="0"/>
    <n v="29"/>
    <x v="3"/>
    <d v="2024-09-16T00:00:00"/>
    <d v="2024-10-15T00:00:00"/>
    <x v="9"/>
  </r>
  <r>
    <n v="1025"/>
    <n v="10895"/>
    <x v="3"/>
    <n v="113863.92"/>
    <x v="0"/>
    <n v="35"/>
    <x v="1"/>
    <d v="2024-09-12T00:00:00"/>
    <d v="2024-10-17T00:00:00"/>
    <x v="9"/>
  </r>
  <r>
    <n v="1026"/>
    <n v="18032"/>
    <x v="3"/>
    <n v="172965.73"/>
    <x v="0"/>
    <n v="2"/>
    <x v="3"/>
    <d v="2024-03-01T00:00:00"/>
    <d v="2024-03-03T00:00:00"/>
    <x v="5"/>
  </r>
  <r>
    <n v="1027"/>
    <n v="12346"/>
    <x v="2"/>
    <n v="167071.28"/>
    <x v="0"/>
    <n v="26"/>
    <x v="3"/>
    <d v="2024-12-17T00:00:00"/>
    <d v="2025-01-12T00:00:00"/>
    <x v="11"/>
  </r>
  <r>
    <n v="1028"/>
    <n v="13531"/>
    <x v="1"/>
    <n v="59998.26"/>
    <x v="1"/>
    <n v="22"/>
    <x v="0"/>
    <d v="2024-09-16T00:00:00"/>
    <d v="2024-10-08T00:00:00"/>
    <x v="9"/>
  </r>
  <r>
    <n v="1029"/>
    <n v="11861"/>
    <x v="2"/>
    <n v="111808.8"/>
    <x v="0"/>
    <n v="35"/>
    <x v="2"/>
    <d v="2024-11-16T00:00:00"/>
    <d v="2024-12-21T00:00:00"/>
    <x v="1"/>
  </r>
  <r>
    <n v="1030"/>
    <n v="14852"/>
    <x v="3"/>
    <n v="21227.45"/>
    <x v="0"/>
    <n v="27"/>
    <x v="2"/>
    <d v="2024-06-10T00:00:00"/>
    <d v="2024-07-07T00:00:00"/>
    <x v="7"/>
  </r>
  <r>
    <n v="1031"/>
    <n v="10030"/>
    <x v="3"/>
    <n v="183474.12"/>
    <x v="2"/>
    <m/>
    <x v="0"/>
    <d v="2024-12-14T00:00:00"/>
    <m/>
    <x v="11"/>
  </r>
  <r>
    <n v="1032"/>
    <n v="10242"/>
    <x v="1"/>
    <n v="83831.23"/>
    <x v="0"/>
    <n v="36"/>
    <x v="1"/>
    <d v="2024-01-31T00:00:00"/>
    <d v="2024-03-07T00:00:00"/>
    <x v="0"/>
  </r>
  <r>
    <n v="1033"/>
    <n v="16918"/>
    <x v="3"/>
    <n v="81766.86"/>
    <x v="0"/>
    <n v="24"/>
    <x v="2"/>
    <d v="2024-03-11T00:00:00"/>
    <d v="2024-04-04T00:00:00"/>
    <x v="5"/>
  </r>
  <r>
    <n v="1034"/>
    <n v="19690"/>
    <x v="3"/>
    <n v="64037.3"/>
    <x v="1"/>
    <n v="18"/>
    <x v="3"/>
    <d v="2024-01-02T00:00:00"/>
    <d v="2024-01-20T00:00:00"/>
    <x v="0"/>
  </r>
  <r>
    <n v="1035"/>
    <n v="15511"/>
    <x v="3"/>
    <n v="94829.43"/>
    <x v="0"/>
    <n v="43"/>
    <x v="2"/>
    <d v="2024-02-19T00:00:00"/>
    <d v="2024-04-02T00:00:00"/>
    <x v="4"/>
  </r>
  <r>
    <n v="1036"/>
    <n v="15508"/>
    <x v="3"/>
    <n v="54093.08"/>
    <x v="0"/>
    <n v="13"/>
    <x v="3"/>
    <d v="2024-05-14T00:00:00"/>
    <d v="2024-05-27T00:00:00"/>
    <x v="3"/>
  </r>
  <r>
    <n v="1037"/>
    <n v="14668"/>
    <x v="3"/>
    <n v="78096.19"/>
    <x v="0"/>
    <n v="21"/>
    <x v="1"/>
    <d v="2024-05-25T00:00:00"/>
    <d v="2024-06-15T00:00:00"/>
    <x v="3"/>
  </r>
  <r>
    <n v="1038"/>
    <n v="16087"/>
    <x v="3"/>
    <n v="160989.67000000001"/>
    <x v="1"/>
    <n v="40"/>
    <x v="0"/>
    <d v="2024-06-27T00:00:00"/>
    <d v="2024-08-06T00:00:00"/>
    <x v="7"/>
  </r>
  <r>
    <n v="1039"/>
    <n v="17015"/>
    <x v="1"/>
    <n v="167679.82"/>
    <x v="0"/>
    <n v="28"/>
    <x v="2"/>
    <d v="2024-09-20T00:00:00"/>
    <d v="2024-10-18T00:00:00"/>
    <x v="9"/>
  </r>
  <r>
    <n v="1040"/>
    <n v="17636"/>
    <x v="3"/>
    <n v="64315.58"/>
    <x v="1"/>
    <n v="43"/>
    <x v="0"/>
    <d v="2024-11-06T00:00:00"/>
    <d v="2024-12-19T00:00:00"/>
    <x v="1"/>
  </r>
  <r>
    <n v="1041"/>
    <n v="16662"/>
    <x v="3"/>
    <n v="96457.81"/>
    <x v="0"/>
    <n v="38"/>
    <x v="2"/>
    <d v="2024-07-22T00:00:00"/>
    <d v="2024-08-29T00:00:00"/>
    <x v="2"/>
  </r>
  <r>
    <n v="1042"/>
    <n v="14003"/>
    <x v="0"/>
    <n v="175394.86"/>
    <x v="0"/>
    <n v="21"/>
    <x v="3"/>
    <d v="2024-10-25T00:00:00"/>
    <d v="2024-11-15T00:00:00"/>
    <x v="6"/>
  </r>
  <r>
    <n v="1043"/>
    <n v="19851"/>
    <x v="3"/>
    <n v="15271.3"/>
    <x v="1"/>
    <n v="12"/>
    <x v="0"/>
    <d v="2024-07-05T00:00:00"/>
    <d v="2024-07-17T00:00:00"/>
    <x v="2"/>
  </r>
  <r>
    <n v="1044"/>
    <n v="10598"/>
    <x v="3"/>
    <n v="178383.27"/>
    <x v="0"/>
    <n v="29"/>
    <x v="2"/>
    <d v="2024-01-30T00:00:00"/>
    <d v="2024-02-28T00:00:00"/>
    <x v="0"/>
  </r>
  <r>
    <n v="1045"/>
    <n v="12195"/>
    <x v="0"/>
    <n v="47740.95"/>
    <x v="0"/>
    <n v="3"/>
    <x v="3"/>
    <d v="2024-02-28T00:00:00"/>
    <d v="2024-03-02T00:00:00"/>
    <x v="4"/>
  </r>
  <r>
    <n v="1046"/>
    <n v="10069"/>
    <x v="3"/>
    <n v="137315.15"/>
    <x v="0"/>
    <n v="25"/>
    <x v="0"/>
    <d v="2024-01-09T00:00:00"/>
    <d v="2024-02-03T00:00:00"/>
    <x v="0"/>
  </r>
  <r>
    <n v="1047"/>
    <n v="18139"/>
    <x v="3"/>
    <n v="118597.58"/>
    <x v="1"/>
    <n v="17"/>
    <x v="0"/>
    <d v="2024-11-19T00:00:00"/>
    <d v="2024-12-06T00:00:00"/>
    <x v="1"/>
  </r>
  <r>
    <n v="1048"/>
    <n v="19585"/>
    <x v="3"/>
    <n v="112823.45"/>
    <x v="0"/>
    <n v="13"/>
    <x v="2"/>
    <d v="2024-06-15T00:00:00"/>
    <d v="2024-06-28T00:00:00"/>
    <x v="7"/>
  </r>
  <r>
    <n v="1049"/>
    <n v="13659"/>
    <x v="3"/>
    <n v="172575.24"/>
    <x v="0"/>
    <n v="17"/>
    <x v="2"/>
    <d v="2024-12-02T00:00:00"/>
    <d v="2024-12-19T00:00:00"/>
    <x v="11"/>
  </r>
  <r>
    <n v="1050"/>
    <n v="19841"/>
    <x v="1"/>
    <n v="24806.57"/>
    <x v="0"/>
    <n v="37"/>
    <x v="2"/>
    <d v="2024-10-05T00:00:00"/>
    <d v="2024-11-11T00:00:00"/>
    <x v="6"/>
  </r>
  <r>
    <n v="1051"/>
    <n v="15634"/>
    <x v="0"/>
    <n v="72670.460000000006"/>
    <x v="2"/>
    <m/>
    <x v="3"/>
    <d v="2024-07-09T00:00:00"/>
    <m/>
    <x v="2"/>
  </r>
  <r>
    <n v="1052"/>
    <n v="12281"/>
    <x v="3"/>
    <n v="109959.29"/>
    <x v="0"/>
    <n v="26"/>
    <x v="2"/>
    <d v="2024-08-29T00:00:00"/>
    <d v="2024-09-24T00:00:00"/>
    <x v="8"/>
  </r>
  <r>
    <n v="1053"/>
    <n v="16822"/>
    <x v="1"/>
    <n v="163201.32999999999"/>
    <x v="0"/>
    <n v="30"/>
    <x v="0"/>
    <d v="2024-10-04T00:00:00"/>
    <d v="2024-11-03T00:00:00"/>
    <x v="6"/>
  </r>
  <r>
    <n v="1054"/>
    <n v="13682"/>
    <x v="1"/>
    <n v="47206.400000000001"/>
    <x v="0"/>
    <n v="29"/>
    <x v="0"/>
    <d v="2024-06-02T00:00:00"/>
    <d v="2024-07-01T00:00:00"/>
    <x v="7"/>
  </r>
  <r>
    <n v="1055"/>
    <n v="12683"/>
    <x v="3"/>
    <n v="161571.32"/>
    <x v="0"/>
    <n v="11"/>
    <x v="2"/>
    <d v="2024-06-08T00:00:00"/>
    <d v="2024-06-19T00:00:00"/>
    <x v="7"/>
  </r>
  <r>
    <n v="1056"/>
    <n v="14562"/>
    <x v="1"/>
    <n v="82929.5"/>
    <x v="0"/>
    <n v="24"/>
    <x v="2"/>
    <d v="2024-09-21T00:00:00"/>
    <d v="2024-10-15T00:00:00"/>
    <x v="9"/>
  </r>
  <r>
    <n v="1057"/>
    <n v="14652"/>
    <x v="3"/>
    <n v="41838.199999999997"/>
    <x v="0"/>
    <n v="33"/>
    <x v="1"/>
    <d v="2024-08-22T00:00:00"/>
    <d v="2024-09-24T00:00:00"/>
    <x v="8"/>
  </r>
  <r>
    <n v="1058"/>
    <n v="14931"/>
    <x v="3"/>
    <n v="153002.35999999999"/>
    <x v="0"/>
    <n v="32"/>
    <x v="0"/>
    <d v="2024-12-11T00:00:00"/>
    <d v="2025-01-12T00:00:00"/>
    <x v="11"/>
  </r>
  <r>
    <n v="1059"/>
    <n v="19502"/>
    <x v="3"/>
    <n v="22725.29"/>
    <x v="1"/>
    <n v="20"/>
    <x v="3"/>
    <d v="2024-07-17T00:00:00"/>
    <d v="2024-08-06T00:00:00"/>
    <x v="2"/>
  </r>
  <r>
    <n v="1060"/>
    <n v="14713"/>
    <x v="3"/>
    <n v="105379.64"/>
    <x v="1"/>
    <n v="16"/>
    <x v="1"/>
    <d v="2024-02-02T00:00:00"/>
    <d v="2024-02-18T00:00:00"/>
    <x v="4"/>
  </r>
  <r>
    <n v="1061"/>
    <n v="15413"/>
    <x v="3"/>
    <n v="17455.78"/>
    <x v="0"/>
    <n v="34"/>
    <x v="2"/>
    <d v="2024-03-29T00:00:00"/>
    <d v="2024-05-02T00:00:00"/>
    <x v="5"/>
  </r>
  <r>
    <n v="1062"/>
    <n v="15600"/>
    <x v="0"/>
    <n v="74501.48"/>
    <x v="1"/>
    <n v="18"/>
    <x v="2"/>
    <d v="2024-04-04T00:00:00"/>
    <d v="2024-04-22T00:00:00"/>
    <x v="10"/>
  </r>
  <r>
    <n v="1063"/>
    <n v="14103"/>
    <x v="3"/>
    <n v="122209.98"/>
    <x v="0"/>
    <n v="37"/>
    <x v="0"/>
    <d v="2024-08-08T00:00:00"/>
    <d v="2024-09-14T00:00:00"/>
    <x v="8"/>
  </r>
  <r>
    <n v="1064"/>
    <n v="12075"/>
    <x v="3"/>
    <n v="113442.53"/>
    <x v="1"/>
    <n v="21"/>
    <x v="2"/>
    <d v="2024-03-09T00:00:00"/>
    <d v="2024-03-30T00:00:00"/>
    <x v="5"/>
  </r>
  <r>
    <n v="1065"/>
    <n v="10782"/>
    <x v="3"/>
    <n v="83907.81"/>
    <x v="0"/>
    <n v="10"/>
    <x v="3"/>
    <d v="2024-10-20T00:00:00"/>
    <d v="2024-10-30T00:00:00"/>
    <x v="6"/>
  </r>
  <r>
    <n v="1066"/>
    <n v="13806"/>
    <x v="1"/>
    <n v="88664.36"/>
    <x v="0"/>
    <n v="39"/>
    <x v="0"/>
    <d v="2024-08-24T00:00:00"/>
    <d v="2024-10-02T00:00:00"/>
    <x v="8"/>
  </r>
  <r>
    <n v="1067"/>
    <n v="19525"/>
    <x v="1"/>
    <n v="49220.06"/>
    <x v="2"/>
    <m/>
    <x v="2"/>
    <d v="2024-06-08T00:00:00"/>
    <m/>
    <x v="7"/>
  </r>
  <r>
    <n v="1068"/>
    <n v="11057"/>
    <x v="1"/>
    <n v="93897.1"/>
    <x v="1"/>
    <n v="3"/>
    <x v="0"/>
    <d v="2024-11-15T00:00:00"/>
    <d v="2024-11-18T00:00:00"/>
    <x v="1"/>
  </r>
  <r>
    <n v="1069"/>
    <n v="12054"/>
    <x v="1"/>
    <n v="190884.7"/>
    <x v="0"/>
    <n v="19"/>
    <x v="2"/>
    <d v="2024-11-23T00:00:00"/>
    <d v="2024-12-12T00:00:00"/>
    <x v="1"/>
  </r>
  <r>
    <n v="1070"/>
    <n v="12109"/>
    <x v="0"/>
    <n v="170838.32"/>
    <x v="0"/>
    <n v="24"/>
    <x v="2"/>
    <d v="2024-10-02T00:00:00"/>
    <d v="2024-10-26T00:00:00"/>
    <x v="6"/>
  </r>
  <r>
    <n v="1071"/>
    <n v="17283"/>
    <x v="3"/>
    <n v="33320.410000000003"/>
    <x v="0"/>
    <n v="20"/>
    <x v="2"/>
    <d v="2024-10-16T00:00:00"/>
    <d v="2024-11-05T00:00:00"/>
    <x v="6"/>
  </r>
  <r>
    <n v="1072"/>
    <n v="11320"/>
    <x v="1"/>
    <n v="10807.25"/>
    <x v="0"/>
    <n v="8"/>
    <x v="3"/>
    <d v="2024-02-11T00:00:00"/>
    <d v="2024-02-19T00:00:00"/>
    <x v="4"/>
  </r>
  <r>
    <n v="1073"/>
    <n v="17849"/>
    <x v="0"/>
    <n v="187037.24"/>
    <x v="0"/>
    <n v="36"/>
    <x v="3"/>
    <d v="2024-03-06T00:00:00"/>
    <d v="2024-04-11T00:00:00"/>
    <x v="5"/>
  </r>
  <r>
    <n v="1074"/>
    <n v="14417"/>
    <x v="2"/>
    <n v="107716.2"/>
    <x v="0"/>
    <n v="21"/>
    <x v="0"/>
    <d v="2024-01-21T00:00:00"/>
    <d v="2024-02-11T00:00:00"/>
    <x v="0"/>
  </r>
  <r>
    <n v="1075"/>
    <n v="13699"/>
    <x v="0"/>
    <n v="109878.38"/>
    <x v="1"/>
    <n v="21"/>
    <x v="2"/>
    <d v="2024-11-30T00:00:00"/>
    <d v="2024-12-21T00:00:00"/>
    <x v="1"/>
  </r>
  <r>
    <n v="1076"/>
    <n v="10732"/>
    <x v="3"/>
    <n v="157240.01"/>
    <x v="0"/>
    <n v="20"/>
    <x v="2"/>
    <d v="2024-03-10T00:00:00"/>
    <d v="2024-03-30T00:00:00"/>
    <x v="5"/>
  </r>
  <r>
    <n v="1077"/>
    <n v="16562"/>
    <x v="3"/>
    <n v="66364.350000000006"/>
    <x v="0"/>
    <n v="42"/>
    <x v="3"/>
    <d v="2024-09-17T00:00:00"/>
    <d v="2024-10-29T00:00:00"/>
    <x v="9"/>
  </r>
  <r>
    <n v="1078"/>
    <n v="13549"/>
    <x v="3"/>
    <n v="98971.98"/>
    <x v="0"/>
    <n v="17"/>
    <x v="2"/>
    <d v="2024-09-02T00:00:00"/>
    <d v="2024-09-19T00:00:00"/>
    <x v="9"/>
  </r>
  <r>
    <n v="1079"/>
    <n v="16163"/>
    <x v="1"/>
    <n v="193889.27"/>
    <x v="0"/>
    <n v="39"/>
    <x v="3"/>
    <d v="2024-11-18T00:00:00"/>
    <d v="2024-12-27T00:00:00"/>
    <x v="1"/>
  </r>
  <r>
    <n v="1080"/>
    <n v="16555"/>
    <x v="3"/>
    <n v="136068.99"/>
    <x v="0"/>
    <n v="22"/>
    <x v="2"/>
    <d v="2024-08-22T00:00:00"/>
    <d v="2024-09-13T00:00:00"/>
    <x v="8"/>
  </r>
  <r>
    <n v="1081"/>
    <n v="15378"/>
    <x v="3"/>
    <n v="34980.28"/>
    <x v="0"/>
    <n v="30"/>
    <x v="0"/>
    <d v="2024-09-28T00:00:00"/>
    <d v="2024-10-28T00:00:00"/>
    <x v="9"/>
  </r>
  <r>
    <n v="1082"/>
    <n v="18796"/>
    <x v="0"/>
    <n v="30979.22"/>
    <x v="1"/>
    <n v="39"/>
    <x v="2"/>
    <d v="2024-04-08T00:00:00"/>
    <d v="2024-05-17T00:00:00"/>
    <x v="10"/>
  </r>
  <r>
    <n v="1083"/>
    <n v="11722"/>
    <x v="3"/>
    <n v="44831.63"/>
    <x v="1"/>
    <n v="25"/>
    <x v="2"/>
    <d v="2024-11-24T00:00:00"/>
    <d v="2024-12-19T00:00:00"/>
    <x v="1"/>
  </r>
  <r>
    <n v="1084"/>
    <n v="12812"/>
    <x v="0"/>
    <n v="154508.78"/>
    <x v="0"/>
    <n v="38"/>
    <x v="1"/>
    <d v="2024-02-04T00:00:00"/>
    <d v="2024-03-13T00:00:00"/>
    <x v="4"/>
  </r>
  <r>
    <n v="1085"/>
    <n v="19773"/>
    <x v="3"/>
    <n v="62598.52"/>
    <x v="0"/>
    <n v="30"/>
    <x v="3"/>
    <d v="2024-12-04T00:00:00"/>
    <d v="2025-01-03T00:00:00"/>
    <x v="11"/>
  </r>
  <r>
    <n v="1086"/>
    <n v="17537"/>
    <x v="3"/>
    <n v="9170.83"/>
    <x v="0"/>
    <n v="32"/>
    <x v="2"/>
    <d v="2024-06-19T00:00:00"/>
    <d v="2024-07-21T00:00:00"/>
    <x v="7"/>
  </r>
  <r>
    <n v="1087"/>
    <n v="12278"/>
    <x v="3"/>
    <n v="189114"/>
    <x v="1"/>
    <n v="40"/>
    <x v="2"/>
    <d v="2024-04-19T00:00:00"/>
    <d v="2024-05-29T00:00:00"/>
    <x v="10"/>
  </r>
  <r>
    <n v="1088"/>
    <n v="12350"/>
    <x v="1"/>
    <n v="38094.120000000003"/>
    <x v="1"/>
    <n v="13"/>
    <x v="1"/>
    <d v="2024-10-21T00:00:00"/>
    <d v="2024-11-03T00:00:00"/>
    <x v="6"/>
  </r>
  <r>
    <n v="1089"/>
    <n v="13623"/>
    <x v="3"/>
    <n v="6863.85"/>
    <x v="0"/>
    <n v="31"/>
    <x v="1"/>
    <d v="2024-01-10T00:00:00"/>
    <d v="2024-02-10T00:00:00"/>
    <x v="0"/>
  </r>
  <r>
    <n v="1090"/>
    <n v="16530"/>
    <x v="3"/>
    <n v="51240.66"/>
    <x v="0"/>
    <n v="5"/>
    <x v="3"/>
    <d v="2024-07-20T00:00:00"/>
    <d v="2024-07-25T00:00:00"/>
    <x v="2"/>
  </r>
  <r>
    <n v="1091"/>
    <n v="10714"/>
    <x v="2"/>
    <n v="50830.61"/>
    <x v="1"/>
    <n v="31"/>
    <x v="1"/>
    <d v="2024-09-13T00:00:00"/>
    <d v="2024-10-14T00:00:00"/>
    <x v="9"/>
  </r>
  <r>
    <n v="1092"/>
    <n v="10924"/>
    <x v="3"/>
    <n v="87291.02"/>
    <x v="0"/>
    <n v="6"/>
    <x v="0"/>
    <d v="2024-09-18T00:00:00"/>
    <d v="2024-09-24T00:00:00"/>
    <x v="9"/>
  </r>
  <r>
    <n v="1093"/>
    <n v="13162"/>
    <x v="1"/>
    <n v="184476.02"/>
    <x v="0"/>
    <n v="17"/>
    <x v="1"/>
    <d v="2024-06-29T00:00:00"/>
    <d v="2024-07-16T00:00:00"/>
    <x v="7"/>
  </r>
  <r>
    <n v="1094"/>
    <n v="14153"/>
    <x v="1"/>
    <n v="176441.06"/>
    <x v="2"/>
    <m/>
    <x v="0"/>
    <d v="2024-03-06T00:00:00"/>
    <m/>
    <x v="5"/>
  </r>
  <r>
    <n v="1095"/>
    <n v="14529"/>
    <x v="3"/>
    <n v="94094.44"/>
    <x v="1"/>
    <n v="5"/>
    <x v="3"/>
    <d v="2024-10-20T00:00:00"/>
    <d v="2024-10-25T00:00:00"/>
    <x v="6"/>
  </r>
  <r>
    <n v="1096"/>
    <n v="12569"/>
    <x v="1"/>
    <n v="85125.48"/>
    <x v="0"/>
    <n v="9"/>
    <x v="3"/>
    <d v="2024-06-09T00:00:00"/>
    <d v="2024-06-18T00:00:00"/>
    <x v="7"/>
  </r>
  <r>
    <n v="1097"/>
    <n v="12815"/>
    <x v="3"/>
    <n v="113226.77"/>
    <x v="0"/>
    <n v="9"/>
    <x v="3"/>
    <d v="2024-03-07T00:00:00"/>
    <d v="2024-03-16T00:00:00"/>
    <x v="5"/>
  </r>
  <r>
    <n v="1098"/>
    <n v="16972"/>
    <x v="1"/>
    <n v="52473.53"/>
    <x v="0"/>
    <n v="18"/>
    <x v="3"/>
    <d v="2024-04-09T00:00:00"/>
    <d v="2024-04-27T00:00:00"/>
    <x v="10"/>
  </r>
  <r>
    <n v="1099"/>
    <n v="14578"/>
    <x v="3"/>
    <n v="15176.07"/>
    <x v="0"/>
    <n v="4"/>
    <x v="3"/>
    <d v="2024-03-17T00:00:00"/>
    <d v="2024-03-21T00:00:00"/>
    <x v="5"/>
  </r>
  <r>
    <n v="1100"/>
    <n v="14462"/>
    <x v="1"/>
    <n v="188148.71"/>
    <x v="0"/>
    <n v="28"/>
    <x v="0"/>
    <d v="2024-02-04T00:00:00"/>
    <d v="2024-03-03T00:00:00"/>
    <x v="4"/>
  </r>
  <r>
    <n v="1101"/>
    <n v="10888"/>
    <x v="3"/>
    <n v="41406.300000000003"/>
    <x v="0"/>
    <n v="35"/>
    <x v="0"/>
    <d v="2024-02-14T00:00:00"/>
    <d v="2024-03-20T00:00:00"/>
    <x v="4"/>
  </r>
  <r>
    <n v="1102"/>
    <n v="15948"/>
    <x v="1"/>
    <n v="43688.14"/>
    <x v="1"/>
    <n v="22"/>
    <x v="3"/>
    <d v="2024-05-29T00:00:00"/>
    <d v="2024-06-20T00:00:00"/>
    <x v="3"/>
  </r>
  <r>
    <n v="1103"/>
    <n v="13478"/>
    <x v="3"/>
    <n v="97129.76"/>
    <x v="1"/>
    <n v="44"/>
    <x v="1"/>
    <d v="2024-03-08T00:00:00"/>
    <d v="2024-04-21T00:00:00"/>
    <x v="5"/>
  </r>
  <r>
    <n v="1104"/>
    <n v="13589"/>
    <x v="3"/>
    <n v="100864.6"/>
    <x v="0"/>
    <n v="25"/>
    <x v="2"/>
    <d v="2024-09-10T00:00:00"/>
    <d v="2024-10-05T00:00:00"/>
    <x v="9"/>
  </r>
  <r>
    <n v="1105"/>
    <n v="11723"/>
    <x v="3"/>
    <n v="8594.67"/>
    <x v="0"/>
    <n v="42"/>
    <x v="3"/>
    <d v="2024-01-17T00:00:00"/>
    <d v="2024-02-28T00:00:00"/>
    <x v="0"/>
  </r>
  <r>
    <n v="1106"/>
    <n v="11258"/>
    <x v="3"/>
    <n v="33851.17"/>
    <x v="0"/>
    <n v="30"/>
    <x v="1"/>
    <d v="2024-09-17T00:00:00"/>
    <d v="2024-10-17T00:00:00"/>
    <x v="9"/>
  </r>
  <r>
    <n v="1107"/>
    <n v="17026"/>
    <x v="0"/>
    <n v="78740.19"/>
    <x v="0"/>
    <n v="40"/>
    <x v="2"/>
    <d v="2024-07-31T00:00:00"/>
    <d v="2024-09-09T00:00:00"/>
    <x v="2"/>
  </r>
  <r>
    <n v="1108"/>
    <n v="18602"/>
    <x v="3"/>
    <n v="138327.49"/>
    <x v="0"/>
    <n v="7"/>
    <x v="3"/>
    <d v="2024-11-08T00:00:00"/>
    <d v="2024-11-15T00:00:00"/>
    <x v="1"/>
  </r>
  <r>
    <n v="1109"/>
    <n v="12230"/>
    <x v="2"/>
    <n v="49541.599999999999"/>
    <x v="0"/>
    <n v="15"/>
    <x v="3"/>
    <d v="2024-09-12T00:00:00"/>
    <d v="2024-09-27T00:00:00"/>
    <x v="9"/>
  </r>
  <r>
    <n v="1110"/>
    <n v="17454"/>
    <x v="2"/>
    <n v="87487.82"/>
    <x v="1"/>
    <n v="15"/>
    <x v="0"/>
    <d v="2024-08-03T00:00:00"/>
    <d v="2024-08-18T00:00:00"/>
    <x v="8"/>
  </r>
  <r>
    <n v="1111"/>
    <n v="12060"/>
    <x v="1"/>
    <n v="113682.29"/>
    <x v="0"/>
    <n v="38"/>
    <x v="2"/>
    <d v="2024-12-16T00:00:00"/>
    <d v="2025-01-23T00:00:00"/>
    <x v="11"/>
  </r>
  <r>
    <n v="1112"/>
    <n v="13898"/>
    <x v="3"/>
    <n v="178275.54"/>
    <x v="2"/>
    <m/>
    <x v="2"/>
    <d v="2024-10-12T00:00:00"/>
    <m/>
    <x v="6"/>
  </r>
  <r>
    <n v="1113"/>
    <n v="12613"/>
    <x v="3"/>
    <n v="68583.75"/>
    <x v="2"/>
    <m/>
    <x v="1"/>
    <d v="2024-01-07T00:00:00"/>
    <m/>
    <x v="0"/>
  </r>
  <r>
    <n v="1114"/>
    <n v="17015"/>
    <x v="1"/>
    <n v="31043.86"/>
    <x v="0"/>
    <n v="2"/>
    <x v="0"/>
    <d v="2024-07-17T00:00:00"/>
    <d v="2024-07-19T00:00:00"/>
    <x v="2"/>
  </r>
  <r>
    <n v="1115"/>
    <n v="16698"/>
    <x v="3"/>
    <n v="100408.08"/>
    <x v="0"/>
    <n v="13"/>
    <x v="0"/>
    <d v="2024-03-31T00:00:00"/>
    <d v="2024-04-13T00:00:00"/>
    <x v="5"/>
  </r>
  <r>
    <n v="1116"/>
    <n v="11802"/>
    <x v="3"/>
    <n v="150610.71"/>
    <x v="2"/>
    <m/>
    <x v="0"/>
    <d v="2024-05-26T00:00:00"/>
    <m/>
    <x v="3"/>
  </r>
  <r>
    <n v="1117"/>
    <n v="10677"/>
    <x v="1"/>
    <n v="26422.65"/>
    <x v="2"/>
    <m/>
    <x v="0"/>
    <d v="2024-05-29T00:00:00"/>
    <m/>
    <x v="3"/>
  </r>
  <r>
    <n v="1118"/>
    <n v="18087"/>
    <x v="0"/>
    <n v="87813.28"/>
    <x v="0"/>
    <n v="38"/>
    <x v="2"/>
    <d v="2024-02-21T00:00:00"/>
    <d v="2024-03-30T00:00:00"/>
    <x v="4"/>
  </r>
  <r>
    <n v="1119"/>
    <n v="14713"/>
    <x v="1"/>
    <n v="8468.1"/>
    <x v="0"/>
    <n v="21"/>
    <x v="2"/>
    <d v="2024-08-30T00:00:00"/>
    <d v="2024-09-20T00:00:00"/>
    <x v="8"/>
  </r>
  <r>
    <n v="1120"/>
    <n v="17730"/>
    <x v="3"/>
    <n v="11544.04"/>
    <x v="0"/>
    <n v="7"/>
    <x v="3"/>
    <d v="2024-08-06T00:00:00"/>
    <d v="2024-08-13T00:00:00"/>
    <x v="8"/>
  </r>
  <r>
    <n v="1121"/>
    <n v="13004"/>
    <x v="1"/>
    <n v="99175.91"/>
    <x v="2"/>
    <m/>
    <x v="3"/>
    <d v="2024-01-06T00:00:00"/>
    <m/>
    <x v="0"/>
  </r>
  <r>
    <n v="1122"/>
    <n v="18986"/>
    <x v="3"/>
    <n v="63148.47"/>
    <x v="0"/>
    <n v="22"/>
    <x v="0"/>
    <d v="2024-04-18T00:00:00"/>
    <d v="2024-05-10T00:00:00"/>
    <x v="10"/>
  </r>
  <r>
    <n v="1123"/>
    <n v="10728"/>
    <x v="3"/>
    <n v="169795.92"/>
    <x v="0"/>
    <n v="4"/>
    <x v="0"/>
    <d v="2024-12-16T00:00:00"/>
    <d v="2024-12-20T00:00:00"/>
    <x v="11"/>
  </r>
  <r>
    <n v="1124"/>
    <n v="19885"/>
    <x v="0"/>
    <n v="122420.09"/>
    <x v="1"/>
    <n v="28"/>
    <x v="0"/>
    <d v="2024-03-06T00:00:00"/>
    <d v="2024-04-03T00:00:00"/>
    <x v="5"/>
  </r>
  <r>
    <n v="1125"/>
    <n v="14734"/>
    <x v="3"/>
    <n v="93516.93"/>
    <x v="0"/>
    <n v="37"/>
    <x v="3"/>
    <d v="2024-01-10T00:00:00"/>
    <d v="2024-02-16T00:00:00"/>
    <x v="0"/>
  </r>
  <r>
    <n v="1126"/>
    <n v="10190"/>
    <x v="3"/>
    <n v="84547.4"/>
    <x v="0"/>
    <n v="18"/>
    <x v="1"/>
    <d v="2024-07-20T00:00:00"/>
    <d v="2024-08-07T00:00:00"/>
    <x v="2"/>
  </r>
  <r>
    <n v="1127"/>
    <n v="14994"/>
    <x v="3"/>
    <n v="101962.87"/>
    <x v="0"/>
    <n v="16"/>
    <x v="1"/>
    <d v="2024-10-08T00:00:00"/>
    <d v="2024-10-24T00:00:00"/>
    <x v="6"/>
  </r>
  <r>
    <n v="1128"/>
    <n v="13866"/>
    <x v="0"/>
    <n v="12885.57"/>
    <x v="1"/>
    <n v="40"/>
    <x v="3"/>
    <d v="2024-08-01T00:00:00"/>
    <d v="2024-09-10T00:00:00"/>
    <x v="8"/>
  </r>
  <r>
    <n v="1129"/>
    <n v="19681"/>
    <x v="1"/>
    <n v="179094.7"/>
    <x v="0"/>
    <n v="5"/>
    <x v="3"/>
    <d v="2024-03-08T00:00:00"/>
    <d v="2024-03-13T00:00:00"/>
    <x v="5"/>
  </r>
  <r>
    <n v="1130"/>
    <n v="16039"/>
    <x v="1"/>
    <n v="199669.12"/>
    <x v="0"/>
    <n v="18"/>
    <x v="3"/>
    <d v="2024-09-03T00:00:00"/>
    <d v="2024-09-21T00:00:00"/>
    <x v="9"/>
  </r>
  <r>
    <n v="1131"/>
    <n v="16445"/>
    <x v="1"/>
    <n v="40389.99"/>
    <x v="0"/>
    <n v="39"/>
    <x v="3"/>
    <d v="2024-12-19T00:00:00"/>
    <d v="2025-01-27T00:00:00"/>
    <x v="11"/>
  </r>
  <r>
    <n v="1132"/>
    <n v="18829"/>
    <x v="3"/>
    <n v="28474.68"/>
    <x v="0"/>
    <n v="12"/>
    <x v="3"/>
    <d v="2024-11-22T00:00:00"/>
    <d v="2024-12-04T00:00:00"/>
    <x v="1"/>
  </r>
  <r>
    <n v="1133"/>
    <n v="14045"/>
    <x v="3"/>
    <n v="32997.61"/>
    <x v="0"/>
    <n v="13"/>
    <x v="3"/>
    <d v="2024-02-19T00:00:00"/>
    <d v="2024-03-03T00:00:00"/>
    <x v="4"/>
  </r>
  <r>
    <n v="1134"/>
    <n v="16315"/>
    <x v="3"/>
    <n v="133900.28"/>
    <x v="0"/>
    <n v="33"/>
    <x v="0"/>
    <d v="2024-01-17T00:00:00"/>
    <d v="2024-02-19T00:00:00"/>
    <x v="0"/>
  </r>
  <r>
    <n v="1135"/>
    <n v="15624"/>
    <x v="3"/>
    <n v="133980.96"/>
    <x v="0"/>
    <n v="28"/>
    <x v="0"/>
    <d v="2024-01-11T00:00:00"/>
    <d v="2024-02-08T00:00:00"/>
    <x v="0"/>
  </r>
  <r>
    <n v="1136"/>
    <n v="14158"/>
    <x v="3"/>
    <n v="170345.21"/>
    <x v="1"/>
    <n v="44"/>
    <x v="0"/>
    <d v="2024-11-04T00:00:00"/>
    <d v="2024-12-18T00:00:00"/>
    <x v="1"/>
  </r>
  <r>
    <n v="1137"/>
    <n v="14111"/>
    <x v="2"/>
    <n v="151606.15"/>
    <x v="1"/>
    <n v="28"/>
    <x v="0"/>
    <d v="2024-11-01T00:00:00"/>
    <d v="2024-11-29T00:00:00"/>
    <x v="1"/>
  </r>
  <r>
    <n v="1138"/>
    <n v="16834"/>
    <x v="3"/>
    <n v="92689.49"/>
    <x v="0"/>
    <n v="41"/>
    <x v="3"/>
    <d v="2024-05-03T00:00:00"/>
    <d v="2024-06-13T00:00:00"/>
    <x v="3"/>
  </r>
  <r>
    <n v="1139"/>
    <n v="19033"/>
    <x v="3"/>
    <n v="124506.8"/>
    <x v="0"/>
    <n v="30"/>
    <x v="1"/>
    <d v="2024-08-12T00:00:00"/>
    <d v="2024-09-11T00:00:00"/>
    <x v="8"/>
  </r>
  <r>
    <n v="1140"/>
    <n v="13951"/>
    <x v="3"/>
    <n v="139215.51"/>
    <x v="0"/>
    <n v="10"/>
    <x v="2"/>
    <d v="2024-08-31T00:00:00"/>
    <d v="2024-09-10T00:00:00"/>
    <x v="8"/>
  </r>
  <r>
    <n v="1141"/>
    <n v="15220"/>
    <x v="3"/>
    <n v="104983.61"/>
    <x v="1"/>
    <n v="44"/>
    <x v="3"/>
    <d v="2024-11-13T00:00:00"/>
    <d v="2024-12-27T00:00:00"/>
    <x v="1"/>
  </r>
  <r>
    <n v="1142"/>
    <n v="14058"/>
    <x v="2"/>
    <n v="97751.94"/>
    <x v="0"/>
    <n v="4"/>
    <x v="2"/>
    <d v="2024-11-27T00:00:00"/>
    <d v="2024-12-01T00:00:00"/>
    <x v="1"/>
  </r>
  <r>
    <n v="1143"/>
    <n v="13247"/>
    <x v="3"/>
    <n v="130794"/>
    <x v="0"/>
    <n v="40"/>
    <x v="1"/>
    <d v="2024-12-11T00:00:00"/>
    <d v="2025-01-20T00:00:00"/>
    <x v="11"/>
  </r>
  <r>
    <n v="1144"/>
    <n v="11216"/>
    <x v="3"/>
    <n v="113707.54"/>
    <x v="0"/>
    <n v="30"/>
    <x v="0"/>
    <d v="2024-01-29T00:00:00"/>
    <d v="2024-02-28T00:00:00"/>
    <x v="0"/>
  </r>
  <r>
    <n v="1145"/>
    <n v="16092"/>
    <x v="1"/>
    <n v="130568.75"/>
    <x v="0"/>
    <n v="22"/>
    <x v="1"/>
    <d v="2024-12-23T00:00:00"/>
    <d v="2025-01-14T00:00:00"/>
    <x v="11"/>
  </r>
  <r>
    <n v="1146"/>
    <n v="17980"/>
    <x v="3"/>
    <n v="124506.68"/>
    <x v="0"/>
    <n v="36"/>
    <x v="3"/>
    <d v="2024-12-22T00:00:00"/>
    <d v="2025-01-27T00:00:00"/>
    <x v="11"/>
  </r>
  <r>
    <n v="1147"/>
    <n v="19090"/>
    <x v="3"/>
    <n v="145243.32999999999"/>
    <x v="0"/>
    <n v="11"/>
    <x v="0"/>
    <d v="2024-12-30T00:00:00"/>
    <d v="2025-01-10T00:00:00"/>
    <x v="11"/>
  </r>
  <r>
    <n v="1148"/>
    <n v="15586"/>
    <x v="3"/>
    <n v="130346.68"/>
    <x v="0"/>
    <n v="24"/>
    <x v="3"/>
    <d v="2024-10-11T00:00:00"/>
    <d v="2024-11-04T00:00:00"/>
    <x v="6"/>
  </r>
  <r>
    <n v="1149"/>
    <n v="17076"/>
    <x v="1"/>
    <n v="106349.78"/>
    <x v="1"/>
    <n v="40"/>
    <x v="0"/>
    <d v="2024-02-28T00:00:00"/>
    <d v="2024-04-08T00:00:00"/>
    <x v="4"/>
  </r>
  <r>
    <n v="1150"/>
    <n v="17940"/>
    <x v="2"/>
    <n v="137950.38"/>
    <x v="0"/>
    <n v="26"/>
    <x v="2"/>
    <d v="2024-05-22T00:00:00"/>
    <d v="2024-06-17T00:00:00"/>
    <x v="3"/>
  </r>
  <r>
    <n v="1151"/>
    <n v="12222"/>
    <x v="1"/>
    <n v="92648.98"/>
    <x v="0"/>
    <n v="25"/>
    <x v="2"/>
    <d v="2024-11-21T00:00:00"/>
    <d v="2024-12-16T00:00:00"/>
    <x v="1"/>
  </r>
  <r>
    <n v="1152"/>
    <n v="19449"/>
    <x v="3"/>
    <n v="52125.89"/>
    <x v="0"/>
    <n v="21"/>
    <x v="2"/>
    <d v="2024-12-17T00:00:00"/>
    <d v="2025-01-07T00:00:00"/>
    <x v="11"/>
  </r>
  <r>
    <n v="1153"/>
    <n v="17979"/>
    <x v="0"/>
    <n v="5276.55"/>
    <x v="0"/>
    <n v="16"/>
    <x v="1"/>
    <d v="2024-10-26T00:00:00"/>
    <d v="2024-11-11T00:00:00"/>
    <x v="6"/>
  </r>
  <r>
    <n v="1154"/>
    <n v="11514"/>
    <x v="3"/>
    <n v="114193.01"/>
    <x v="0"/>
    <n v="22"/>
    <x v="3"/>
    <d v="2024-08-13T00:00:00"/>
    <d v="2024-09-04T00:00:00"/>
    <x v="8"/>
  </r>
  <r>
    <n v="1155"/>
    <n v="18608"/>
    <x v="3"/>
    <n v="120177.77"/>
    <x v="0"/>
    <n v="43"/>
    <x v="1"/>
    <d v="2024-06-12T00:00:00"/>
    <d v="2024-07-25T00:00:00"/>
    <x v="7"/>
  </r>
  <r>
    <n v="1156"/>
    <n v="12883"/>
    <x v="3"/>
    <n v="194549.55"/>
    <x v="0"/>
    <n v="13"/>
    <x v="2"/>
    <d v="2024-03-24T00:00:00"/>
    <d v="2024-04-06T00:00:00"/>
    <x v="5"/>
  </r>
  <r>
    <n v="1157"/>
    <n v="13826"/>
    <x v="3"/>
    <n v="75488.28"/>
    <x v="0"/>
    <n v="19"/>
    <x v="3"/>
    <d v="2024-11-08T00:00:00"/>
    <d v="2024-11-27T00:00:00"/>
    <x v="1"/>
  </r>
  <r>
    <n v="1158"/>
    <n v="14339"/>
    <x v="1"/>
    <n v="81855.98"/>
    <x v="0"/>
    <n v="24"/>
    <x v="2"/>
    <d v="2024-04-26T00:00:00"/>
    <d v="2024-05-20T00:00:00"/>
    <x v="10"/>
  </r>
  <r>
    <n v="1159"/>
    <n v="10674"/>
    <x v="1"/>
    <n v="44350.92"/>
    <x v="0"/>
    <n v="42"/>
    <x v="1"/>
    <d v="2024-11-15T00:00:00"/>
    <d v="2024-12-27T00:00:00"/>
    <x v="1"/>
  </r>
  <r>
    <n v="1160"/>
    <n v="16289"/>
    <x v="2"/>
    <n v="18754.189999999999"/>
    <x v="1"/>
    <n v="30"/>
    <x v="1"/>
    <d v="2024-07-22T00:00:00"/>
    <d v="2024-08-21T00:00:00"/>
    <x v="2"/>
  </r>
  <r>
    <n v="1161"/>
    <n v="10102"/>
    <x v="1"/>
    <n v="155696.88"/>
    <x v="0"/>
    <n v="42"/>
    <x v="1"/>
    <d v="2024-12-20T00:00:00"/>
    <d v="2025-01-31T00:00:00"/>
    <x v="11"/>
  </r>
  <r>
    <n v="1162"/>
    <n v="13993"/>
    <x v="1"/>
    <n v="53687.81"/>
    <x v="0"/>
    <n v="37"/>
    <x v="2"/>
    <d v="2024-10-20T00:00:00"/>
    <d v="2024-11-26T00:00:00"/>
    <x v="6"/>
  </r>
  <r>
    <n v="1163"/>
    <n v="13708"/>
    <x v="3"/>
    <n v="123736.45"/>
    <x v="0"/>
    <n v="6"/>
    <x v="3"/>
    <d v="2024-05-24T00:00:00"/>
    <d v="2024-05-30T00:00:00"/>
    <x v="3"/>
  </r>
  <r>
    <n v="1164"/>
    <n v="11495"/>
    <x v="3"/>
    <n v="139115.74"/>
    <x v="0"/>
    <n v="40"/>
    <x v="3"/>
    <d v="2024-01-27T00:00:00"/>
    <d v="2024-03-07T00:00:00"/>
    <x v="0"/>
  </r>
  <r>
    <n v="1165"/>
    <n v="13392"/>
    <x v="1"/>
    <n v="96891.15"/>
    <x v="0"/>
    <n v="27"/>
    <x v="2"/>
    <d v="2024-01-17T00:00:00"/>
    <d v="2024-02-13T00:00:00"/>
    <x v="0"/>
  </r>
  <r>
    <n v="1166"/>
    <n v="17537"/>
    <x v="3"/>
    <n v="175888.66"/>
    <x v="0"/>
    <n v="40"/>
    <x v="3"/>
    <d v="2024-03-03T00:00:00"/>
    <d v="2024-04-12T00:00:00"/>
    <x v="5"/>
  </r>
  <r>
    <n v="1167"/>
    <n v="12785"/>
    <x v="0"/>
    <n v="91539.99"/>
    <x v="1"/>
    <n v="12"/>
    <x v="2"/>
    <d v="2024-09-23T00:00:00"/>
    <d v="2024-10-05T00:00:00"/>
    <x v="9"/>
  </r>
  <r>
    <n v="1168"/>
    <n v="15819"/>
    <x v="3"/>
    <n v="60557.18"/>
    <x v="0"/>
    <n v="43"/>
    <x v="3"/>
    <d v="2024-03-04T00:00:00"/>
    <d v="2024-04-16T00:00:00"/>
    <x v="5"/>
  </r>
  <r>
    <n v="1169"/>
    <n v="13659"/>
    <x v="3"/>
    <n v="179723.03"/>
    <x v="0"/>
    <n v="12"/>
    <x v="0"/>
    <d v="2024-02-08T00:00:00"/>
    <d v="2024-02-20T00:00:00"/>
    <x v="4"/>
  </r>
  <r>
    <n v="1170"/>
    <n v="14880"/>
    <x v="3"/>
    <n v="173005.04"/>
    <x v="1"/>
    <n v="19"/>
    <x v="0"/>
    <d v="2024-05-09T00:00:00"/>
    <d v="2024-05-28T00:00:00"/>
    <x v="3"/>
  </r>
  <r>
    <n v="1171"/>
    <n v="15588"/>
    <x v="3"/>
    <n v="36987.79"/>
    <x v="2"/>
    <m/>
    <x v="1"/>
    <d v="2024-04-24T00:00:00"/>
    <m/>
    <x v="10"/>
  </r>
  <r>
    <n v="1172"/>
    <n v="14802"/>
    <x v="3"/>
    <n v="10062.4"/>
    <x v="0"/>
    <n v="17"/>
    <x v="0"/>
    <d v="2024-02-14T00:00:00"/>
    <d v="2024-03-02T00:00:00"/>
    <x v="4"/>
  </r>
  <r>
    <n v="1173"/>
    <n v="14891"/>
    <x v="1"/>
    <n v="22547.18"/>
    <x v="0"/>
    <n v="28"/>
    <x v="0"/>
    <d v="2024-08-03T00:00:00"/>
    <d v="2024-08-31T00:00:00"/>
    <x v="8"/>
  </r>
  <r>
    <n v="1174"/>
    <n v="13525"/>
    <x v="3"/>
    <n v="60876.74"/>
    <x v="0"/>
    <n v="37"/>
    <x v="0"/>
    <d v="2024-03-28T00:00:00"/>
    <d v="2024-05-04T00:00:00"/>
    <x v="5"/>
  </r>
  <r>
    <n v="1175"/>
    <n v="13517"/>
    <x v="1"/>
    <n v="194590.66"/>
    <x v="0"/>
    <n v="18"/>
    <x v="2"/>
    <d v="2024-12-01T00:00:00"/>
    <d v="2024-12-19T00:00:00"/>
    <x v="11"/>
  </r>
  <r>
    <n v="1176"/>
    <n v="14777"/>
    <x v="3"/>
    <n v="113910.65"/>
    <x v="0"/>
    <n v="22"/>
    <x v="0"/>
    <d v="2024-06-25T00:00:00"/>
    <d v="2024-07-17T00:00:00"/>
    <x v="7"/>
  </r>
  <r>
    <n v="1177"/>
    <n v="14189"/>
    <x v="3"/>
    <n v="77786.039999999994"/>
    <x v="0"/>
    <n v="38"/>
    <x v="0"/>
    <d v="2024-09-21T00:00:00"/>
    <d v="2024-10-29T00:00:00"/>
    <x v="9"/>
  </r>
  <r>
    <n v="1178"/>
    <n v="16933"/>
    <x v="3"/>
    <n v="178299.64"/>
    <x v="1"/>
    <n v="32"/>
    <x v="1"/>
    <d v="2024-04-14T00:00:00"/>
    <d v="2024-05-16T00:00:00"/>
    <x v="10"/>
  </r>
  <r>
    <n v="1179"/>
    <n v="16137"/>
    <x v="0"/>
    <n v="93361.58"/>
    <x v="0"/>
    <n v="36"/>
    <x v="0"/>
    <d v="2024-11-29T00:00:00"/>
    <d v="2025-01-04T00:00:00"/>
    <x v="1"/>
  </r>
  <r>
    <n v="1180"/>
    <n v="16254"/>
    <x v="3"/>
    <n v="66471.53"/>
    <x v="0"/>
    <n v="28"/>
    <x v="0"/>
    <d v="2024-10-27T00:00:00"/>
    <d v="2024-11-24T00:00:00"/>
    <x v="6"/>
  </r>
  <r>
    <n v="1181"/>
    <n v="11913"/>
    <x v="1"/>
    <n v="188537.81"/>
    <x v="0"/>
    <n v="24"/>
    <x v="3"/>
    <d v="2024-06-19T00:00:00"/>
    <d v="2024-07-13T00:00:00"/>
    <x v="7"/>
  </r>
  <r>
    <n v="1182"/>
    <n v="17335"/>
    <x v="3"/>
    <n v="170655.94"/>
    <x v="1"/>
    <n v="33"/>
    <x v="1"/>
    <d v="2024-04-17T00:00:00"/>
    <d v="2024-05-20T00:00:00"/>
    <x v="10"/>
  </r>
  <r>
    <n v="1183"/>
    <n v="11150"/>
    <x v="1"/>
    <n v="169515.33"/>
    <x v="0"/>
    <n v="18"/>
    <x v="1"/>
    <d v="2024-12-20T00:00:00"/>
    <d v="2025-01-07T00:00:00"/>
    <x v="11"/>
  </r>
  <r>
    <n v="1184"/>
    <n v="14137"/>
    <x v="3"/>
    <n v="104895.52"/>
    <x v="0"/>
    <n v="12"/>
    <x v="1"/>
    <d v="2024-06-09T00:00:00"/>
    <d v="2024-06-21T00:00:00"/>
    <x v="7"/>
  </r>
  <r>
    <n v="1185"/>
    <n v="14136"/>
    <x v="1"/>
    <n v="158940.49"/>
    <x v="0"/>
    <n v="2"/>
    <x v="1"/>
    <d v="2024-10-09T00:00:00"/>
    <d v="2024-10-11T00:00:00"/>
    <x v="6"/>
  </r>
  <r>
    <n v="1186"/>
    <n v="17729"/>
    <x v="1"/>
    <n v="39973.910000000003"/>
    <x v="0"/>
    <n v="29"/>
    <x v="1"/>
    <d v="2024-02-09T00:00:00"/>
    <d v="2024-03-09T00:00:00"/>
    <x v="4"/>
  </r>
  <r>
    <n v="1187"/>
    <n v="11510"/>
    <x v="2"/>
    <n v="116778.48"/>
    <x v="0"/>
    <n v="19"/>
    <x v="1"/>
    <d v="2024-01-26T00:00:00"/>
    <d v="2024-02-14T00:00:00"/>
    <x v="0"/>
  </r>
  <r>
    <n v="1188"/>
    <n v="13915"/>
    <x v="3"/>
    <n v="196849.95"/>
    <x v="0"/>
    <n v="42"/>
    <x v="2"/>
    <d v="2024-03-23T00:00:00"/>
    <d v="2024-05-04T00:00:00"/>
    <x v="5"/>
  </r>
  <r>
    <n v="1189"/>
    <n v="16325"/>
    <x v="3"/>
    <n v="61736.89"/>
    <x v="0"/>
    <n v="21"/>
    <x v="0"/>
    <d v="2024-06-21T00:00:00"/>
    <d v="2024-07-12T00:00:00"/>
    <x v="7"/>
  </r>
  <r>
    <n v="1190"/>
    <n v="13252"/>
    <x v="3"/>
    <n v="159898.70000000001"/>
    <x v="0"/>
    <n v="8"/>
    <x v="1"/>
    <d v="2024-06-21T00:00:00"/>
    <d v="2024-06-29T00:00:00"/>
    <x v="7"/>
  </r>
  <r>
    <n v="1191"/>
    <n v="18935"/>
    <x v="0"/>
    <n v="100643.29"/>
    <x v="0"/>
    <n v="38"/>
    <x v="0"/>
    <d v="2024-10-08T00:00:00"/>
    <d v="2024-11-15T00:00:00"/>
    <x v="6"/>
  </r>
  <r>
    <n v="1192"/>
    <n v="13938"/>
    <x v="1"/>
    <n v="12762.11"/>
    <x v="0"/>
    <n v="17"/>
    <x v="0"/>
    <d v="2024-03-10T00:00:00"/>
    <d v="2024-03-27T00:00:00"/>
    <x v="5"/>
  </r>
  <r>
    <n v="1193"/>
    <n v="12511"/>
    <x v="1"/>
    <n v="153788.78"/>
    <x v="0"/>
    <n v="40"/>
    <x v="2"/>
    <d v="2024-11-18T00:00:00"/>
    <d v="2024-12-28T00:00:00"/>
    <x v="1"/>
  </r>
  <r>
    <n v="1194"/>
    <n v="11073"/>
    <x v="3"/>
    <n v="37870.980000000003"/>
    <x v="0"/>
    <n v="24"/>
    <x v="1"/>
    <d v="2024-01-06T00:00:00"/>
    <d v="2024-01-30T00:00:00"/>
    <x v="0"/>
  </r>
  <r>
    <n v="1195"/>
    <n v="12192"/>
    <x v="3"/>
    <n v="128137.35"/>
    <x v="0"/>
    <n v="33"/>
    <x v="3"/>
    <d v="2024-10-10T00:00:00"/>
    <d v="2024-11-12T00:00:00"/>
    <x v="6"/>
  </r>
  <r>
    <n v="1196"/>
    <n v="18207"/>
    <x v="3"/>
    <n v="21704.52"/>
    <x v="0"/>
    <n v="18"/>
    <x v="2"/>
    <d v="2024-07-13T00:00:00"/>
    <d v="2024-07-31T00:00:00"/>
    <x v="2"/>
  </r>
  <r>
    <n v="1197"/>
    <n v="17383"/>
    <x v="2"/>
    <n v="189639.14"/>
    <x v="2"/>
    <m/>
    <x v="3"/>
    <d v="2024-01-13T00:00:00"/>
    <m/>
    <x v="0"/>
  </r>
  <r>
    <n v="1198"/>
    <n v="15171"/>
    <x v="1"/>
    <n v="61886.16"/>
    <x v="0"/>
    <n v="43"/>
    <x v="0"/>
    <d v="2024-03-03T00:00:00"/>
    <d v="2024-04-15T00:00:00"/>
    <x v="5"/>
  </r>
  <r>
    <n v="1199"/>
    <n v="18298"/>
    <x v="2"/>
    <n v="49160.61"/>
    <x v="0"/>
    <n v="35"/>
    <x v="0"/>
    <d v="2024-01-13T00:00:00"/>
    <d v="2024-02-17T00:00:00"/>
    <x v="0"/>
  </r>
  <r>
    <n v="1200"/>
    <n v="14314"/>
    <x v="3"/>
    <n v="30181.599999999999"/>
    <x v="0"/>
    <n v="15"/>
    <x v="2"/>
    <d v="2024-09-05T00:00:00"/>
    <d v="2024-09-20T00:00:00"/>
    <x v="9"/>
  </r>
  <r>
    <n v="1201"/>
    <n v="16480"/>
    <x v="1"/>
    <n v="189470.43"/>
    <x v="2"/>
    <m/>
    <x v="2"/>
    <d v="2024-07-23T00:00:00"/>
    <m/>
    <x v="2"/>
  </r>
  <r>
    <n v="1202"/>
    <n v="12857"/>
    <x v="1"/>
    <n v="143821.23000000001"/>
    <x v="1"/>
    <n v="40"/>
    <x v="3"/>
    <d v="2024-09-09T00:00:00"/>
    <d v="2024-10-19T00:00:00"/>
    <x v="9"/>
  </r>
  <r>
    <n v="1203"/>
    <n v="14349"/>
    <x v="3"/>
    <n v="149623.87"/>
    <x v="0"/>
    <n v="26"/>
    <x v="1"/>
    <d v="2024-02-09T00:00:00"/>
    <d v="2024-03-06T00:00:00"/>
    <x v="4"/>
  </r>
  <r>
    <n v="1204"/>
    <n v="11428"/>
    <x v="0"/>
    <n v="102383.89"/>
    <x v="0"/>
    <n v="12"/>
    <x v="3"/>
    <d v="2024-06-13T00:00:00"/>
    <d v="2024-06-25T00:00:00"/>
    <x v="7"/>
  </r>
  <r>
    <n v="1205"/>
    <n v="16723"/>
    <x v="2"/>
    <n v="97571.92"/>
    <x v="0"/>
    <n v="16"/>
    <x v="2"/>
    <d v="2024-01-31T00:00:00"/>
    <d v="2024-02-16T00:00:00"/>
    <x v="0"/>
  </r>
  <r>
    <n v="1206"/>
    <n v="16779"/>
    <x v="0"/>
    <n v="26454.14"/>
    <x v="0"/>
    <n v="20"/>
    <x v="3"/>
    <d v="2024-01-17T00:00:00"/>
    <d v="2024-02-06T00:00:00"/>
    <x v="0"/>
  </r>
  <r>
    <n v="1207"/>
    <n v="17856"/>
    <x v="1"/>
    <n v="114169.01"/>
    <x v="1"/>
    <n v="44"/>
    <x v="2"/>
    <d v="2024-05-16T00:00:00"/>
    <d v="2024-06-29T00:00:00"/>
    <x v="3"/>
  </r>
  <r>
    <n v="1208"/>
    <n v="17300"/>
    <x v="3"/>
    <n v="53148.72"/>
    <x v="0"/>
    <n v="16"/>
    <x v="3"/>
    <d v="2024-12-30T00:00:00"/>
    <d v="2025-01-15T00:00:00"/>
    <x v="11"/>
  </r>
  <r>
    <n v="1209"/>
    <n v="16645"/>
    <x v="3"/>
    <n v="195543.34"/>
    <x v="0"/>
    <n v="16"/>
    <x v="2"/>
    <d v="2024-11-15T00:00:00"/>
    <d v="2024-12-01T00:00:00"/>
    <x v="1"/>
  </r>
  <r>
    <n v="1210"/>
    <n v="17670"/>
    <x v="2"/>
    <n v="160333.28"/>
    <x v="1"/>
    <n v="39"/>
    <x v="2"/>
    <d v="2024-11-08T00:00:00"/>
    <d v="2024-12-17T00:00:00"/>
    <x v="1"/>
  </r>
  <r>
    <n v="1211"/>
    <n v="12921"/>
    <x v="3"/>
    <n v="85533.45"/>
    <x v="1"/>
    <n v="16"/>
    <x v="2"/>
    <d v="2024-06-13T00:00:00"/>
    <d v="2024-06-29T00:00:00"/>
    <x v="7"/>
  </r>
  <r>
    <n v="1212"/>
    <n v="18166"/>
    <x v="1"/>
    <n v="34511.550000000003"/>
    <x v="0"/>
    <n v="10"/>
    <x v="1"/>
    <d v="2024-10-07T00:00:00"/>
    <d v="2024-10-17T00:00:00"/>
    <x v="6"/>
  </r>
  <r>
    <n v="1213"/>
    <n v="17244"/>
    <x v="1"/>
    <n v="158139.68"/>
    <x v="0"/>
    <n v="6"/>
    <x v="3"/>
    <d v="2024-08-10T00:00:00"/>
    <d v="2024-08-16T00:00:00"/>
    <x v="8"/>
  </r>
  <r>
    <n v="1214"/>
    <n v="10878"/>
    <x v="1"/>
    <n v="28800.48"/>
    <x v="0"/>
    <n v="20"/>
    <x v="3"/>
    <d v="2024-05-01T00:00:00"/>
    <d v="2024-05-21T00:00:00"/>
    <x v="3"/>
  </r>
  <r>
    <n v="1215"/>
    <n v="18502"/>
    <x v="2"/>
    <n v="41920.080000000002"/>
    <x v="1"/>
    <n v="25"/>
    <x v="3"/>
    <d v="2024-03-18T00:00:00"/>
    <d v="2024-04-12T00:00:00"/>
    <x v="5"/>
  </r>
  <r>
    <n v="1216"/>
    <n v="19306"/>
    <x v="3"/>
    <n v="46246.5"/>
    <x v="1"/>
    <n v="30"/>
    <x v="2"/>
    <d v="2024-11-08T00:00:00"/>
    <d v="2024-12-08T00:00:00"/>
    <x v="1"/>
  </r>
  <r>
    <n v="1217"/>
    <n v="11321"/>
    <x v="3"/>
    <n v="113593.67"/>
    <x v="0"/>
    <n v="6"/>
    <x v="3"/>
    <d v="2024-11-22T00:00:00"/>
    <d v="2024-11-28T00:00:00"/>
    <x v="1"/>
  </r>
  <r>
    <n v="1218"/>
    <n v="14375"/>
    <x v="3"/>
    <n v="158476.04999999999"/>
    <x v="0"/>
    <n v="23"/>
    <x v="3"/>
    <d v="2024-03-28T00:00:00"/>
    <d v="2024-04-20T00:00:00"/>
    <x v="5"/>
  </r>
  <r>
    <n v="1219"/>
    <n v="19158"/>
    <x v="3"/>
    <n v="66291.399999999994"/>
    <x v="1"/>
    <n v="14"/>
    <x v="2"/>
    <d v="2024-04-22T00:00:00"/>
    <d v="2024-05-06T00:00:00"/>
    <x v="10"/>
  </r>
  <r>
    <n v="1220"/>
    <n v="18886"/>
    <x v="3"/>
    <n v="21510.61"/>
    <x v="0"/>
    <n v="30"/>
    <x v="0"/>
    <d v="2024-04-09T00:00:00"/>
    <d v="2024-05-09T00:00:00"/>
    <x v="10"/>
  </r>
  <r>
    <n v="1221"/>
    <n v="15005"/>
    <x v="3"/>
    <n v="95585"/>
    <x v="0"/>
    <n v="17"/>
    <x v="2"/>
    <d v="2024-10-29T00:00:00"/>
    <d v="2024-11-15T00:00:00"/>
    <x v="6"/>
  </r>
  <r>
    <n v="1222"/>
    <n v="18462"/>
    <x v="0"/>
    <n v="150881.5"/>
    <x v="1"/>
    <n v="37"/>
    <x v="3"/>
    <d v="2024-08-26T00:00:00"/>
    <d v="2024-10-02T00:00:00"/>
    <x v="8"/>
  </r>
  <r>
    <n v="1223"/>
    <n v="15636"/>
    <x v="2"/>
    <n v="48224.45"/>
    <x v="0"/>
    <n v="18"/>
    <x v="2"/>
    <d v="2024-12-11T00:00:00"/>
    <d v="2024-12-29T00:00:00"/>
    <x v="11"/>
  </r>
  <r>
    <n v="1224"/>
    <n v="15220"/>
    <x v="3"/>
    <n v="47885.29"/>
    <x v="0"/>
    <n v="21"/>
    <x v="0"/>
    <d v="2024-04-20T00:00:00"/>
    <d v="2024-05-11T00:00:00"/>
    <x v="10"/>
  </r>
  <r>
    <n v="1225"/>
    <n v="19603"/>
    <x v="3"/>
    <n v="189709.27"/>
    <x v="1"/>
    <n v="15"/>
    <x v="2"/>
    <d v="2024-03-30T00:00:00"/>
    <d v="2024-04-14T00:00:00"/>
    <x v="5"/>
  </r>
  <r>
    <n v="1226"/>
    <n v="13027"/>
    <x v="2"/>
    <n v="191059.98"/>
    <x v="1"/>
    <n v="7"/>
    <x v="3"/>
    <d v="2024-05-18T00:00:00"/>
    <d v="2024-05-25T00:00:00"/>
    <x v="3"/>
  </r>
  <r>
    <n v="1227"/>
    <n v="13124"/>
    <x v="3"/>
    <n v="198140.82"/>
    <x v="0"/>
    <n v="23"/>
    <x v="0"/>
    <d v="2024-05-14T00:00:00"/>
    <d v="2024-06-06T00:00:00"/>
    <x v="3"/>
  </r>
  <r>
    <n v="1228"/>
    <n v="11753"/>
    <x v="3"/>
    <n v="162493.62"/>
    <x v="0"/>
    <n v="41"/>
    <x v="1"/>
    <d v="2024-01-12T00:00:00"/>
    <d v="2024-02-22T00:00:00"/>
    <x v="0"/>
  </r>
  <r>
    <n v="1229"/>
    <n v="18186"/>
    <x v="3"/>
    <n v="41695.910000000003"/>
    <x v="0"/>
    <n v="10"/>
    <x v="3"/>
    <d v="2024-08-31T00:00:00"/>
    <d v="2024-09-10T00:00:00"/>
    <x v="8"/>
  </r>
  <r>
    <n v="1230"/>
    <n v="15099"/>
    <x v="1"/>
    <n v="46336.4"/>
    <x v="0"/>
    <n v="33"/>
    <x v="0"/>
    <d v="2024-06-30T00:00:00"/>
    <d v="2024-08-02T00:00:00"/>
    <x v="7"/>
  </r>
  <r>
    <n v="1231"/>
    <n v="14335"/>
    <x v="3"/>
    <n v="71343.92"/>
    <x v="0"/>
    <n v="25"/>
    <x v="0"/>
    <d v="2024-07-13T00:00:00"/>
    <d v="2024-08-07T00:00:00"/>
    <x v="2"/>
  </r>
  <r>
    <n v="1232"/>
    <n v="13285"/>
    <x v="2"/>
    <n v="67035.839999999997"/>
    <x v="1"/>
    <n v="34"/>
    <x v="1"/>
    <d v="2024-12-27T00:00:00"/>
    <d v="2025-01-30T00:00:00"/>
    <x v="11"/>
  </r>
  <r>
    <n v="1233"/>
    <n v="18552"/>
    <x v="3"/>
    <n v="191522.91"/>
    <x v="0"/>
    <n v="14"/>
    <x v="2"/>
    <d v="2024-05-01T00:00:00"/>
    <d v="2024-05-15T00:00:00"/>
    <x v="3"/>
  </r>
  <r>
    <n v="1234"/>
    <n v="18925"/>
    <x v="1"/>
    <n v="158869.43"/>
    <x v="0"/>
    <n v="36"/>
    <x v="2"/>
    <d v="2024-02-22T00:00:00"/>
    <d v="2024-03-29T00:00:00"/>
    <x v="4"/>
  </r>
  <r>
    <n v="1235"/>
    <n v="10851"/>
    <x v="3"/>
    <n v="146181.71"/>
    <x v="0"/>
    <n v="7"/>
    <x v="3"/>
    <d v="2024-12-21T00:00:00"/>
    <d v="2024-12-28T00:00:00"/>
    <x v="11"/>
  </r>
  <r>
    <n v="1236"/>
    <n v="10859"/>
    <x v="3"/>
    <n v="41262.83"/>
    <x v="2"/>
    <m/>
    <x v="1"/>
    <d v="2024-06-21T00:00:00"/>
    <m/>
    <x v="7"/>
  </r>
  <r>
    <n v="1237"/>
    <n v="11350"/>
    <x v="1"/>
    <n v="182357.48"/>
    <x v="0"/>
    <n v="31"/>
    <x v="2"/>
    <d v="2024-06-27T00:00:00"/>
    <d v="2024-07-28T00:00:00"/>
    <x v="7"/>
  </r>
  <r>
    <n v="1238"/>
    <n v="14918"/>
    <x v="1"/>
    <n v="166434.72"/>
    <x v="0"/>
    <n v="39"/>
    <x v="1"/>
    <d v="2024-10-19T00:00:00"/>
    <d v="2024-11-27T00:00:00"/>
    <x v="6"/>
  </r>
  <r>
    <n v="1239"/>
    <n v="15730"/>
    <x v="1"/>
    <n v="36910.160000000003"/>
    <x v="0"/>
    <n v="17"/>
    <x v="2"/>
    <d v="2024-02-28T00:00:00"/>
    <d v="2024-03-16T00:00:00"/>
    <x v="4"/>
  </r>
  <r>
    <n v="1240"/>
    <n v="10326"/>
    <x v="1"/>
    <n v="174878.21"/>
    <x v="0"/>
    <n v="2"/>
    <x v="0"/>
    <d v="2024-02-23T00:00:00"/>
    <d v="2024-02-25T00:00:00"/>
    <x v="4"/>
  </r>
  <r>
    <n v="1241"/>
    <n v="12120"/>
    <x v="2"/>
    <n v="58088.27"/>
    <x v="0"/>
    <n v="43"/>
    <x v="2"/>
    <d v="2024-09-13T00:00:00"/>
    <d v="2024-10-26T00:00:00"/>
    <x v="9"/>
  </r>
  <r>
    <n v="1242"/>
    <n v="10993"/>
    <x v="0"/>
    <n v="20769.599999999999"/>
    <x v="0"/>
    <n v="19"/>
    <x v="1"/>
    <d v="2024-09-01T00:00:00"/>
    <d v="2024-09-20T00:00:00"/>
    <x v="9"/>
  </r>
  <r>
    <n v="1243"/>
    <n v="15375"/>
    <x v="1"/>
    <n v="133080.35"/>
    <x v="0"/>
    <n v="23"/>
    <x v="0"/>
    <d v="2024-05-28T00:00:00"/>
    <d v="2024-06-20T00:00:00"/>
    <x v="3"/>
  </r>
  <r>
    <n v="1244"/>
    <n v="11766"/>
    <x v="3"/>
    <n v="132491.91"/>
    <x v="0"/>
    <n v="27"/>
    <x v="0"/>
    <d v="2024-10-10T00:00:00"/>
    <d v="2024-11-06T00:00:00"/>
    <x v="6"/>
  </r>
  <r>
    <n v="1245"/>
    <n v="19372"/>
    <x v="3"/>
    <n v="23511.74"/>
    <x v="0"/>
    <n v="15"/>
    <x v="0"/>
    <d v="2024-01-16T00:00:00"/>
    <d v="2024-01-31T00:00:00"/>
    <x v="0"/>
  </r>
  <r>
    <n v="1246"/>
    <n v="11964"/>
    <x v="3"/>
    <n v="67176.100000000006"/>
    <x v="0"/>
    <n v="38"/>
    <x v="1"/>
    <d v="2024-06-24T00:00:00"/>
    <d v="2024-08-01T00:00:00"/>
    <x v="7"/>
  </r>
  <r>
    <n v="1247"/>
    <n v="16601"/>
    <x v="1"/>
    <n v="198598.82"/>
    <x v="0"/>
    <n v="15"/>
    <x v="3"/>
    <d v="2024-01-28T00:00:00"/>
    <d v="2024-02-12T00:00:00"/>
    <x v="0"/>
  </r>
  <r>
    <n v="1248"/>
    <n v="12781"/>
    <x v="3"/>
    <n v="137293.20000000001"/>
    <x v="0"/>
    <n v="27"/>
    <x v="3"/>
    <d v="2024-05-08T00:00:00"/>
    <d v="2024-06-04T00:00:00"/>
    <x v="3"/>
  </r>
  <r>
    <n v="1249"/>
    <n v="17019"/>
    <x v="3"/>
    <n v="147364.66"/>
    <x v="0"/>
    <n v="37"/>
    <x v="3"/>
    <d v="2024-08-10T00:00:00"/>
    <d v="2024-09-16T00:00:00"/>
    <x v="8"/>
  </r>
  <r>
    <n v="1250"/>
    <n v="12905"/>
    <x v="0"/>
    <n v="46518.87"/>
    <x v="0"/>
    <n v="24"/>
    <x v="1"/>
    <d v="2024-08-31T00:00:00"/>
    <d v="2024-09-24T00:00:00"/>
    <x v="8"/>
  </r>
  <r>
    <n v="1251"/>
    <n v="18290"/>
    <x v="0"/>
    <n v="20362.5"/>
    <x v="0"/>
    <n v="3"/>
    <x v="0"/>
    <d v="2024-12-19T00:00:00"/>
    <d v="2024-12-22T00:00:00"/>
    <x v="11"/>
  </r>
  <r>
    <n v="1252"/>
    <n v="10243"/>
    <x v="2"/>
    <n v="58995.83"/>
    <x v="0"/>
    <n v="40"/>
    <x v="3"/>
    <d v="2024-08-25T00:00:00"/>
    <d v="2024-10-04T00:00:00"/>
    <x v="8"/>
  </r>
  <r>
    <n v="1253"/>
    <n v="14037"/>
    <x v="3"/>
    <n v="53535.19"/>
    <x v="0"/>
    <n v="8"/>
    <x v="1"/>
    <d v="2024-08-19T00:00:00"/>
    <d v="2024-08-27T00:00:00"/>
    <x v="8"/>
  </r>
  <r>
    <n v="1254"/>
    <n v="17938"/>
    <x v="1"/>
    <n v="50736.1"/>
    <x v="0"/>
    <n v="40"/>
    <x v="3"/>
    <d v="2024-11-21T00:00:00"/>
    <d v="2024-12-31T00:00:00"/>
    <x v="1"/>
  </r>
  <r>
    <n v="1255"/>
    <n v="19692"/>
    <x v="3"/>
    <n v="42587.09"/>
    <x v="2"/>
    <m/>
    <x v="2"/>
    <d v="2024-04-01T00:00:00"/>
    <m/>
    <x v="10"/>
  </r>
  <r>
    <n v="1256"/>
    <n v="15494"/>
    <x v="3"/>
    <n v="117077.36"/>
    <x v="1"/>
    <n v="29"/>
    <x v="3"/>
    <d v="2024-01-03T00:00:00"/>
    <d v="2024-02-01T00:00:00"/>
    <x v="0"/>
  </r>
  <r>
    <n v="1257"/>
    <n v="12709"/>
    <x v="3"/>
    <n v="68980.179999999993"/>
    <x v="0"/>
    <n v="39"/>
    <x v="3"/>
    <d v="2024-03-21T00:00:00"/>
    <d v="2024-04-29T00:00:00"/>
    <x v="5"/>
  </r>
  <r>
    <n v="1258"/>
    <n v="17701"/>
    <x v="3"/>
    <n v="164967.28"/>
    <x v="0"/>
    <n v="21"/>
    <x v="0"/>
    <d v="2024-02-13T00:00:00"/>
    <d v="2024-03-05T00:00:00"/>
    <x v="4"/>
  </r>
  <r>
    <n v="1259"/>
    <n v="17795"/>
    <x v="3"/>
    <n v="40869.75"/>
    <x v="0"/>
    <n v="19"/>
    <x v="1"/>
    <d v="2024-06-03T00:00:00"/>
    <d v="2024-06-22T00:00:00"/>
    <x v="7"/>
  </r>
  <r>
    <n v="1260"/>
    <n v="17088"/>
    <x v="0"/>
    <n v="95602.28"/>
    <x v="0"/>
    <n v="25"/>
    <x v="0"/>
    <d v="2024-01-24T00:00:00"/>
    <d v="2024-02-18T00:00:00"/>
    <x v="0"/>
  </r>
  <r>
    <n v="1261"/>
    <n v="11047"/>
    <x v="3"/>
    <n v="7663.28"/>
    <x v="0"/>
    <n v="34"/>
    <x v="0"/>
    <d v="2024-04-08T00:00:00"/>
    <d v="2024-05-12T00:00:00"/>
    <x v="10"/>
  </r>
  <r>
    <n v="1262"/>
    <n v="14378"/>
    <x v="1"/>
    <n v="98928.05"/>
    <x v="0"/>
    <n v="27"/>
    <x v="0"/>
    <d v="2024-06-19T00:00:00"/>
    <d v="2024-07-16T00:00:00"/>
    <x v="7"/>
  </r>
  <r>
    <n v="1263"/>
    <n v="19507"/>
    <x v="1"/>
    <n v="15888.45"/>
    <x v="0"/>
    <n v="20"/>
    <x v="0"/>
    <d v="2024-05-27T00:00:00"/>
    <d v="2024-06-16T00:00:00"/>
    <x v="3"/>
  </r>
  <r>
    <n v="1264"/>
    <n v="19578"/>
    <x v="3"/>
    <n v="195656.08"/>
    <x v="1"/>
    <n v="43"/>
    <x v="0"/>
    <d v="2024-05-02T00:00:00"/>
    <d v="2024-06-14T00:00:00"/>
    <x v="3"/>
  </r>
  <r>
    <n v="1265"/>
    <n v="16544"/>
    <x v="3"/>
    <n v="159165.47"/>
    <x v="0"/>
    <n v="14"/>
    <x v="3"/>
    <d v="2024-04-21T00:00:00"/>
    <d v="2024-05-05T00:00:00"/>
    <x v="10"/>
  </r>
  <r>
    <n v="1266"/>
    <n v="16711"/>
    <x v="3"/>
    <n v="100571.74"/>
    <x v="1"/>
    <n v="11"/>
    <x v="0"/>
    <d v="2024-05-09T00:00:00"/>
    <d v="2024-05-20T00:00:00"/>
    <x v="3"/>
  </r>
  <r>
    <n v="1267"/>
    <n v="17221"/>
    <x v="1"/>
    <n v="21884.53"/>
    <x v="1"/>
    <n v="15"/>
    <x v="0"/>
    <d v="2024-03-08T00:00:00"/>
    <d v="2024-03-23T00:00:00"/>
    <x v="5"/>
  </r>
  <r>
    <n v="1268"/>
    <n v="19929"/>
    <x v="3"/>
    <n v="120526.86"/>
    <x v="0"/>
    <n v="10"/>
    <x v="1"/>
    <d v="2024-12-12T00:00:00"/>
    <d v="2024-12-22T00:00:00"/>
    <x v="11"/>
  </r>
  <r>
    <n v="1269"/>
    <n v="18613"/>
    <x v="3"/>
    <n v="152958.93"/>
    <x v="0"/>
    <n v="12"/>
    <x v="2"/>
    <d v="2024-11-11T00:00:00"/>
    <d v="2024-11-23T00:00:00"/>
    <x v="1"/>
  </r>
  <r>
    <n v="1270"/>
    <n v="16992"/>
    <x v="3"/>
    <n v="42189.86"/>
    <x v="0"/>
    <n v="4"/>
    <x v="3"/>
    <d v="2024-08-04T00:00:00"/>
    <d v="2024-08-08T00:00:00"/>
    <x v="8"/>
  </r>
  <r>
    <n v="1271"/>
    <n v="18062"/>
    <x v="1"/>
    <n v="115800.63"/>
    <x v="0"/>
    <n v="41"/>
    <x v="3"/>
    <d v="2024-04-05T00:00:00"/>
    <d v="2024-05-16T00:00:00"/>
    <x v="10"/>
  </r>
  <r>
    <n v="1272"/>
    <n v="13801"/>
    <x v="2"/>
    <n v="163771.13"/>
    <x v="0"/>
    <n v="13"/>
    <x v="3"/>
    <d v="2024-05-24T00:00:00"/>
    <d v="2024-06-06T00:00:00"/>
    <x v="3"/>
  </r>
  <r>
    <n v="1273"/>
    <n v="15362"/>
    <x v="3"/>
    <n v="154808.32000000001"/>
    <x v="0"/>
    <n v="36"/>
    <x v="0"/>
    <d v="2024-02-02T00:00:00"/>
    <d v="2024-03-09T00:00:00"/>
    <x v="4"/>
  </r>
  <r>
    <n v="1274"/>
    <n v="15473"/>
    <x v="1"/>
    <n v="161583.44"/>
    <x v="0"/>
    <n v="40"/>
    <x v="0"/>
    <d v="2024-10-12T00:00:00"/>
    <d v="2024-11-21T00:00:00"/>
    <x v="6"/>
  </r>
  <r>
    <n v="1275"/>
    <n v="19603"/>
    <x v="1"/>
    <n v="176468.07"/>
    <x v="2"/>
    <m/>
    <x v="0"/>
    <d v="2024-01-05T00:00:00"/>
    <m/>
    <x v="0"/>
  </r>
  <r>
    <n v="1276"/>
    <n v="14570"/>
    <x v="2"/>
    <n v="187848.01"/>
    <x v="0"/>
    <n v="33"/>
    <x v="1"/>
    <d v="2024-04-27T00:00:00"/>
    <d v="2024-05-30T00:00:00"/>
    <x v="10"/>
  </r>
  <r>
    <n v="1277"/>
    <n v="12452"/>
    <x v="0"/>
    <n v="84076.63"/>
    <x v="2"/>
    <m/>
    <x v="2"/>
    <d v="2024-05-19T00:00:00"/>
    <m/>
    <x v="3"/>
  </r>
  <r>
    <n v="1278"/>
    <n v="12083"/>
    <x v="1"/>
    <n v="115909.97"/>
    <x v="0"/>
    <n v="15"/>
    <x v="0"/>
    <d v="2024-08-17T00:00:00"/>
    <d v="2024-09-01T00:00:00"/>
    <x v="8"/>
  </r>
  <r>
    <n v="1279"/>
    <n v="19542"/>
    <x v="1"/>
    <n v="159178.60999999999"/>
    <x v="1"/>
    <n v="2"/>
    <x v="2"/>
    <d v="2024-06-08T00:00:00"/>
    <d v="2024-06-10T00:00:00"/>
    <x v="7"/>
  </r>
  <r>
    <n v="1280"/>
    <n v="15163"/>
    <x v="0"/>
    <n v="140942.26"/>
    <x v="0"/>
    <n v="28"/>
    <x v="1"/>
    <d v="2024-10-20T00:00:00"/>
    <d v="2024-11-17T00:00:00"/>
    <x v="6"/>
  </r>
  <r>
    <n v="1281"/>
    <n v="14833"/>
    <x v="3"/>
    <n v="199126.44"/>
    <x v="0"/>
    <n v="38"/>
    <x v="3"/>
    <d v="2024-09-05T00:00:00"/>
    <d v="2024-10-13T00:00:00"/>
    <x v="9"/>
  </r>
  <r>
    <n v="1282"/>
    <n v="16801"/>
    <x v="3"/>
    <n v="7667.14"/>
    <x v="1"/>
    <n v="44"/>
    <x v="0"/>
    <d v="2024-09-29T00:00:00"/>
    <d v="2024-11-12T00:00:00"/>
    <x v="9"/>
  </r>
  <r>
    <n v="1283"/>
    <n v="13340"/>
    <x v="3"/>
    <n v="74250.98"/>
    <x v="0"/>
    <n v="2"/>
    <x v="2"/>
    <d v="2024-07-04T00:00:00"/>
    <d v="2024-07-06T00:00:00"/>
    <x v="2"/>
  </r>
  <r>
    <n v="1284"/>
    <n v="13844"/>
    <x v="0"/>
    <n v="59800.45"/>
    <x v="0"/>
    <n v="30"/>
    <x v="2"/>
    <d v="2024-12-30T00:00:00"/>
    <d v="2025-01-29T00:00:00"/>
    <x v="11"/>
  </r>
  <r>
    <n v="1285"/>
    <n v="10639"/>
    <x v="0"/>
    <n v="56151.59"/>
    <x v="0"/>
    <n v="25"/>
    <x v="0"/>
    <d v="2024-02-09T00:00:00"/>
    <d v="2024-03-05T00:00:00"/>
    <x v="4"/>
  </r>
  <r>
    <n v="1286"/>
    <n v="19766"/>
    <x v="3"/>
    <n v="48393.31"/>
    <x v="0"/>
    <n v="18"/>
    <x v="3"/>
    <d v="2024-08-11T00:00:00"/>
    <d v="2024-08-29T00:00:00"/>
    <x v="8"/>
  </r>
  <r>
    <n v="1287"/>
    <n v="18096"/>
    <x v="1"/>
    <n v="143279.15"/>
    <x v="0"/>
    <n v="36"/>
    <x v="3"/>
    <d v="2024-05-31T00:00:00"/>
    <d v="2024-07-06T00:00:00"/>
    <x v="3"/>
  </r>
  <r>
    <n v="1288"/>
    <n v="18151"/>
    <x v="3"/>
    <n v="21528.1"/>
    <x v="1"/>
    <n v="32"/>
    <x v="3"/>
    <d v="2024-05-19T00:00:00"/>
    <d v="2024-06-20T00:00:00"/>
    <x v="3"/>
  </r>
  <r>
    <n v="1289"/>
    <n v="18377"/>
    <x v="3"/>
    <n v="149613.72"/>
    <x v="0"/>
    <n v="43"/>
    <x v="1"/>
    <d v="2024-05-07T00:00:00"/>
    <d v="2024-06-19T00:00:00"/>
    <x v="3"/>
  </r>
  <r>
    <n v="1290"/>
    <n v="15400"/>
    <x v="2"/>
    <n v="140218.04"/>
    <x v="0"/>
    <n v="33"/>
    <x v="2"/>
    <d v="2024-12-16T00:00:00"/>
    <d v="2025-01-18T00:00:00"/>
    <x v="11"/>
  </r>
  <r>
    <n v="1291"/>
    <n v="11318"/>
    <x v="3"/>
    <n v="53906.81"/>
    <x v="1"/>
    <n v="20"/>
    <x v="2"/>
    <d v="2024-05-26T00:00:00"/>
    <d v="2024-06-15T00:00:00"/>
    <x v="3"/>
  </r>
  <r>
    <n v="1292"/>
    <n v="18719"/>
    <x v="3"/>
    <n v="54302.59"/>
    <x v="0"/>
    <n v="32"/>
    <x v="2"/>
    <d v="2024-10-11T00:00:00"/>
    <d v="2024-11-12T00:00:00"/>
    <x v="6"/>
  </r>
  <r>
    <n v="1293"/>
    <n v="13259"/>
    <x v="1"/>
    <n v="127627.81"/>
    <x v="0"/>
    <n v="40"/>
    <x v="1"/>
    <d v="2024-08-05T00:00:00"/>
    <d v="2024-09-14T00:00:00"/>
    <x v="8"/>
  </r>
  <r>
    <n v="1294"/>
    <n v="13483"/>
    <x v="1"/>
    <n v="153623.37"/>
    <x v="1"/>
    <n v="21"/>
    <x v="2"/>
    <d v="2024-08-07T00:00:00"/>
    <d v="2024-08-28T00:00:00"/>
    <x v="8"/>
  </r>
  <r>
    <n v="1295"/>
    <n v="13019"/>
    <x v="3"/>
    <n v="175914.69"/>
    <x v="0"/>
    <n v="29"/>
    <x v="1"/>
    <d v="2024-05-24T00:00:00"/>
    <d v="2024-06-22T00:00:00"/>
    <x v="3"/>
  </r>
  <r>
    <n v="1296"/>
    <n v="14779"/>
    <x v="1"/>
    <n v="171167.21"/>
    <x v="0"/>
    <n v="4"/>
    <x v="3"/>
    <d v="2024-11-24T00:00:00"/>
    <d v="2024-11-28T00:00:00"/>
    <x v="1"/>
  </r>
  <r>
    <n v="1297"/>
    <n v="19759"/>
    <x v="1"/>
    <n v="193152.18"/>
    <x v="0"/>
    <n v="33"/>
    <x v="0"/>
    <d v="2024-10-03T00:00:00"/>
    <d v="2024-11-05T00:00:00"/>
    <x v="6"/>
  </r>
  <r>
    <n v="1298"/>
    <n v="18766"/>
    <x v="3"/>
    <n v="118370.05"/>
    <x v="0"/>
    <n v="23"/>
    <x v="2"/>
    <d v="2024-08-29T00:00:00"/>
    <d v="2024-09-21T00:00:00"/>
    <x v="8"/>
  </r>
  <r>
    <n v="1299"/>
    <n v="11324"/>
    <x v="3"/>
    <n v="182187.83"/>
    <x v="0"/>
    <n v="43"/>
    <x v="2"/>
    <d v="2024-02-29T00:00:00"/>
    <d v="2024-04-12T00:00:00"/>
    <x v="4"/>
  </r>
  <r>
    <n v="1300"/>
    <n v="14404"/>
    <x v="1"/>
    <n v="162660.09"/>
    <x v="0"/>
    <n v="16"/>
    <x v="3"/>
    <d v="2024-04-07T00:00:00"/>
    <d v="2024-04-23T00:00:00"/>
    <x v="10"/>
  </r>
  <r>
    <n v="1301"/>
    <n v="19404"/>
    <x v="3"/>
    <n v="179460.19"/>
    <x v="1"/>
    <n v="39"/>
    <x v="0"/>
    <d v="2024-11-26T00:00:00"/>
    <d v="2025-01-04T00:00:00"/>
    <x v="1"/>
  </r>
  <r>
    <n v="1302"/>
    <n v="15937"/>
    <x v="2"/>
    <n v="7267.19"/>
    <x v="0"/>
    <n v="20"/>
    <x v="1"/>
    <d v="2024-06-29T00:00:00"/>
    <d v="2024-07-19T00:00:00"/>
    <x v="7"/>
  </r>
  <r>
    <n v="1303"/>
    <n v="11434"/>
    <x v="0"/>
    <n v="193351.08"/>
    <x v="0"/>
    <n v="32"/>
    <x v="0"/>
    <d v="2024-04-23T00:00:00"/>
    <d v="2024-05-25T00:00:00"/>
    <x v="10"/>
  </r>
  <r>
    <n v="1304"/>
    <n v="18729"/>
    <x v="2"/>
    <n v="97338.38"/>
    <x v="2"/>
    <m/>
    <x v="3"/>
    <d v="2024-04-12T00:00:00"/>
    <m/>
    <x v="10"/>
  </r>
  <r>
    <n v="1305"/>
    <n v="17554"/>
    <x v="3"/>
    <n v="160645.68"/>
    <x v="0"/>
    <n v="6"/>
    <x v="3"/>
    <d v="2024-12-01T00:00:00"/>
    <d v="2024-12-07T00:00:00"/>
    <x v="11"/>
  </r>
  <r>
    <n v="1306"/>
    <n v="14953"/>
    <x v="2"/>
    <n v="29804.799999999999"/>
    <x v="1"/>
    <n v="21"/>
    <x v="0"/>
    <d v="2024-11-14T00:00:00"/>
    <d v="2024-12-05T00:00:00"/>
    <x v="1"/>
  </r>
  <r>
    <n v="1307"/>
    <n v="19766"/>
    <x v="3"/>
    <n v="82208.509999999995"/>
    <x v="0"/>
    <n v="3"/>
    <x v="1"/>
    <d v="2024-02-26T00:00:00"/>
    <d v="2024-02-29T00:00:00"/>
    <x v="4"/>
  </r>
  <r>
    <n v="1308"/>
    <n v="18384"/>
    <x v="3"/>
    <n v="57934.83"/>
    <x v="1"/>
    <n v="22"/>
    <x v="1"/>
    <d v="2024-10-11T00:00:00"/>
    <d v="2024-11-02T00:00:00"/>
    <x v="6"/>
  </r>
  <r>
    <n v="1309"/>
    <n v="19378"/>
    <x v="3"/>
    <n v="61873.46"/>
    <x v="0"/>
    <n v="37"/>
    <x v="2"/>
    <d v="2024-05-08T00:00:00"/>
    <d v="2024-06-14T00:00:00"/>
    <x v="3"/>
  </r>
  <r>
    <n v="1310"/>
    <n v="18666"/>
    <x v="3"/>
    <n v="29034.85"/>
    <x v="0"/>
    <n v="29"/>
    <x v="1"/>
    <d v="2024-11-10T00:00:00"/>
    <d v="2024-12-09T00:00:00"/>
    <x v="1"/>
  </r>
  <r>
    <n v="1311"/>
    <n v="14269"/>
    <x v="1"/>
    <n v="162123.95000000001"/>
    <x v="0"/>
    <n v="21"/>
    <x v="0"/>
    <d v="2024-03-26T00:00:00"/>
    <d v="2024-04-16T00:00:00"/>
    <x v="5"/>
  </r>
  <r>
    <n v="1312"/>
    <n v="17378"/>
    <x v="3"/>
    <n v="6802.25"/>
    <x v="0"/>
    <n v="38"/>
    <x v="3"/>
    <d v="2024-07-18T00:00:00"/>
    <d v="2024-08-25T00:00:00"/>
    <x v="2"/>
  </r>
  <r>
    <n v="1313"/>
    <n v="12437"/>
    <x v="3"/>
    <n v="65938.559999999998"/>
    <x v="1"/>
    <n v="40"/>
    <x v="2"/>
    <d v="2024-03-11T00:00:00"/>
    <d v="2024-04-20T00:00:00"/>
    <x v="5"/>
  </r>
  <r>
    <n v="1314"/>
    <n v="14552"/>
    <x v="1"/>
    <n v="39010.06"/>
    <x v="0"/>
    <n v="37"/>
    <x v="2"/>
    <d v="2024-12-10T00:00:00"/>
    <d v="2025-01-16T00:00:00"/>
    <x v="11"/>
  </r>
  <r>
    <n v="1315"/>
    <n v="11354"/>
    <x v="3"/>
    <n v="119862.59"/>
    <x v="0"/>
    <n v="12"/>
    <x v="3"/>
    <d v="2024-04-07T00:00:00"/>
    <d v="2024-04-19T00:00:00"/>
    <x v="10"/>
  </r>
  <r>
    <n v="1316"/>
    <n v="13400"/>
    <x v="1"/>
    <n v="54579.22"/>
    <x v="1"/>
    <n v="4"/>
    <x v="1"/>
    <d v="2024-10-26T00:00:00"/>
    <d v="2024-10-30T00:00:00"/>
    <x v="6"/>
  </r>
  <r>
    <n v="1317"/>
    <n v="17196"/>
    <x v="3"/>
    <n v="55504.7"/>
    <x v="0"/>
    <n v="38"/>
    <x v="3"/>
    <d v="2024-06-24T00:00:00"/>
    <d v="2024-08-01T00:00:00"/>
    <x v="7"/>
  </r>
  <r>
    <n v="1318"/>
    <n v="13754"/>
    <x v="0"/>
    <n v="100225.94"/>
    <x v="0"/>
    <n v="21"/>
    <x v="1"/>
    <d v="2024-08-20T00:00:00"/>
    <d v="2024-09-10T00:00:00"/>
    <x v="8"/>
  </r>
  <r>
    <n v="1319"/>
    <n v="16265"/>
    <x v="0"/>
    <n v="132274.35999999999"/>
    <x v="0"/>
    <n v="33"/>
    <x v="3"/>
    <d v="2024-03-15T00:00:00"/>
    <d v="2024-04-17T00:00:00"/>
    <x v="5"/>
  </r>
  <r>
    <n v="1320"/>
    <n v="10158"/>
    <x v="3"/>
    <n v="28654.42"/>
    <x v="0"/>
    <n v="26"/>
    <x v="0"/>
    <d v="2024-05-22T00:00:00"/>
    <d v="2024-06-17T00:00:00"/>
    <x v="3"/>
  </r>
  <r>
    <n v="1321"/>
    <n v="16741"/>
    <x v="3"/>
    <n v="39224.730000000003"/>
    <x v="0"/>
    <n v="22"/>
    <x v="1"/>
    <d v="2024-01-23T00:00:00"/>
    <d v="2024-02-14T00:00:00"/>
    <x v="0"/>
  </r>
  <r>
    <n v="1322"/>
    <n v="11837"/>
    <x v="3"/>
    <n v="53199.08"/>
    <x v="2"/>
    <m/>
    <x v="0"/>
    <d v="2024-06-29T00:00:00"/>
    <m/>
    <x v="7"/>
  </r>
  <r>
    <n v="1323"/>
    <n v="14611"/>
    <x v="0"/>
    <n v="194880.9"/>
    <x v="0"/>
    <n v="43"/>
    <x v="2"/>
    <d v="2024-02-14T00:00:00"/>
    <d v="2024-03-28T00:00:00"/>
    <x v="4"/>
  </r>
  <r>
    <n v="1324"/>
    <n v="11025"/>
    <x v="3"/>
    <n v="82444.740000000005"/>
    <x v="0"/>
    <n v="2"/>
    <x v="3"/>
    <d v="2024-04-01T00:00:00"/>
    <d v="2024-04-03T00:00:00"/>
    <x v="10"/>
  </r>
  <r>
    <n v="1325"/>
    <n v="17812"/>
    <x v="3"/>
    <n v="121803.07"/>
    <x v="1"/>
    <n v="24"/>
    <x v="2"/>
    <d v="2024-09-25T00:00:00"/>
    <d v="2024-10-19T00:00:00"/>
    <x v="9"/>
  </r>
  <r>
    <n v="1326"/>
    <n v="17246"/>
    <x v="3"/>
    <n v="52100.85"/>
    <x v="0"/>
    <n v="44"/>
    <x v="2"/>
    <d v="2024-02-03T00:00:00"/>
    <d v="2024-03-18T00:00:00"/>
    <x v="4"/>
  </r>
  <r>
    <n v="1327"/>
    <n v="10658"/>
    <x v="3"/>
    <n v="100639.61"/>
    <x v="0"/>
    <n v="25"/>
    <x v="2"/>
    <d v="2024-06-14T00:00:00"/>
    <d v="2024-07-09T00:00:00"/>
    <x v="7"/>
  </r>
  <r>
    <n v="1328"/>
    <n v="10677"/>
    <x v="3"/>
    <n v="19453.240000000002"/>
    <x v="0"/>
    <n v="26"/>
    <x v="2"/>
    <d v="2024-03-10T00:00:00"/>
    <d v="2024-04-05T00:00:00"/>
    <x v="5"/>
  </r>
  <r>
    <n v="1329"/>
    <n v="14046"/>
    <x v="0"/>
    <n v="11774.72"/>
    <x v="0"/>
    <n v="8"/>
    <x v="3"/>
    <d v="2024-12-29T00:00:00"/>
    <d v="2025-01-06T00:00:00"/>
    <x v="11"/>
  </r>
  <r>
    <n v="1330"/>
    <n v="13821"/>
    <x v="3"/>
    <n v="96403.04"/>
    <x v="0"/>
    <n v="39"/>
    <x v="2"/>
    <d v="2024-07-14T00:00:00"/>
    <d v="2024-08-22T00:00:00"/>
    <x v="2"/>
  </r>
  <r>
    <n v="1331"/>
    <n v="12375"/>
    <x v="3"/>
    <n v="82738.559999999998"/>
    <x v="0"/>
    <n v="40"/>
    <x v="3"/>
    <d v="2024-05-12T00:00:00"/>
    <d v="2024-06-21T00:00:00"/>
    <x v="3"/>
  </r>
  <r>
    <n v="1332"/>
    <n v="10275"/>
    <x v="0"/>
    <n v="31691.66"/>
    <x v="0"/>
    <n v="36"/>
    <x v="3"/>
    <d v="2024-09-03T00:00:00"/>
    <d v="2024-10-09T00:00:00"/>
    <x v="9"/>
  </r>
  <r>
    <n v="1333"/>
    <n v="16859"/>
    <x v="0"/>
    <n v="139082.28"/>
    <x v="1"/>
    <n v="15"/>
    <x v="0"/>
    <d v="2024-06-16T00:00:00"/>
    <d v="2024-07-01T00:00:00"/>
    <x v="7"/>
  </r>
  <r>
    <n v="1334"/>
    <n v="11588"/>
    <x v="3"/>
    <n v="198616.18"/>
    <x v="0"/>
    <n v="10"/>
    <x v="1"/>
    <d v="2024-10-03T00:00:00"/>
    <d v="2024-10-13T00:00:00"/>
    <x v="6"/>
  </r>
  <r>
    <n v="1335"/>
    <n v="14581"/>
    <x v="3"/>
    <n v="82151.13"/>
    <x v="2"/>
    <m/>
    <x v="1"/>
    <d v="2024-06-04T00:00:00"/>
    <m/>
    <x v="7"/>
  </r>
  <r>
    <n v="1336"/>
    <n v="10245"/>
    <x v="3"/>
    <n v="126788.93"/>
    <x v="0"/>
    <n v="39"/>
    <x v="3"/>
    <d v="2024-01-23T00:00:00"/>
    <d v="2024-03-02T00:00:00"/>
    <x v="0"/>
  </r>
  <r>
    <n v="1337"/>
    <n v="19080"/>
    <x v="2"/>
    <n v="192780.31"/>
    <x v="0"/>
    <n v="21"/>
    <x v="0"/>
    <d v="2024-07-18T00:00:00"/>
    <d v="2024-08-08T00:00:00"/>
    <x v="2"/>
  </r>
  <r>
    <n v="1338"/>
    <n v="16670"/>
    <x v="3"/>
    <n v="167149.32"/>
    <x v="0"/>
    <n v="42"/>
    <x v="3"/>
    <d v="2024-10-01T00:00:00"/>
    <d v="2024-11-12T00:00:00"/>
    <x v="6"/>
  </r>
  <r>
    <n v="1339"/>
    <n v="18192"/>
    <x v="2"/>
    <n v="95392.68"/>
    <x v="2"/>
    <m/>
    <x v="3"/>
    <d v="2024-02-19T00:00:00"/>
    <m/>
    <x v="4"/>
  </r>
  <r>
    <n v="1340"/>
    <n v="12184"/>
    <x v="1"/>
    <n v="148810.45000000001"/>
    <x v="0"/>
    <n v="42"/>
    <x v="3"/>
    <d v="2024-07-04T00:00:00"/>
    <d v="2024-08-15T00:00:00"/>
    <x v="2"/>
  </r>
  <r>
    <n v="1341"/>
    <n v="13251"/>
    <x v="1"/>
    <n v="29986.33"/>
    <x v="0"/>
    <n v="33"/>
    <x v="0"/>
    <d v="2024-01-20T00:00:00"/>
    <d v="2024-02-22T00:00:00"/>
    <x v="0"/>
  </r>
  <r>
    <n v="1342"/>
    <n v="15863"/>
    <x v="3"/>
    <n v="104860.25"/>
    <x v="1"/>
    <n v="37"/>
    <x v="1"/>
    <d v="2024-04-25T00:00:00"/>
    <d v="2024-06-01T00:00:00"/>
    <x v="10"/>
  </r>
  <r>
    <n v="1343"/>
    <n v="13051"/>
    <x v="3"/>
    <n v="59416.75"/>
    <x v="0"/>
    <n v="27"/>
    <x v="0"/>
    <d v="2024-04-01T00:00:00"/>
    <d v="2024-04-28T00:00:00"/>
    <x v="10"/>
  </r>
  <r>
    <n v="1344"/>
    <n v="19702"/>
    <x v="3"/>
    <n v="36426.92"/>
    <x v="1"/>
    <n v="6"/>
    <x v="2"/>
    <d v="2024-12-14T00:00:00"/>
    <d v="2024-12-20T00:00:00"/>
    <x v="11"/>
  </r>
  <r>
    <n v="1345"/>
    <n v="13771"/>
    <x v="3"/>
    <n v="88124.78"/>
    <x v="0"/>
    <n v="31"/>
    <x v="0"/>
    <d v="2024-12-04T00:00:00"/>
    <d v="2025-01-04T00:00:00"/>
    <x v="11"/>
  </r>
  <r>
    <n v="1346"/>
    <n v="19320"/>
    <x v="1"/>
    <n v="30547.84"/>
    <x v="1"/>
    <n v="18"/>
    <x v="0"/>
    <d v="2024-02-22T00:00:00"/>
    <d v="2024-03-11T00:00:00"/>
    <x v="4"/>
  </r>
  <r>
    <n v="1347"/>
    <n v="18889"/>
    <x v="2"/>
    <n v="141302.1"/>
    <x v="2"/>
    <m/>
    <x v="0"/>
    <d v="2024-05-02T00:00:00"/>
    <m/>
    <x v="3"/>
  </r>
  <r>
    <n v="1348"/>
    <n v="19280"/>
    <x v="1"/>
    <n v="93966.81"/>
    <x v="0"/>
    <n v="16"/>
    <x v="0"/>
    <d v="2024-12-06T00:00:00"/>
    <d v="2024-12-22T00:00:00"/>
    <x v="11"/>
  </r>
  <r>
    <n v="1349"/>
    <n v="12419"/>
    <x v="1"/>
    <n v="108573.2"/>
    <x v="0"/>
    <n v="2"/>
    <x v="1"/>
    <d v="2024-12-03T00:00:00"/>
    <d v="2024-12-05T00:00:00"/>
    <x v="11"/>
  </r>
  <r>
    <n v="1350"/>
    <n v="17396"/>
    <x v="3"/>
    <n v="33543.31"/>
    <x v="0"/>
    <n v="14"/>
    <x v="2"/>
    <d v="2024-09-21T00:00:00"/>
    <d v="2024-10-05T00:00:00"/>
    <x v="9"/>
  </r>
  <r>
    <n v="1351"/>
    <n v="12628"/>
    <x v="3"/>
    <n v="32255.47"/>
    <x v="2"/>
    <m/>
    <x v="1"/>
    <d v="2024-01-04T00:00:00"/>
    <m/>
    <x v="0"/>
  </r>
  <r>
    <n v="1352"/>
    <n v="17309"/>
    <x v="3"/>
    <n v="118766.01"/>
    <x v="0"/>
    <n v="31"/>
    <x v="1"/>
    <d v="2024-06-17T00:00:00"/>
    <d v="2024-07-18T00:00:00"/>
    <x v="7"/>
  </r>
  <r>
    <n v="1353"/>
    <n v="10685"/>
    <x v="1"/>
    <n v="197076.9"/>
    <x v="0"/>
    <n v="20"/>
    <x v="0"/>
    <d v="2024-10-07T00:00:00"/>
    <d v="2024-10-27T00:00:00"/>
    <x v="6"/>
  </r>
  <r>
    <n v="1354"/>
    <n v="12756"/>
    <x v="2"/>
    <n v="23768.86"/>
    <x v="0"/>
    <n v="3"/>
    <x v="3"/>
    <d v="2024-10-16T00:00:00"/>
    <d v="2024-10-19T00:00:00"/>
    <x v="6"/>
  </r>
  <r>
    <n v="1355"/>
    <n v="15023"/>
    <x v="1"/>
    <n v="60717.63"/>
    <x v="0"/>
    <n v="13"/>
    <x v="3"/>
    <d v="2024-03-13T00:00:00"/>
    <d v="2024-03-26T00:00:00"/>
    <x v="5"/>
  </r>
  <r>
    <n v="1356"/>
    <n v="19924"/>
    <x v="3"/>
    <n v="174544.53"/>
    <x v="0"/>
    <n v="41"/>
    <x v="1"/>
    <d v="2024-05-16T00:00:00"/>
    <d v="2024-06-26T00:00:00"/>
    <x v="3"/>
  </r>
  <r>
    <n v="1357"/>
    <n v="14835"/>
    <x v="3"/>
    <n v="19093.04"/>
    <x v="0"/>
    <n v="25"/>
    <x v="1"/>
    <d v="2024-12-03T00:00:00"/>
    <d v="2024-12-28T00:00:00"/>
    <x v="11"/>
  </r>
  <r>
    <n v="1358"/>
    <n v="11972"/>
    <x v="1"/>
    <n v="175797.72"/>
    <x v="0"/>
    <n v="12"/>
    <x v="0"/>
    <d v="2024-09-12T00:00:00"/>
    <d v="2024-09-24T00:00:00"/>
    <x v="9"/>
  </r>
  <r>
    <n v="1359"/>
    <n v="10710"/>
    <x v="3"/>
    <n v="107235.77"/>
    <x v="0"/>
    <n v="3"/>
    <x v="1"/>
    <d v="2024-05-20T00:00:00"/>
    <d v="2024-05-23T00:00:00"/>
    <x v="3"/>
  </r>
  <r>
    <n v="1360"/>
    <n v="18516"/>
    <x v="0"/>
    <n v="84612.02"/>
    <x v="0"/>
    <n v="2"/>
    <x v="0"/>
    <d v="2024-07-26T00:00:00"/>
    <d v="2024-07-28T00:00:00"/>
    <x v="2"/>
  </r>
  <r>
    <n v="1361"/>
    <n v="15085"/>
    <x v="0"/>
    <n v="65387.71"/>
    <x v="0"/>
    <n v="29"/>
    <x v="3"/>
    <d v="2024-09-16T00:00:00"/>
    <d v="2024-10-15T00:00:00"/>
    <x v="9"/>
  </r>
  <r>
    <n v="1362"/>
    <n v="15646"/>
    <x v="1"/>
    <n v="62937.85"/>
    <x v="1"/>
    <n v="5"/>
    <x v="3"/>
    <d v="2024-09-19T00:00:00"/>
    <d v="2024-09-24T00:00:00"/>
    <x v="9"/>
  </r>
  <r>
    <n v="1363"/>
    <n v="14893"/>
    <x v="3"/>
    <n v="64631.5"/>
    <x v="1"/>
    <n v="42"/>
    <x v="2"/>
    <d v="2024-09-27T00:00:00"/>
    <d v="2024-11-08T00:00:00"/>
    <x v="9"/>
  </r>
  <r>
    <n v="1364"/>
    <n v="12594"/>
    <x v="3"/>
    <n v="177536.6"/>
    <x v="0"/>
    <n v="31"/>
    <x v="3"/>
    <d v="2024-02-07T00:00:00"/>
    <d v="2024-03-09T00:00:00"/>
    <x v="4"/>
  </r>
  <r>
    <n v="1365"/>
    <n v="11092"/>
    <x v="3"/>
    <n v="146140.07"/>
    <x v="0"/>
    <n v="8"/>
    <x v="1"/>
    <d v="2024-07-21T00:00:00"/>
    <d v="2024-07-29T00:00:00"/>
    <x v="2"/>
  </r>
  <r>
    <n v="1366"/>
    <n v="12955"/>
    <x v="3"/>
    <n v="135595.99"/>
    <x v="0"/>
    <n v="23"/>
    <x v="3"/>
    <d v="2024-08-11T00:00:00"/>
    <d v="2024-09-03T00:00:00"/>
    <x v="8"/>
  </r>
  <r>
    <n v="1367"/>
    <n v="18403"/>
    <x v="3"/>
    <n v="160756.07999999999"/>
    <x v="0"/>
    <n v="27"/>
    <x v="0"/>
    <d v="2024-12-12T00:00:00"/>
    <d v="2025-01-08T00:00:00"/>
    <x v="11"/>
  </r>
  <r>
    <n v="1368"/>
    <n v="19773"/>
    <x v="1"/>
    <n v="55137.36"/>
    <x v="0"/>
    <n v="30"/>
    <x v="3"/>
    <d v="2024-02-21T00:00:00"/>
    <d v="2024-03-22T00:00:00"/>
    <x v="4"/>
  </r>
  <r>
    <n v="1369"/>
    <n v="19635"/>
    <x v="1"/>
    <n v="125518.35"/>
    <x v="0"/>
    <n v="26"/>
    <x v="2"/>
    <d v="2024-03-21T00:00:00"/>
    <d v="2024-04-16T00:00:00"/>
    <x v="5"/>
  </r>
  <r>
    <n v="1370"/>
    <n v="14143"/>
    <x v="3"/>
    <n v="94712.92"/>
    <x v="0"/>
    <n v="11"/>
    <x v="3"/>
    <d v="2024-12-21T00:00:00"/>
    <d v="2025-01-01T00:00:00"/>
    <x v="11"/>
  </r>
  <r>
    <n v="1371"/>
    <n v="18770"/>
    <x v="3"/>
    <n v="157576.12"/>
    <x v="2"/>
    <m/>
    <x v="0"/>
    <d v="2024-07-29T00:00:00"/>
    <m/>
    <x v="2"/>
  </r>
  <r>
    <n v="1372"/>
    <n v="17644"/>
    <x v="3"/>
    <n v="65304.94"/>
    <x v="0"/>
    <n v="15"/>
    <x v="0"/>
    <d v="2024-01-07T00:00:00"/>
    <d v="2024-01-22T00:00:00"/>
    <x v="0"/>
  </r>
  <r>
    <n v="1373"/>
    <n v="12997"/>
    <x v="3"/>
    <n v="130419.83"/>
    <x v="0"/>
    <n v="34"/>
    <x v="1"/>
    <d v="2024-12-28T00:00:00"/>
    <d v="2025-01-31T00:00:00"/>
    <x v="11"/>
  </r>
  <r>
    <n v="1374"/>
    <n v="15208"/>
    <x v="0"/>
    <n v="177031.42"/>
    <x v="0"/>
    <n v="6"/>
    <x v="3"/>
    <d v="2024-02-14T00:00:00"/>
    <d v="2024-02-20T00:00:00"/>
    <x v="4"/>
  </r>
  <r>
    <n v="1375"/>
    <n v="19946"/>
    <x v="3"/>
    <n v="83419.34"/>
    <x v="2"/>
    <m/>
    <x v="0"/>
    <d v="2024-11-10T00:00:00"/>
    <m/>
    <x v="1"/>
  </r>
  <r>
    <n v="1376"/>
    <n v="12979"/>
    <x v="3"/>
    <n v="17991.310000000001"/>
    <x v="0"/>
    <n v="23"/>
    <x v="2"/>
    <d v="2024-10-03T00:00:00"/>
    <d v="2024-10-26T00:00:00"/>
    <x v="6"/>
  </r>
  <r>
    <n v="1377"/>
    <n v="13605"/>
    <x v="3"/>
    <n v="105629.91"/>
    <x v="0"/>
    <n v="18"/>
    <x v="1"/>
    <d v="2024-09-15T00:00:00"/>
    <d v="2024-10-03T00:00:00"/>
    <x v="9"/>
  </r>
  <r>
    <n v="1378"/>
    <n v="10421"/>
    <x v="0"/>
    <n v="72464.639999999999"/>
    <x v="0"/>
    <n v="16"/>
    <x v="2"/>
    <d v="2024-05-21T00:00:00"/>
    <d v="2024-06-06T00:00:00"/>
    <x v="3"/>
  </r>
  <r>
    <n v="1379"/>
    <n v="10610"/>
    <x v="1"/>
    <n v="136083.95000000001"/>
    <x v="0"/>
    <n v="40"/>
    <x v="3"/>
    <d v="2024-09-14T00:00:00"/>
    <d v="2024-10-24T00:00:00"/>
    <x v="9"/>
  </r>
  <r>
    <n v="1380"/>
    <n v="18637"/>
    <x v="3"/>
    <n v="190451.42"/>
    <x v="0"/>
    <n v="41"/>
    <x v="3"/>
    <d v="2024-10-11T00:00:00"/>
    <d v="2024-11-21T00:00:00"/>
    <x v="6"/>
  </r>
  <r>
    <n v="1381"/>
    <n v="19152"/>
    <x v="1"/>
    <n v="99693.62"/>
    <x v="0"/>
    <n v="29"/>
    <x v="3"/>
    <d v="2024-02-06T00:00:00"/>
    <d v="2024-03-06T00:00:00"/>
    <x v="4"/>
  </r>
  <r>
    <n v="1382"/>
    <n v="10130"/>
    <x v="1"/>
    <n v="95907.09"/>
    <x v="0"/>
    <n v="3"/>
    <x v="1"/>
    <d v="2024-02-14T00:00:00"/>
    <d v="2024-02-17T00:00:00"/>
    <x v="4"/>
  </r>
  <r>
    <n v="1383"/>
    <n v="12647"/>
    <x v="2"/>
    <n v="132644.04"/>
    <x v="0"/>
    <n v="19"/>
    <x v="0"/>
    <d v="2024-04-29T00:00:00"/>
    <d v="2024-05-18T00:00:00"/>
    <x v="10"/>
  </r>
  <r>
    <n v="1384"/>
    <n v="16673"/>
    <x v="3"/>
    <n v="25182.01"/>
    <x v="0"/>
    <n v="28"/>
    <x v="1"/>
    <d v="2024-02-15T00:00:00"/>
    <d v="2024-03-14T00:00:00"/>
    <x v="4"/>
  </r>
  <r>
    <n v="1385"/>
    <n v="13729"/>
    <x v="0"/>
    <n v="54433.71"/>
    <x v="1"/>
    <n v="22"/>
    <x v="2"/>
    <d v="2024-05-19T00:00:00"/>
    <d v="2024-06-10T00:00:00"/>
    <x v="3"/>
  </r>
  <r>
    <n v="1386"/>
    <n v="14431"/>
    <x v="2"/>
    <n v="184200.97"/>
    <x v="0"/>
    <n v="24"/>
    <x v="1"/>
    <d v="2024-02-22T00:00:00"/>
    <d v="2024-03-17T00:00:00"/>
    <x v="4"/>
  </r>
  <r>
    <n v="1387"/>
    <n v="11024"/>
    <x v="2"/>
    <n v="135638.81"/>
    <x v="1"/>
    <n v="8"/>
    <x v="2"/>
    <d v="2024-10-27T00:00:00"/>
    <d v="2024-11-04T00:00:00"/>
    <x v="6"/>
  </r>
  <r>
    <n v="1388"/>
    <n v="19844"/>
    <x v="1"/>
    <n v="7621.59"/>
    <x v="0"/>
    <n v="20"/>
    <x v="1"/>
    <d v="2024-10-14T00:00:00"/>
    <d v="2024-11-03T00:00:00"/>
    <x v="6"/>
  </r>
  <r>
    <n v="1389"/>
    <n v="17039"/>
    <x v="1"/>
    <n v="44901.97"/>
    <x v="0"/>
    <n v="10"/>
    <x v="0"/>
    <d v="2024-09-30T00:00:00"/>
    <d v="2024-10-10T00:00:00"/>
    <x v="9"/>
  </r>
  <r>
    <n v="1390"/>
    <n v="10537"/>
    <x v="3"/>
    <n v="138153.26999999999"/>
    <x v="0"/>
    <n v="13"/>
    <x v="2"/>
    <d v="2024-09-25T00:00:00"/>
    <d v="2024-10-08T00:00:00"/>
    <x v="9"/>
  </r>
  <r>
    <n v="1391"/>
    <n v="14591"/>
    <x v="1"/>
    <n v="154057.84"/>
    <x v="0"/>
    <n v="31"/>
    <x v="3"/>
    <d v="2024-10-05T00:00:00"/>
    <d v="2024-11-05T00:00:00"/>
    <x v="6"/>
  </r>
  <r>
    <n v="1392"/>
    <n v="13083"/>
    <x v="1"/>
    <n v="168772.62"/>
    <x v="1"/>
    <n v="8"/>
    <x v="3"/>
    <d v="2024-03-02T00:00:00"/>
    <d v="2024-03-10T00:00:00"/>
    <x v="5"/>
  </r>
  <r>
    <n v="1393"/>
    <n v="10507"/>
    <x v="1"/>
    <n v="61974.48"/>
    <x v="2"/>
    <m/>
    <x v="1"/>
    <d v="2024-02-23T00:00:00"/>
    <m/>
    <x v="4"/>
  </r>
  <r>
    <n v="1394"/>
    <n v="13924"/>
    <x v="3"/>
    <n v="186550.58"/>
    <x v="0"/>
    <n v="18"/>
    <x v="3"/>
    <d v="2024-03-09T00:00:00"/>
    <d v="2024-03-27T00:00:00"/>
    <x v="5"/>
  </r>
  <r>
    <n v="1395"/>
    <n v="18872"/>
    <x v="1"/>
    <n v="112824.64"/>
    <x v="0"/>
    <n v="12"/>
    <x v="2"/>
    <d v="2024-08-29T00:00:00"/>
    <d v="2024-09-10T00:00:00"/>
    <x v="8"/>
  </r>
  <r>
    <n v="1396"/>
    <n v="12612"/>
    <x v="0"/>
    <n v="140825.10999999999"/>
    <x v="0"/>
    <n v="13"/>
    <x v="3"/>
    <d v="2024-09-26T00:00:00"/>
    <d v="2024-10-09T00:00:00"/>
    <x v="9"/>
  </r>
  <r>
    <n v="1397"/>
    <n v="14876"/>
    <x v="3"/>
    <n v="121364.08"/>
    <x v="0"/>
    <n v="4"/>
    <x v="0"/>
    <d v="2024-09-08T00:00:00"/>
    <d v="2024-09-12T00:00:00"/>
    <x v="9"/>
  </r>
  <r>
    <n v="1398"/>
    <n v="18951"/>
    <x v="0"/>
    <n v="28934.31"/>
    <x v="0"/>
    <n v="22"/>
    <x v="0"/>
    <d v="2024-12-19T00:00:00"/>
    <d v="2025-01-10T00:00:00"/>
    <x v="11"/>
  </r>
  <r>
    <n v="1399"/>
    <n v="14223"/>
    <x v="1"/>
    <n v="192807.36"/>
    <x v="0"/>
    <n v="15"/>
    <x v="1"/>
    <d v="2024-10-10T00:00:00"/>
    <d v="2024-10-25T00:00:00"/>
    <x v="6"/>
  </r>
  <r>
    <n v="1400"/>
    <n v="13147"/>
    <x v="0"/>
    <n v="28960.74"/>
    <x v="2"/>
    <m/>
    <x v="2"/>
    <d v="2024-12-16T00:00:00"/>
    <m/>
    <x v="11"/>
  </r>
  <r>
    <n v="1401"/>
    <n v="12193"/>
    <x v="3"/>
    <n v="54701.98"/>
    <x v="0"/>
    <n v="43"/>
    <x v="0"/>
    <d v="2024-03-11T00:00:00"/>
    <d v="2024-04-23T00:00:00"/>
    <x v="5"/>
  </r>
  <r>
    <n v="1402"/>
    <n v="18082"/>
    <x v="3"/>
    <n v="163657.44"/>
    <x v="2"/>
    <m/>
    <x v="0"/>
    <d v="2024-11-18T00:00:00"/>
    <m/>
    <x v="1"/>
  </r>
  <r>
    <n v="1403"/>
    <n v="12546"/>
    <x v="2"/>
    <n v="125626.41"/>
    <x v="1"/>
    <n v="11"/>
    <x v="2"/>
    <d v="2024-04-09T00:00:00"/>
    <d v="2024-04-20T00:00:00"/>
    <x v="10"/>
  </r>
  <r>
    <n v="1404"/>
    <n v="15061"/>
    <x v="3"/>
    <n v="168439.09"/>
    <x v="1"/>
    <n v="37"/>
    <x v="3"/>
    <d v="2024-03-01T00:00:00"/>
    <d v="2024-04-07T00:00:00"/>
    <x v="5"/>
  </r>
  <r>
    <n v="1405"/>
    <n v="14655"/>
    <x v="0"/>
    <n v="105568.56"/>
    <x v="0"/>
    <n v="11"/>
    <x v="3"/>
    <d v="2024-04-12T00:00:00"/>
    <d v="2024-04-23T00:00:00"/>
    <x v="10"/>
  </r>
  <r>
    <n v="1406"/>
    <n v="11222"/>
    <x v="3"/>
    <n v="78513.679999999993"/>
    <x v="0"/>
    <n v="18"/>
    <x v="1"/>
    <d v="2024-04-28T00:00:00"/>
    <d v="2024-05-16T00:00:00"/>
    <x v="10"/>
  </r>
  <r>
    <n v="1407"/>
    <n v="17750"/>
    <x v="1"/>
    <n v="184759.87"/>
    <x v="0"/>
    <n v="26"/>
    <x v="3"/>
    <d v="2024-01-17T00:00:00"/>
    <d v="2024-02-12T00:00:00"/>
    <x v="0"/>
  </r>
  <r>
    <n v="1408"/>
    <n v="15019"/>
    <x v="3"/>
    <n v="12069.2"/>
    <x v="0"/>
    <n v="28"/>
    <x v="2"/>
    <d v="2024-10-31T00:00:00"/>
    <d v="2024-11-28T00:00:00"/>
    <x v="6"/>
  </r>
  <r>
    <n v="1409"/>
    <n v="13574"/>
    <x v="1"/>
    <n v="171945.39"/>
    <x v="0"/>
    <n v="34"/>
    <x v="0"/>
    <d v="2024-07-09T00:00:00"/>
    <d v="2024-08-12T00:00:00"/>
    <x v="2"/>
  </r>
  <r>
    <n v="1410"/>
    <n v="15723"/>
    <x v="3"/>
    <n v="50009.47"/>
    <x v="2"/>
    <m/>
    <x v="3"/>
    <d v="2024-07-30T00:00:00"/>
    <m/>
    <x v="2"/>
  </r>
  <r>
    <n v="1411"/>
    <n v="16546"/>
    <x v="3"/>
    <n v="170503.58"/>
    <x v="1"/>
    <n v="14"/>
    <x v="1"/>
    <d v="2024-03-18T00:00:00"/>
    <d v="2024-04-01T00:00:00"/>
    <x v="5"/>
  </r>
  <r>
    <n v="1412"/>
    <n v="13023"/>
    <x v="3"/>
    <n v="32143.34"/>
    <x v="1"/>
    <n v="2"/>
    <x v="3"/>
    <d v="2024-02-15T00:00:00"/>
    <d v="2024-02-17T00:00:00"/>
    <x v="4"/>
  </r>
  <r>
    <n v="1413"/>
    <n v="13280"/>
    <x v="3"/>
    <n v="118142.7"/>
    <x v="1"/>
    <n v="32"/>
    <x v="2"/>
    <d v="2024-04-02T00:00:00"/>
    <d v="2024-05-04T00:00:00"/>
    <x v="10"/>
  </r>
  <r>
    <n v="1414"/>
    <n v="19263"/>
    <x v="2"/>
    <n v="178181.04"/>
    <x v="0"/>
    <n v="34"/>
    <x v="1"/>
    <d v="2024-01-13T00:00:00"/>
    <d v="2024-02-16T00:00:00"/>
    <x v="0"/>
  </r>
  <r>
    <n v="1415"/>
    <n v="10540"/>
    <x v="2"/>
    <n v="97340.23"/>
    <x v="0"/>
    <n v="22"/>
    <x v="3"/>
    <d v="2024-08-15T00:00:00"/>
    <d v="2024-09-06T00:00:00"/>
    <x v="8"/>
  </r>
  <r>
    <n v="1416"/>
    <n v="10510"/>
    <x v="3"/>
    <n v="150580.5"/>
    <x v="0"/>
    <n v="17"/>
    <x v="1"/>
    <d v="2024-10-27T00:00:00"/>
    <d v="2024-11-13T00:00:00"/>
    <x v="6"/>
  </r>
  <r>
    <n v="1417"/>
    <n v="16162"/>
    <x v="1"/>
    <n v="161910.97"/>
    <x v="0"/>
    <n v="40"/>
    <x v="2"/>
    <d v="2024-01-17T00:00:00"/>
    <d v="2024-02-26T00:00:00"/>
    <x v="0"/>
  </r>
  <r>
    <n v="1418"/>
    <n v="16702"/>
    <x v="3"/>
    <n v="148616.37"/>
    <x v="1"/>
    <n v="24"/>
    <x v="0"/>
    <d v="2024-10-29T00:00:00"/>
    <d v="2024-11-22T00:00:00"/>
    <x v="6"/>
  </r>
  <r>
    <n v="1419"/>
    <n v="10344"/>
    <x v="1"/>
    <n v="185439.3"/>
    <x v="0"/>
    <n v="11"/>
    <x v="2"/>
    <d v="2024-03-02T00:00:00"/>
    <d v="2024-03-13T00:00:00"/>
    <x v="5"/>
  </r>
  <r>
    <n v="1420"/>
    <n v="15179"/>
    <x v="0"/>
    <n v="92132.67"/>
    <x v="0"/>
    <n v="34"/>
    <x v="2"/>
    <d v="2024-02-12T00:00:00"/>
    <d v="2024-03-17T00:00:00"/>
    <x v="4"/>
  </r>
  <r>
    <n v="1421"/>
    <n v="18083"/>
    <x v="2"/>
    <n v="38759.46"/>
    <x v="0"/>
    <n v="23"/>
    <x v="2"/>
    <d v="2024-03-08T00:00:00"/>
    <d v="2024-03-31T00:00:00"/>
    <x v="5"/>
  </r>
  <r>
    <n v="1422"/>
    <n v="16372"/>
    <x v="3"/>
    <n v="14323.16"/>
    <x v="0"/>
    <n v="42"/>
    <x v="2"/>
    <d v="2024-07-30T00:00:00"/>
    <d v="2024-09-10T00:00:00"/>
    <x v="2"/>
  </r>
  <r>
    <n v="1423"/>
    <n v="12480"/>
    <x v="1"/>
    <n v="53059.67"/>
    <x v="0"/>
    <n v="7"/>
    <x v="0"/>
    <d v="2024-07-21T00:00:00"/>
    <d v="2024-07-28T00:00:00"/>
    <x v="2"/>
  </r>
  <r>
    <n v="1424"/>
    <n v="18590"/>
    <x v="3"/>
    <n v="32923.51"/>
    <x v="1"/>
    <n v="37"/>
    <x v="0"/>
    <d v="2024-08-01T00:00:00"/>
    <d v="2024-09-07T00:00:00"/>
    <x v="8"/>
  </r>
  <r>
    <n v="1425"/>
    <n v="15819"/>
    <x v="2"/>
    <n v="113800"/>
    <x v="0"/>
    <n v="11"/>
    <x v="1"/>
    <d v="2024-04-18T00:00:00"/>
    <d v="2024-04-29T00:00:00"/>
    <x v="10"/>
  </r>
  <r>
    <n v="1426"/>
    <n v="16742"/>
    <x v="3"/>
    <n v="41064.339999999997"/>
    <x v="0"/>
    <n v="17"/>
    <x v="3"/>
    <d v="2024-10-10T00:00:00"/>
    <d v="2024-10-27T00:00:00"/>
    <x v="6"/>
  </r>
  <r>
    <n v="1427"/>
    <n v="19486"/>
    <x v="1"/>
    <n v="12592.07"/>
    <x v="0"/>
    <n v="14"/>
    <x v="0"/>
    <d v="2024-04-03T00:00:00"/>
    <d v="2024-04-17T00:00:00"/>
    <x v="10"/>
  </r>
  <r>
    <n v="1428"/>
    <n v="16900"/>
    <x v="1"/>
    <n v="12018.02"/>
    <x v="0"/>
    <n v="21"/>
    <x v="0"/>
    <d v="2024-08-12T00:00:00"/>
    <d v="2024-09-02T00:00:00"/>
    <x v="8"/>
  </r>
  <r>
    <n v="1429"/>
    <n v="15638"/>
    <x v="1"/>
    <n v="167156.04999999999"/>
    <x v="0"/>
    <n v="5"/>
    <x v="3"/>
    <d v="2024-08-12T00:00:00"/>
    <d v="2024-08-17T00:00:00"/>
    <x v="8"/>
  </r>
  <r>
    <n v="1430"/>
    <n v="15900"/>
    <x v="3"/>
    <n v="120332.74"/>
    <x v="2"/>
    <m/>
    <x v="0"/>
    <d v="2024-08-26T00:00:00"/>
    <m/>
    <x v="8"/>
  </r>
  <r>
    <n v="1431"/>
    <n v="15523"/>
    <x v="2"/>
    <n v="74826.63"/>
    <x v="0"/>
    <n v="23"/>
    <x v="2"/>
    <d v="2024-04-27T00:00:00"/>
    <d v="2024-05-20T00:00:00"/>
    <x v="10"/>
  </r>
  <r>
    <n v="1432"/>
    <n v="13849"/>
    <x v="3"/>
    <n v="179374.47"/>
    <x v="0"/>
    <n v="30"/>
    <x v="2"/>
    <d v="2024-03-31T00:00:00"/>
    <d v="2024-04-30T00:00:00"/>
    <x v="5"/>
  </r>
  <r>
    <n v="1433"/>
    <n v="11777"/>
    <x v="1"/>
    <n v="18688.34"/>
    <x v="0"/>
    <n v="17"/>
    <x v="3"/>
    <d v="2024-12-05T00:00:00"/>
    <d v="2024-12-22T00:00:00"/>
    <x v="11"/>
  </r>
  <r>
    <n v="1434"/>
    <n v="18571"/>
    <x v="3"/>
    <n v="196162.8"/>
    <x v="0"/>
    <n v="44"/>
    <x v="1"/>
    <d v="2024-10-15T00:00:00"/>
    <d v="2024-11-28T00:00:00"/>
    <x v="6"/>
  </r>
  <r>
    <n v="1435"/>
    <n v="13763"/>
    <x v="3"/>
    <n v="125176.9"/>
    <x v="0"/>
    <n v="44"/>
    <x v="1"/>
    <d v="2024-10-07T00:00:00"/>
    <d v="2024-11-20T00:00:00"/>
    <x v="6"/>
  </r>
  <r>
    <n v="1436"/>
    <n v="19853"/>
    <x v="1"/>
    <n v="40775.53"/>
    <x v="0"/>
    <n v="24"/>
    <x v="3"/>
    <d v="2024-01-19T00:00:00"/>
    <d v="2024-02-12T00:00:00"/>
    <x v="0"/>
  </r>
  <r>
    <n v="1437"/>
    <n v="13058"/>
    <x v="3"/>
    <n v="137418.47"/>
    <x v="0"/>
    <n v="31"/>
    <x v="3"/>
    <d v="2024-06-23T00:00:00"/>
    <d v="2024-07-24T00:00:00"/>
    <x v="7"/>
  </r>
  <r>
    <n v="1438"/>
    <n v="19498"/>
    <x v="3"/>
    <n v="153859.35"/>
    <x v="1"/>
    <n v="31"/>
    <x v="2"/>
    <d v="2024-04-15T00:00:00"/>
    <d v="2024-05-16T00:00:00"/>
    <x v="10"/>
  </r>
  <r>
    <n v="1439"/>
    <n v="12465"/>
    <x v="3"/>
    <n v="88721.84"/>
    <x v="0"/>
    <n v="44"/>
    <x v="1"/>
    <d v="2024-10-15T00:00:00"/>
    <d v="2024-11-28T00:00:00"/>
    <x v="6"/>
  </r>
  <r>
    <n v="1440"/>
    <n v="14451"/>
    <x v="3"/>
    <n v="173018.36"/>
    <x v="0"/>
    <n v="4"/>
    <x v="0"/>
    <d v="2024-09-04T00:00:00"/>
    <d v="2024-09-08T00:00:00"/>
    <x v="9"/>
  </r>
  <r>
    <n v="1441"/>
    <n v="10015"/>
    <x v="1"/>
    <n v="34392.82"/>
    <x v="0"/>
    <n v="25"/>
    <x v="2"/>
    <d v="2024-11-18T00:00:00"/>
    <d v="2024-12-13T00:00:00"/>
    <x v="1"/>
  </r>
  <r>
    <n v="1442"/>
    <n v="14410"/>
    <x v="0"/>
    <n v="59373.33"/>
    <x v="0"/>
    <n v="38"/>
    <x v="3"/>
    <d v="2024-05-21T00:00:00"/>
    <d v="2024-06-28T00:00:00"/>
    <x v="3"/>
  </r>
  <r>
    <n v="1443"/>
    <n v="12580"/>
    <x v="3"/>
    <n v="23231.01"/>
    <x v="1"/>
    <n v="14"/>
    <x v="1"/>
    <d v="2024-10-24T00:00:00"/>
    <d v="2024-11-07T00:00:00"/>
    <x v="6"/>
  </r>
  <r>
    <n v="1444"/>
    <n v="15135"/>
    <x v="3"/>
    <n v="46121.18"/>
    <x v="2"/>
    <m/>
    <x v="0"/>
    <d v="2024-07-11T00:00:00"/>
    <m/>
    <x v="2"/>
  </r>
  <r>
    <n v="1445"/>
    <n v="17948"/>
    <x v="3"/>
    <n v="51552.12"/>
    <x v="0"/>
    <n v="33"/>
    <x v="0"/>
    <d v="2024-12-16T00:00:00"/>
    <d v="2025-01-18T00:00:00"/>
    <x v="11"/>
  </r>
  <r>
    <n v="1446"/>
    <n v="12592"/>
    <x v="3"/>
    <n v="183938.47"/>
    <x v="1"/>
    <n v="38"/>
    <x v="2"/>
    <d v="2024-10-29T00:00:00"/>
    <d v="2024-12-06T00:00:00"/>
    <x v="6"/>
  </r>
  <r>
    <n v="1447"/>
    <n v="14789"/>
    <x v="1"/>
    <n v="20231.39"/>
    <x v="1"/>
    <n v="13"/>
    <x v="1"/>
    <d v="2024-10-17T00:00:00"/>
    <d v="2024-10-30T00:00:00"/>
    <x v="6"/>
  </r>
  <r>
    <n v="1448"/>
    <n v="18260"/>
    <x v="1"/>
    <n v="88345.95"/>
    <x v="2"/>
    <m/>
    <x v="1"/>
    <d v="2024-11-27T00:00:00"/>
    <m/>
    <x v="1"/>
  </r>
  <r>
    <n v="1449"/>
    <n v="18602"/>
    <x v="3"/>
    <n v="108817.74"/>
    <x v="0"/>
    <n v="25"/>
    <x v="3"/>
    <d v="2024-07-26T00:00:00"/>
    <d v="2024-08-20T00:00:00"/>
    <x v="2"/>
  </r>
  <r>
    <n v="1450"/>
    <n v="17232"/>
    <x v="3"/>
    <n v="180245.15"/>
    <x v="0"/>
    <n v="17"/>
    <x v="1"/>
    <d v="2024-09-04T00:00:00"/>
    <d v="2024-09-21T00:00:00"/>
    <x v="9"/>
  </r>
  <r>
    <n v="1451"/>
    <n v="18093"/>
    <x v="3"/>
    <n v="199550.76"/>
    <x v="0"/>
    <n v="33"/>
    <x v="1"/>
    <d v="2024-05-21T00:00:00"/>
    <d v="2024-06-23T00:00:00"/>
    <x v="3"/>
  </r>
  <r>
    <n v="1452"/>
    <n v="10918"/>
    <x v="0"/>
    <n v="151910.68"/>
    <x v="1"/>
    <n v="35"/>
    <x v="2"/>
    <d v="2024-11-06T00:00:00"/>
    <d v="2024-12-11T00:00:00"/>
    <x v="1"/>
  </r>
  <r>
    <n v="1453"/>
    <n v="14835"/>
    <x v="2"/>
    <n v="194304.24"/>
    <x v="0"/>
    <n v="36"/>
    <x v="1"/>
    <d v="2024-08-09T00:00:00"/>
    <d v="2024-09-14T00:00:00"/>
    <x v="8"/>
  </r>
  <r>
    <n v="1454"/>
    <n v="19682"/>
    <x v="3"/>
    <n v="158484.72"/>
    <x v="0"/>
    <n v="33"/>
    <x v="0"/>
    <d v="2024-08-12T00:00:00"/>
    <d v="2024-09-14T00:00:00"/>
    <x v="8"/>
  </r>
  <r>
    <n v="1455"/>
    <n v="13343"/>
    <x v="3"/>
    <n v="192824.51"/>
    <x v="0"/>
    <n v="18"/>
    <x v="2"/>
    <d v="2024-12-19T00:00:00"/>
    <d v="2025-01-06T00:00:00"/>
    <x v="11"/>
  </r>
  <r>
    <n v="1456"/>
    <n v="12486"/>
    <x v="0"/>
    <n v="142917.79"/>
    <x v="0"/>
    <n v="3"/>
    <x v="2"/>
    <d v="2024-07-02T00:00:00"/>
    <d v="2024-07-05T00:00:00"/>
    <x v="2"/>
  </r>
  <r>
    <n v="1457"/>
    <n v="16873"/>
    <x v="2"/>
    <n v="20553.87"/>
    <x v="0"/>
    <n v="27"/>
    <x v="3"/>
    <d v="2024-12-29T00:00:00"/>
    <d v="2025-01-25T00:00:00"/>
    <x v="11"/>
  </r>
  <r>
    <n v="1458"/>
    <n v="10272"/>
    <x v="3"/>
    <n v="83374.44"/>
    <x v="1"/>
    <n v="18"/>
    <x v="1"/>
    <d v="2024-10-31T00:00:00"/>
    <d v="2024-11-18T00:00:00"/>
    <x v="6"/>
  </r>
  <r>
    <n v="1459"/>
    <n v="14554"/>
    <x v="3"/>
    <n v="131086.47"/>
    <x v="0"/>
    <n v="39"/>
    <x v="3"/>
    <d v="2024-07-06T00:00:00"/>
    <d v="2024-08-14T00:00:00"/>
    <x v="2"/>
  </r>
  <r>
    <n v="1460"/>
    <n v="10819"/>
    <x v="3"/>
    <n v="73390.11"/>
    <x v="1"/>
    <n v="3"/>
    <x v="0"/>
    <d v="2024-04-22T00:00:00"/>
    <d v="2024-04-25T00:00:00"/>
    <x v="10"/>
  </r>
  <r>
    <n v="1461"/>
    <n v="15292"/>
    <x v="1"/>
    <n v="58309.86"/>
    <x v="0"/>
    <n v="9"/>
    <x v="2"/>
    <d v="2024-06-29T00:00:00"/>
    <d v="2024-07-08T00:00:00"/>
    <x v="7"/>
  </r>
  <r>
    <n v="1462"/>
    <n v="12615"/>
    <x v="3"/>
    <n v="117592.86"/>
    <x v="0"/>
    <n v="7"/>
    <x v="2"/>
    <d v="2024-07-17T00:00:00"/>
    <d v="2024-07-24T00:00:00"/>
    <x v="2"/>
  </r>
  <r>
    <n v="1463"/>
    <n v="16069"/>
    <x v="3"/>
    <n v="187032.87"/>
    <x v="0"/>
    <n v="10"/>
    <x v="2"/>
    <d v="2024-03-10T00:00:00"/>
    <d v="2024-03-20T00:00:00"/>
    <x v="5"/>
  </r>
  <r>
    <n v="1464"/>
    <n v="15640"/>
    <x v="1"/>
    <n v="11821.47"/>
    <x v="0"/>
    <n v="2"/>
    <x v="0"/>
    <d v="2024-03-26T00:00:00"/>
    <d v="2024-03-28T00:00:00"/>
    <x v="5"/>
  </r>
  <r>
    <n v="1465"/>
    <n v="13984"/>
    <x v="3"/>
    <n v="155000.07999999999"/>
    <x v="0"/>
    <n v="6"/>
    <x v="0"/>
    <d v="2024-02-08T00:00:00"/>
    <d v="2024-02-14T00:00:00"/>
    <x v="4"/>
  </r>
  <r>
    <n v="1466"/>
    <n v="14890"/>
    <x v="1"/>
    <n v="145931.82"/>
    <x v="0"/>
    <n v="40"/>
    <x v="3"/>
    <d v="2024-05-10T00:00:00"/>
    <d v="2024-06-19T00:00:00"/>
    <x v="3"/>
  </r>
  <r>
    <n v="1467"/>
    <n v="17701"/>
    <x v="3"/>
    <n v="192970.92"/>
    <x v="0"/>
    <n v="10"/>
    <x v="3"/>
    <d v="2024-01-10T00:00:00"/>
    <d v="2024-01-20T00:00:00"/>
    <x v="0"/>
  </r>
  <r>
    <n v="1468"/>
    <n v="15191"/>
    <x v="3"/>
    <n v="186488.69"/>
    <x v="1"/>
    <n v="15"/>
    <x v="3"/>
    <d v="2024-01-03T00:00:00"/>
    <d v="2024-01-18T00:00:00"/>
    <x v="0"/>
  </r>
  <r>
    <n v="1469"/>
    <n v="12981"/>
    <x v="1"/>
    <n v="153635.35"/>
    <x v="0"/>
    <n v="28"/>
    <x v="1"/>
    <d v="2024-10-28T00:00:00"/>
    <d v="2024-11-25T00:00:00"/>
    <x v="6"/>
  </r>
  <r>
    <n v="1470"/>
    <n v="13039"/>
    <x v="3"/>
    <n v="106479.71"/>
    <x v="0"/>
    <n v="10"/>
    <x v="2"/>
    <d v="2024-05-29T00:00:00"/>
    <d v="2024-06-08T00:00:00"/>
    <x v="3"/>
  </r>
  <r>
    <n v="1471"/>
    <n v="14935"/>
    <x v="2"/>
    <n v="44832.17"/>
    <x v="0"/>
    <n v="37"/>
    <x v="2"/>
    <d v="2024-03-07T00:00:00"/>
    <d v="2024-04-13T00:00:00"/>
    <x v="5"/>
  </r>
  <r>
    <n v="1472"/>
    <n v="10602"/>
    <x v="1"/>
    <n v="111320.97"/>
    <x v="0"/>
    <n v="30"/>
    <x v="3"/>
    <d v="2024-07-11T00:00:00"/>
    <d v="2024-08-10T00:00:00"/>
    <x v="2"/>
  </r>
  <r>
    <n v="1473"/>
    <n v="17459"/>
    <x v="3"/>
    <n v="154243.64000000001"/>
    <x v="0"/>
    <n v="21"/>
    <x v="2"/>
    <d v="2024-04-06T00:00:00"/>
    <d v="2024-04-27T00:00:00"/>
    <x v="10"/>
  </r>
  <r>
    <n v="1474"/>
    <n v="17419"/>
    <x v="1"/>
    <n v="179655.5"/>
    <x v="0"/>
    <n v="16"/>
    <x v="3"/>
    <d v="2024-01-19T00:00:00"/>
    <d v="2024-02-04T00:00:00"/>
    <x v="0"/>
  </r>
  <r>
    <n v="1475"/>
    <n v="19624"/>
    <x v="3"/>
    <n v="158993.84"/>
    <x v="0"/>
    <n v="37"/>
    <x v="1"/>
    <d v="2024-11-13T00:00:00"/>
    <d v="2024-12-20T00:00:00"/>
    <x v="1"/>
  </r>
  <r>
    <n v="1476"/>
    <n v="18447"/>
    <x v="2"/>
    <n v="43077.05"/>
    <x v="0"/>
    <n v="4"/>
    <x v="1"/>
    <d v="2024-04-07T00:00:00"/>
    <d v="2024-04-11T00:00:00"/>
    <x v="10"/>
  </r>
  <r>
    <n v="1477"/>
    <n v="17692"/>
    <x v="3"/>
    <n v="121938.83"/>
    <x v="0"/>
    <n v="24"/>
    <x v="0"/>
    <d v="2024-02-26T00:00:00"/>
    <d v="2024-03-21T00:00:00"/>
    <x v="4"/>
  </r>
  <r>
    <n v="1478"/>
    <n v="12487"/>
    <x v="1"/>
    <n v="69773.820000000007"/>
    <x v="1"/>
    <n v="10"/>
    <x v="1"/>
    <d v="2024-12-16T00:00:00"/>
    <d v="2024-12-26T00:00:00"/>
    <x v="11"/>
  </r>
  <r>
    <n v="1479"/>
    <n v="11358"/>
    <x v="3"/>
    <n v="6795.11"/>
    <x v="0"/>
    <n v="31"/>
    <x v="3"/>
    <d v="2024-04-16T00:00:00"/>
    <d v="2024-05-17T00:00:00"/>
    <x v="10"/>
  </r>
  <r>
    <n v="1480"/>
    <n v="10689"/>
    <x v="3"/>
    <n v="44043.08"/>
    <x v="0"/>
    <n v="20"/>
    <x v="1"/>
    <d v="2024-03-28T00:00:00"/>
    <d v="2024-04-17T00:00:00"/>
    <x v="5"/>
  </r>
  <r>
    <n v="1481"/>
    <n v="18499"/>
    <x v="0"/>
    <n v="27078.03"/>
    <x v="1"/>
    <n v="39"/>
    <x v="0"/>
    <d v="2024-05-20T00:00:00"/>
    <d v="2024-06-28T00:00:00"/>
    <x v="3"/>
  </r>
  <r>
    <n v="1482"/>
    <n v="16131"/>
    <x v="0"/>
    <n v="169330.23"/>
    <x v="0"/>
    <n v="4"/>
    <x v="2"/>
    <d v="2024-05-23T00:00:00"/>
    <d v="2024-05-27T00:00:00"/>
    <x v="3"/>
  </r>
  <r>
    <n v="1483"/>
    <n v="19888"/>
    <x v="3"/>
    <n v="55408.72"/>
    <x v="0"/>
    <n v="4"/>
    <x v="3"/>
    <d v="2024-02-21T00:00:00"/>
    <d v="2024-02-25T00:00:00"/>
    <x v="4"/>
  </r>
  <r>
    <n v="1484"/>
    <n v="13166"/>
    <x v="3"/>
    <n v="60516.1"/>
    <x v="0"/>
    <n v="35"/>
    <x v="2"/>
    <d v="2024-07-30T00:00:00"/>
    <d v="2024-09-03T00:00:00"/>
    <x v="2"/>
  </r>
  <r>
    <n v="1485"/>
    <n v="18600"/>
    <x v="0"/>
    <n v="192187.63"/>
    <x v="0"/>
    <n v="3"/>
    <x v="0"/>
    <d v="2024-02-10T00:00:00"/>
    <d v="2024-02-13T00:00:00"/>
    <x v="4"/>
  </r>
  <r>
    <n v="1486"/>
    <n v="10825"/>
    <x v="2"/>
    <n v="78921.91"/>
    <x v="0"/>
    <n v="28"/>
    <x v="0"/>
    <d v="2024-10-30T00:00:00"/>
    <d v="2024-11-27T00:00:00"/>
    <x v="6"/>
  </r>
  <r>
    <n v="1487"/>
    <n v="11191"/>
    <x v="3"/>
    <n v="6869.2"/>
    <x v="0"/>
    <n v="24"/>
    <x v="0"/>
    <d v="2024-03-31T00:00:00"/>
    <d v="2024-04-24T00:00:00"/>
    <x v="5"/>
  </r>
  <r>
    <n v="1488"/>
    <n v="15647"/>
    <x v="3"/>
    <n v="60350"/>
    <x v="2"/>
    <m/>
    <x v="2"/>
    <d v="2024-02-08T00:00:00"/>
    <m/>
    <x v="4"/>
  </r>
  <r>
    <n v="1489"/>
    <n v="16785"/>
    <x v="3"/>
    <n v="28263.42"/>
    <x v="1"/>
    <n v="33"/>
    <x v="2"/>
    <d v="2024-01-13T00:00:00"/>
    <d v="2024-02-15T00:00:00"/>
    <x v="0"/>
  </r>
  <r>
    <n v="1490"/>
    <n v="16813"/>
    <x v="0"/>
    <n v="25047.67"/>
    <x v="0"/>
    <n v="36"/>
    <x v="2"/>
    <d v="2024-04-05T00:00:00"/>
    <d v="2024-05-11T00:00:00"/>
    <x v="10"/>
  </r>
  <r>
    <n v="1491"/>
    <n v="19966"/>
    <x v="3"/>
    <n v="20110.02"/>
    <x v="0"/>
    <n v="41"/>
    <x v="2"/>
    <d v="2024-04-18T00:00:00"/>
    <d v="2024-05-29T00:00:00"/>
    <x v="10"/>
  </r>
  <r>
    <n v="1492"/>
    <n v="15641"/>
    <x v="3"/>
    <n v="120685.6"/>
    <x v="0"/>
    <n v="19"/>
    <x v="0"/>
    <d v="2024-04-13T00:00:00"/>
    <d v="2024-05-02T00:00:00"/>
    <x v="10"/>
  </r>
  <r>
    <n v="1493"/>
    <n v="10533"/>
    <x v="1"/>
    <n v="41922.81"/>
    <x v="0"/>
    <n v="28"/>
    <x v="0"/>
    <d v="2024-12-19T00:00:00"/>
    <d v="2025-01-16T00:00:00"/>
    <x v="11"/>
  </r>
  <r>
    <n v="1494"/>
    <n v="16510"/>
    <x v="3"/>
    <n v="75442.34"/>
    <x v="0"/>
    <n v="12"/>
    <x v="3"/>
    <d v="2024-08-18T00:00:00"/>
    <d v="2024-08-30T00:00:00"/>
    <x v="8"/>
  </r>
  <r>
    <n v="1495"/>
    <n v="11207"/>
    <x v="3"/>
    <n v="173093.45"/>
    <x v="0"/>
    <n v="40"/>
    <x v="3"/>
    <d v="2024-02-12T00:00:00"/>
    <d v="2024-03-23T00:00:00"/>
    <x v="4"/>
  </r>
  <r>
    <n v="1496"/>
    <n v="18608"/>
    <x v="3"/>
    <n v="87745.94"/>
    <x v="0"/>
    <n v="20"/>
    <x v="2"/>
    <d v="2024-07-27T00:00:00"/>
    <d v="2024-08-16T00:00:00"/>
    <x v="2"/>
  </r>
  <r>
    <n v="1497"/>
    <n v="11237"/>
    <x v="3"/>
    <n v="183559.81"/>
    <x v="0"/>
    <n v="26"/>
    <x v="1"/>
    <d v="2024-03-28T00:00:00"/>
    <d v="2024-04-23T00:00:00"/>
    <x v="5"/>
  </r>
  <r>
    <n v="1498"/>
    <n v="14943"/>
    <x v="3"/>
    <n v="102097.92"/>
    <x v="2"/>
    <m/>
    <x v="1"/>
    <d v="2024-04-02T00:00:00"/>
    <m/>
    <x v="10"/>
  </r>
  <r>
    <n v="1499"/>
    <n v="14765"/>
    <x v="1"/>
    <n v="82773.14"/>
    <x v="0"/>
    <n v="32"/>
    <x v="0"/>
    <d v="2024-06-22T00:00:00"/>
    <d v="2024-07-24T00:00:00"/>
    <x v="7"/>
  </r>
  <r>
    <n v="1500"/>
    <n v="14836"/>
    <x v="3"/>
    <n v="151325.84"/>
    <x v="2"/>
    <m/>
    <x v="0"/>
    <d v="2024-05-05T00:00:00"/>
    <m/>
    <x v="3"/>
  </r>
  <r>
    <n v="1501"/>
    <n v="10459"/>
    <x v="1"/>
    <n v="19269.14"/>
    <x v="2"/>
    <m/>
    <x v="0"/>
    <d v="2024-04-18T00:00:00"/>
    <m/>
    <x v="10"/>
  </r>
  <r>
    <n v="1502"/>
    <n v="18841"/>
    <x v="0"/>
    <n v="22448.28"/>
    <x v="0"/>
    <n v="6"/>
    <x v="3"/>
    <d v="2024-02-16T00:00:00"/>
    <d v="2024-02-22T00:00:00"/>
    <x v="4"/>
  </r>
  <r>
    <n v="1503"/>
    <n v="10119"/>
    <x v="1"/>
    <n v="132134.87"/>
    <x v="1"/>
    <n v="15"/>
    <x v="3"/>
    <d v="2024-08-01T00:00:00"/>
    <d v="2024-08-16T00:00:00"/>
    <x v="8"/>
  </r>
  <r>
    <n v="1504"/>
    <n v="14768"/>
    <x v="3"/>
    <n v="99953.44"/>
    <x v="0"/>
    <n v="19"/>
    <x v="0"/>
    <d v="2024-04-01T00:00:00"/>
    <d v="2024-04-20T00:00:00"/>
    <x v="10"/>
  </r>
  <r>
    <n v="1505"/>
    <n v="15980"/>
    <x v="3"/>
    <n v="159130.97"/>
    <x v="0"/>
    <n v="37"/>
    <x v="0"/>
    <d v="2024-06-29T00:00:00"/>
    <d v="2024-08-05T00:00:00"/>
    <x v="7"/>
  </r>
  <r>
    <n v="1506"/>
    <n v="18509"/>
    <x v="3"/>
    <n v="183672.81"/>
    <x v="0"/>
    <n v="5"/>
    <x v="0"/>
    <d v="2024-02-10T00:00:00"/>
    <d v="2024-02-15T00:00:00"/>
    <x v="4"/>
  </r>
  <r>
    <n v="1507"/>
    <n v="16481"/>
    <x v="3"/>
    <n v="80731.539999999994"/>
    <x v="0"/>
    <n v="25"/>
    <x v="1"/>
    <d v="2024-09-15T00:00:00"/>
    <d v="2024-10-10T00:00:00"/>
    <x v="9"/>
  </r>
  <r>
    <n v="1508"/>
    <n v="16298"/>
    <x v="3"/>
    <n v="121299.96"/>
    <x v="0"/>
    <n v="14"/>
    <x v="3"/>
    <d v="2024-04-30T00:00:00"/>
    <d v="2024-05-14T00:00:00"/>
    <x v="10"/>
  </r>
  <r>
    <n v="1509"/>
    <n v="19059"/>
    <x v="1"/>
    <n v="102635.84"/>
    <x v="0"/>
    <n v="22"/>
    <x v="1"/>
    <d v="2024-03-17T00:00:00"/>
    <d v="2024-04-08T00:00:00"/>
    <x v="5"/>
  </r>
  <r>
    <n v="1510"/>
    <n v="13226"/>
    <x v="3"/>
    <n v="196414.07999999999"/>
    <x v="0"/>
    <n v="34"/>
    <x v="1"/>
    <d v="2024-04-04T00:00:00"/>
    <d v="2024-05-08T00:00:00"/>
    <x v="10"/>
  </r>
  <r>
    <n v="1511"/>
    <n v="18585"/>
    <x v="3"/>
    <n v="167061.46"/>
    <x v="0"/>
    <n v="21"/>
    <x v="0"/>
    <d v="2024-09-25T00:00:00"/>
    <d v="2024-10-16T00:00:00"/>
    <x v="9"/>
  </r>
  <r>
    <n v="1512"/>
    <n v="12552"/>
    <x v="3"/>
    <n v="182788.85"/>
    <x v="0"/>
    <n v="6"/>
    <x v="0"/>
    <d v="2024-12-26T00:00:00"/>
    <d v="2025-01-01T00:00:00"/>
    <x v="11"/>
  </r>
  <r>
    <n v="1513"/>
    <n v="15378"/>
    <x v="1"/>
    <n v="54596.32"/>
    <x v="0"/>
    <n v="25"/>
    <x v="2"/>
    <d v="2024-01-18T00:00:00"/>
    <d v="2024-02-12T00:00:00"/>
    <x v="0"/>
  </r>
  <r>
    <n v="1514"/>
    <n v="13228"/>
    <x v="3"/>
    <n v="155642.65"/>
    <x v="0"/>
    <n v="36"/>
    <x v="2"/>
    <d v="2024-10-19T00:00:00"/>
    <d v="2024-11-24T00:00:00"/>
    <x v="6"/>
  </r>
  <r>
    <n v="1515"/>
    <n v="10076"/>
    <x v="1"/>
    <n v="56767.28"/>
    <x v="0"/>
    <n v="31"/>
    <x v="1"/>
    <d v="2024-06-19T00:00:00"/>
    <d v="2024-07-20T00:00:00"/>
    <x v="7"/>
  </r>
  <r>
    <n v="1516"/>
    <n v="13410"/>
    <x v="3"/>
    <n v="45704.79"/>
    <x v="0"/>
    <n v="29"/>
    <x v="3"/>
    <d v="2024-06-10T00:00:00"/>
    <d v="2024-07-09T00:00:00"/>
    <x v="7"/>
  </r>
  <r>
    <n v="1517"/>
    <n v="10408"/>
    <x v="0"/>
    <n v="189131.9"/>
    <x v="0"/>
    <n v="8"/>
    <x v="0"/>
    <d v="2024-11-06T00:00:00"/>
    <d v="2024-11-14T00:00:00"/>
    <x v="1"/>
  </r>
  <r>
    <n v="1518"/>
    <n v="14092"/>
    <x v="0"/>
    <n v="8764.36"/>
    <x v="1"/>
    <n v="43"/>
    <x v="0"/>
    <d v="2024-02-21T00:00:00"/>
    <d v="2024-04-04T00:00:00"/>
    <x v="4"/>
  </r>
  <r>
    <n v="1519"/>
    <n v="12267"/>
    <x v="3"/>
    <n v="193250.8"/>
    <x v="0"/>
    <n v="36"/>
    <x v="1"/>
    <d v="2024-02-05T00:00:00"/>
    <d v="2024-03-12T00:00:00"/>
    <x v="4"/>
  </r>
  <r>
    <n v="1520"/>
    <n v="18935"/>
    <x v="3"/>
    <n v="34106.07"/>
    <x v="0"/>
    <n v="31"/>
    <x v="2"/>
    <d v="2024-07-05T00:00:00"/>
    <d v="2024-08-05T00:00:00"/>
    <x v="2"/>
  </r>
  <r>
    <n v="1521"/>
    <n v="14528"/>
    <x v="3"/>
    <n v="164790.43"/>
    <x v="0"/>
    <n v="35"/>
    <x v="3"/>
    <d v="2024-09-04T00:00:00"/>
    <d v="2024-10-09T00:00:00"/>
    <x v="9"/>
  </r>
  <r>
    <n v="1522"/>
    <n v="15574"/>
    <x v="3"/>
    <n v="58804.9"/>
    <x v="1"/>
    <n v="40"/>
    <x v="2"/>
    <d v="2024-02-21T00:00:00"/>
    <d v="2024-04-01T00:00:00"/>
    <x v="4"/>
  </r>
  <r>
    <n v="1523"/>
    <n v="15773"/>
    <x v="1"/>
    <n v="73386.95"/>
    <x v="0"/>
    <n v="10"/>
    <x v="2"/>
    <d v="2024-01-19T00:00:00"/>
    <d v="2024-01-29T00:00:00"/>
    <x v="0"/>
  </r>
  <r>
    <n v="1524"/>
    <n v="13834"/>
    <x v="0"/>
    <n v="47267.75"/>
    <x v="0"/>
    <n v="13"/>
    <x v="2"/>
    <d v="2024-04-01T00:00:00"/>
    <d v="2024-04-14T00:00:00"/>
    <x v="10"/>
  </r>
  <r>
    <n v="1525"/>
    <n v="13997"/>
    <x v="1"/>
    <n v="119175.24"/>
    <x v="0"/>
    <n v="30"/>
    <x v="2"/>
    <d v="2024-05-18T00:00:00"/>
    <d v="2024-06-17T00:00:00"/>
    <x v="3"/>
  </r>
  <r>
    <n v="1526"/>
    <n v="17307"/>
    <x v="0"/>
    <n v="72878.63"/>
    <x v="0"/>
    <n v="11"/>
    <x v="0"/>
    <d v="2024-10-30T00:00:00"/>
    <d v="2024-11-10T00:00:00"/>
    <x v="6"/>
  </r>
  <r>
    <n v="1527"/>
    <n v="19179"/>
    <x v="3"/>
    <n v="133191.64000000001"/>
    <x v="0"/>
    <n v="28"/>
    <x v="0"/>
    <d v="2024-12-22T00:00:00"/>
    <d v="2025-01-19T00:00:00"/>
    <x v="11"/>
  </r>
  <r>
    <n v="1528"/>
    <n v="15617"/>
    <x v="3"/>
    <n v="8051.23"/>
    <x v="0"/>
    <n v="20"/>
    <x v="2"/>
    <d v="2024-08-07T00:00:00"/>
    <d v="2024-08-27T00:00:00"/>
    <x v="8"/>
  </r>
  <r>
    <n v="1529"/>
    <n v="12701"/>
    <x v="1"/>
    <n v="17553.099999999999"/>
    <x v="2"/>
    <m/>
    <x v="3"/>
    <d v="2024-04-08T00:00:00"/>
    <m/>
    <x v="10"/>
  </r>
  <r>
    <n v="1530"/>
    <n v="13712"/>
    <x v="3"/>
    <n v="24433.919999999998"/>
    <x v="0"/>
    <n v="43"/>
    <x v="1"/>
    <d v="2024-08-23T00:00:00"/>
    <d v="2024-10-05T00:00:00"/>
    <x v="8"/>
  </r>
  <r>
    <n v="1531"/>
    <n v="13907"/>
    <x v="1"/>
    <n v="86703.77"/>
    <x v="0"/>
    <n v="38"/>
    <x v="3"/>
    <d v="2024-07-25T00:00:00"/>
    <d v="2024-09-01T00:00:00"/>
    <x v="2"/>
  </r>
  <r>
    <n v="1532"/>
    <n v="18946"/>
    <x v="3"/>
    <n v="163885.25"/>
    <x v="1"/>
    <n v="33"/>
    <x v="3"/>
    <d v="2024-05-23T00:00:00"/>
    <d v="2024-06-25T00:00:00"/>
    <x v="3"/>
  </r>
  <r>
    <n v="1533"/>
    <n v="10675"/>
    <x v="3"/>
    <n v="178194.69"/>
    <x v="0"/>
    <n v="16"/>
    <x v="3"/>
    <d v="2024-07-17T00:00:00"/>
    <d v="2024-08-02T00:00:00"/>
    <x v="2"/>
  </r>
  <r>
    <n v="1534"/>
    <n v="14927"/>
    <x v="2"/>
    <n v="52738.09"/>
    <x v="1"/>
    <n v="22"/>
    <x v="2"/>
    <d v="2024-10-29T00:00:00"/>
    <d v="2024-11-20T00:00:00"/>
    <x v="6"/>
  </r>
  <r>
    <n v="1535"/>
    <n v="15349"/>
    <x v="3"/>
    <n v="117002.1"/>
    <x v="0"/>
    <n v="4"/>
    <x v="0"/>
    <d v="2024-11-18T00:00:00"/>
    <d v="2024-11-22T00:00:00"/>
    <x v="1"/>
  </r>
  <r>
    <n v="1536"/>
    <n v="16168"/>
    <x v="2"/>
    <n v="154831.17000000001"/>
    <x v="1"/>
    <n v="9"/>
    <x v="3"/>
    <d v="2024-10-13T00:00:00"/>
    <d v="2024-10-22T00:00:00"/>
    <x v="6"/>
  </r>
  <r>
    <n v="1537"/>
    <n v="19902"/>
    <x v="2"/>
    <n v="61321.74"/>
    <x v="0"/>
    <n v="7"/>
    <x v="2"/>
    <d v="2024-11-27T00:00:00"/>
    <d v="2024-12-04T00:00:00"/>
    <x v="1"/>
  </r>
  <r>
    <n v="1538"/>
    <n v="13475"/>
    <x v="1"/>
    <n v="84756.51"/>
    <x v="1"/>
    <n v="30"/>
    <x v="3"/>
    <d v="2024-09-20T00:00:00"/>
    <d v="2024-10-20T00:00:00"/>
    <x v="9"/>
  </r>
  <r>
    <n v="1539"/>
    <n v="16816"/>
    <x v="1"/>
    <n v="107174.97"/>
    <x v="1"/>
    <n v="20"/>
    <x v="3"/>
    <d v="2024-08-04T00:00:00"/>
    <d v="2024-08-24T00:00:00"/>
    <x v="8"/>
  </r>
  <r>
    <n v="1540"/>
    <n v="10541"/>
    <x v="1"/>
    <n v="31300.6"/>
    <x v="0"/>
    <n v="18"/>
    <x v="2"/>
    <d v="2024-07-07T00:00:00"/>
    <d v="2024-07-25T00:00:00"/>
    <x v="2"/>
  </r>
  <r>
    <n v="1541"/>
    <n v="10164"/>
    <x v="0"/>
    <n v="10066.549999999999"/>
    <x v="0"/>
    <n v="11"/>
    <x v="0"/>
    <d v="2024-02-13T00:00:00"/>
    <d v="2024-02-24T00:00:00"/>
    <x v="4"/>
  </r>
  <r>
    <n v="1542"/>
    <n v="17092"/>
    <x v="3"/>
    <n v="34797.129999999997"/>
    <x v="0"/>
    <n v="34"/>
    <x v="0"/>
    <d v="2024-10-17T00:00:00"/>
    <d v="2024-11-20T00:00:00"/>
    <x v="6"/>
  </r>
  <r>
    <n v="1543"/>
    <n v="10984"/>
    <x v="3"/>
    <n v="127236.46"/>
    <x v="2"/>
    <m/>
    <x v="1"/>
    <d v="2024-07-07T00:00:00"/>
    <m/>
    <x v="2"/>
  </r>
  <r>
    <n v="1544"/>
    <n v="12661"/>
    <x v="1"/>
    <n v="19355.560000000001"/>
    <x v="0"/>
    <n v="28"/>
    <x v="2"/>
    <d v="2024-07-12T00:00:00"/>
    <d v="2024-08-09T00:00:00"/>
    <x v="2"/>
  </r>
  <r>
    <n v="1545"/>
    <n v="14468"/>
    <x v="3"/>
    <n v="41990.79"/>
    <x v="0"/>
    <n v="43"/>
    <x v="1"/>
    <d v="2024-09-26T00:00:00"/>
    <d v="2024-11-08T00:00:00"/>
    <x v="9"/>
  </r>
  <r>
    <n v="1546"/>
    <n v="10617"/>
    <x v="3"/>
    <n v="70881.509999999995"/>
    <x v="0"/>
    <n v="13"/>
    <x v="1"/>
    <d v="2024-09-16T00:00:00"/>
    <d v="2024-09-29T00:00:00"/>
    <x v="9"/>
  </r>
  <r>
    <n v="1547"/>
    <n v="18260"/>
    <x v="3"/>
    <n v="20184.66"/>
    <x v="0"/>
    <n v="3"/>
    <x v="1"/>
    <d v="2024-08-26T00:00:00"/>
    <d v="2024-08-29T00:00:00"/>
    <x v="8"/>
  </r>
  <r>
    <n v="1548"/>
    <n v="15639"/>
    <x v="1"/>
    <n v="42381.36"/>
    <x v="0"/>
    <n v="11"/>
    <x v="0"/>
    <d v="2024-04-21T00:00:00"/>
    <d v="2024-05-02T00:00:00"/>
    <x v="10"/>
  </r>
  <r>
    <n v="1549"/>
    <n v="14196"/>
    <x v="0"/>
    <n v="182697.61"/>
    <x v="2"/>
    <m/>
    <x v="2"/>
    <d v="2024-03-09T00:00:00"/>
    <m/>
    <x v="5"/>
  </r>
  <r>
    <n v="1550"/>
    <n v="10000"/>
    <x v="3"/>
    <n v="8763.33"/>
    <x v="0"/>
    <n v="24"/>
    <x v="1"/>
    <d v="2024-02-18T00:00:00"/>
    <d v="2024-03-13T00:00:00"/>
    <x v="4"/>
  </r>
  <r>
    <n v="1551"/>
    <n v="18377"/>
    <x v="2"/>
    <n v="132419.23000000001"/>
    <x v="1"/>
    <n v="2"/>
    <x v="2"/>
    <d v="2024-11-06T00:00:00"/>
    <d v="2024-11-08T00:00:00"/>
    <x v="1"/>
  </r>
  <r>
    <n v="1552"/>
    <n v="14438"/>
    <x v="1"/>
    <n v="79959.740000000005"/>
    <x v="0"/>
    <n v="34"/>
    <x v="2"/>
    <d v="2024-05-30T00:00:00"/>
    <d v="2024-07-03T00:00:00"/>
    <x v="3"/>
  </r>
  <r>
    <n v="1553"/>
    <n v="14808"/>
    <x v="0"/>
    <n v="136166.5"/>
    <x v="0"/>
    <n v="27"/>
    <x v="0"/>
    <d v="2024-08-26T00:00:00"/>
    <d v="2024-09-22T00:00:00"/>
    <x v="8"/>
  </r>
  <r>
    <n v="1554"/>
    <n v="13079"/>
    <x v="1"/>
    <n v="119794.89"/>
    <x v="0"/>
    <n v="16"/>
    <x v="1"/>
    <d v="2024-12-02T00:00:00"/>
    <d v="2024-12-18T00:00:00"/>
    <x v="11"/>
  </r>
  <r>
    <n v="1555"/>
    <n v="16719"/>
    <x v="1"/>
    <n v="48582.26"/>
    <x v="0"/>
    <n v="23"/>
    <x v="1"/>
    <d v="2024-04-24T00:00:00"/>
    <d v="2024-05-17T00:00:00"/>
    <x v="10"/>
  </r>
  <r>
    <n v="1556"/>
    <n v="18327"/>
    <x v="3"/>
    <n v="170205.85"/>
    <x v="2"/>
    <m/>
    <x v="2"/>
    <d v="2024-03-15T00:00:00"/>
    <m/>
    <x v="5"/>
  </r>
  <r>
    <n v="1557"/>
    <n v="16018"/>
    <x v="0"/>
    <n v="100928.37"/>
    <x v="1"/>
    <n v="2"/>
    <x v="3"/>
    <d v="2024-04-07T00:00:00"/>
    <d v="2024-04-09T00:00:00"/>
    <x v="10"/>
  </r>
  <r>
    <n v="1558"/>
    <n v="10382"/>
    <x v="3"/>
    <n v="165394.51999999999"/>
    <x v="0"/>
    <n v="27"/>
    <x v="0"/>
    <d v="2024-04-20T00:00:00"/>
    <d v="2024-05-17T00:00:00"/>
    <x v="10"/>
  </r>
  <r>
    <n v="1559"/>
    <n v="10927"/>
    <x v="0"/>
    <n v="84172.44"/>
    <x v="0"/>
    <n v="22"/>
    <x v="0"/>
    <d v="2024-12-22T00:00:00"/>
    <d v="2025-01-13T00:00:00"/>
    <x v="11"/>
  </r>
  <r>
    <n v="1560"/>
    <n v="15059"/>
    <x v="2"/>
    <n v="197013.68"/>
    <x v="0"/>
    <n v="42"/>
    <x v="0"/>
    <d v="2024-10-11T00:00:00"/>
    <d v="2024-11-22T00:00:00"/>
    <x v="6"/>
  </r>
  <r>
    <n v="1561"/>
    <n v="10560"/>
    <x v="3"/>
    <n v="155245.42000000001"/>
    <x v="2"/>
    <m/>
    <x v="0"/>
    <d v="2024-09-12T00:00:00"/>
    <m/>
    <x v="9"/>
  </r>
  <r>
    <n v="1562"/>
    <n v="11189"/>
    <x v="3"/>
    <n v="193360.29"/>
    <x v="1"/>
    <n v="40"/>
    <x v="1"/>
    <d v="2024-11-13T00:00:00"/>
    <d v="2024-12-23T00:00:00"/>
    <x v="1"/>
  </r>
  <r>
    <n v="1563"/>
    <n v="10897"/>
    <x v="1"/>
    <n v="105293.66"/>
    <x v="1"/>
    <n v="17"/>
    <x v="1"/>
    <d v="2024-11-04T00:00:00"/>
    <d v="2024-11-21T00:00:00"/>
    <x v="1"/>
  </r>
  <r>
    <n v="1564"/>
    <n v="12368"/>
    <x v="3"/>
    <n v="97369.77"/>
    <x v="0"/>
    <n v="33"/>
    <x v="3"/>
    <d v="2024-04-26T00:00:00"/>
    <d v="2024-05-29T00:00:00"/>
    <x v="10"/>
  </r>
  <r>
    <n v="1565"/>
    <n v="19930"/>
    <x v="0"/>
    <n v="152313.49"/>
    <x v="0"/>
    <n v="17"/>
    <x v="0"/>
    <d v="2024-06-24T00:00:00"/>
    <d v="2024-07-11T00:00:00"/>
    <x v="7"/>
  </r>
  <r>
    <n v="1566"/>
    <n v="14953"/>
    <x v="3"/>
    <n v="176656.8"/>
    <x v="0"/>
    <n v="14"/>
    <x v="0"/>
    <d v="2024-08-15T00:00:00"/>
    <d v="2024-08-29T00:00:00"/>
    <x v="8"/>
  </r>
  <r>
    <n v="1567"/>
    <n v="17898"/>
    <x v="3"/>
    <n v="193008.43"/>
    <x v="0"/>
    <n v="43"/>
    <x v="2"/>
    <d v="2024-12-12T00:00:00"/>
    <d v="2025-01-24T00:00:00"/>
    <x v="11"/>
  </r>
  <r>
    <n v="1568"/>
    <n v="14380"/>
    <x v="2"/>
    <n v="68287.62"/>
    <x v="0"/>
    <n v="33"/>
    <x v="1"/>
    <d v="2024-04-15T00:00:00"/>
    <d v="2024-05-18T00:00:00"/>
    <x v="10"/>
  </r>
  <r>
    <n v="1569"/>
    <n v="12398"/>
    <x v="1"/>
    <n v="160747.39000000001"/>
    <x v="0"/>
    <n v="42"/>
    <x v="0"/>
    <d v="2024-12-07T00:00:00"/>
    <d v="2025-01-18T00:00:00"/>
    <x v="11"/>
  </r>
  <r>
    <n v="1570"/>
    <n v="16226"/>
    <x v="0"/>
    <n v="46075.89"/>
    <x v="0"/>
    <n v="25"/>
    <x v="3"/>
    <d v="2024-08-26T00:00:00"/>
    <d v="2024-09-20T00:00:00"/>
    <x v="8"/>
  </r>
  <r>
    <n v="1571"/>
    <n v="15743"/>
    <x v="3"/>
    <n v="111387"/>
    <x v="1"/>
    <n v="14"/>
    <x v="3"/>
    <d v="2024-04-09T00:00:00"/>
    <d v="2024-04-23T00:00:00"/>
    <x v="10"/>
  </r>
  <r>
    <n v="1572"/>
    <n v="19585"/>
    <x v="1"/>
    <n v="40070.39"/>
    <x v="1"/>
    <n v="12"/>
    <x v="1"/>
    <d v="2024-06-24T00:00:00"/>
    <d v="2024-07-06T00:00:00"/>
    <x v="7"/>
  </r>
  <r>
    <n v="1573"/>
    <n v="12588"/>
    <x v="1"/>
    <n v="72742.490000000005"/>
    <x v="0"/>
    <n v="16"/>
    <x v="3"/>
    <d v="2024-12-15T00:00:00"/>
    <d v="2024-12-31T00:00:00"/>
    <x v="11"/>
  </r>
  <r>
    <n v="1574"/>
    <n v="16356"/>
    <x v="1"/>
    <n v="186614.88"/>
    <x v="0"/>
    <n v="11"/>
    <x v="3"/>
    <d v="2024-09-05T00:00:00"/>
    <d v="2024-09-16T00:00:00"/>
    <x v="9"/>
  </r>
  <r>
    <n v="1575"/>
    <n v="13685"/>
    <x v="1"/>
    <n v="33487.69"/>
    <x v="0"/>
    <n v="43"/>
    <x v="1"/>
    <d v="2024-03-16T00:00:00"/>
    <d v="2024-04-28T00:00:00"/>
    <x v="5"/>
  </r>
  <r>
    <n v="1576"/>
    <n v="19121"/>
    <x v="1"/>
    <n v="128318.17"/>
    <x v="1"/>
    <n v="42"/>
    <x v="0"/>
    <d v="2024-01-03T00:00:00"/>
    <d v="2024-02-14T00:00:00"/>
    <x v="0"/>
  </r>
  <r>
    <n v="1577"/>
    <n v="14309"/>
    <x v="3"/>
    <n v="120626.08"/>
    <x v="1"/>
    <n v="4"/>
    <x v="0"/>
    <d v="2024-03-21T00:00:00"/>
    <d v="2024-03-25T00:00:00"/>
    <x v="5"/>
  </r>
  <r>
    <n v="1578"/>
    <n v="14399"/>
    <x v="3"/>
    <n v="28543.98"/>
    <x v="1"/>
    <n v="17"/>
    <x v="3"/>
    <d v="2024-12-26T00:00:00"/>
    <d v="2025-01-12T00:00:00"/>
    <x v="11"/>
  </r>
  <r>
    <n v="1579"/>
    <n v="13226"/>
    <x v="1"/>
    <n v="68565.91"/>
    <x v="1"/>
    <n v="18"/>
    <x v="3"/>
    <d v="2024-10-14T00:00:00"/>
    <d v="2024-11-01T00:00:00"/>
    <x v="6"/>
  </r>
  <r>
    <n v="1580"/>
    <n v="11403"/>
    <x v="3"/>
    <n v="114781.39"/>
    <x v="0"/>
    <n v="26"/>
    <x v="0"/>
    <d v="2024-01-08T00:00:00"/>
    <d v="2024-02-03T00:00:00"/>
    <x v="0"/>
  </r>
  <r>
    <n v="1581"/>
    <n v="18391"/>
    <x v="1"/>
    <n v="41499.83"/>
    <x v="0"/>
    <n v="31"/>
    <x v="1"/>
    <d v="2024-03-27T00:00:00"/>
    <d v="2024-04-27T00:00:00"/>
    <x v="5"/>
  </r>
  <r>
    <n v="1582"/>
    <n v="12285"/>
    <x v="3"/>
    <n v="161121.60999999999"/>
    <x v="0"/>
    <n v="36"/>
    <x v="3"/>
    <d v="2024-10-12T00:00:00"/>
    <d v="2024-11-17T00:00:00"/>
    <x v="6"/>
  </r>
  <r>
    <n v="1583"/>
    <n v="18862"/>
    <x v="1"/>
    <n v="194570.52"/>
    <x v="0"/>
    <n v="38"/>
    <x v="2"/>
    <d v="2024-03-14T00:00:00"/>
    <d v="2024-04-21T00:00:00"/>
    <x v="5"/>
  </r>
  <r>
    <n v="1584"/>
    <n v="11728"/>
    <x v="1"/>
    <n v="46878.080000000002"/>
    <x v="1"/>
    <n v="14"/>
    <x v="1"/>
    <d v="2024-05-02T00:00:00"/>
    <d v="2024-05-16T00:00:00"/>
    <x v="3"/>
  </r>
  <r>
    <n v="1585"/>
    <n v="11249"/>
    <x v="3"/>
    <n v="41447.83"/>
    <x v="0"/>
    <n v="25"/>
    <x v="3"/>
    <d v="2024-10-20T00:00:00"/>
    <d v="2024-11-14T00:00:00"/>
    <x v="6"/>
  </r>
  <r>
    <n v="1586"/>
    <n v="10878"/>
    <x v="3"/>
    <n v="93712.34"/>
    <x v="0"/>
    <n v="39"/>
    <x v="3"/>
    <d v="2024-05-22T00:00:00"/>
    <d v="2024-06-30T00:00:00"/>
    <x v="3"/>
  </r>
  <r>
    <n v="1587"/>
    <n v="12523"/>
    <x v="3"/>
    <n v="150814.23000000001"/>
    <x v="0"/>
    <n v="27"/>
    <x v="2"/>
    <d v="2024-06-06T00:00:00"/>
    <d v="2024-07-03T00:00:00"/>
    <x v="7"/>
  </r>
  <r>
    <n v="1588"/>
    <n v="10497"/>
    <x v="1"/>
    <n v="59912.12"/>
    <x v="2"/>
    <m/>
    <x v="2"/>
    <d v="2024-04-18T00:00:00"/>
    <m/>
    <x v="10"/>
  </r>
  <r>
    <n v="1589"/>
    <n v="19169"/>
    <x v="0"/>
    <n v="8876.58"/>
    <x v="0"/>
    <n v="20"/>
    <x v="0"/>
    <d v="2024-11-29T00:00:00"/>
    <d v="2024-12-19T00:00:00"/>
    <x v="1"/>
  </r>
  <r>
    <n v="1590"/>
    <n v="17702"/>
    <x v="3"/>
    <n v="110538.02"/>
    <x v="0"/>
    <n v="29"/>
    <x v="1"/>
    <d v="2024-07-13T00:00:00"/>
    <d v="2024-08-11T00:00:00"/>
    <x v="2"/>
  </r>
  <r>
    <n v="1591"/>
    <n v="17578"/>
    <x v="1"/>
    <n v="191537.11"/>
    <x v="0"/>
    <n v="8"/>
    <x v="1"/>
    <d v="2024-02-05T00:00:00"/>
    <d v="2024-02-13T00:00:00"/>
    <x v="4"/>
  </r>
  <r>
    <n v="1592"/>
    <n v="14879"/>
    <x v="3"/>
    <n v="81298.990000000005"/>
    <x v="0"/>
    <n v="23"/>
    <x v="0"/>
    <d v="2024-03-30T00:00:00"/>
    <d v="2024-04-22T00:00:00"/>
    <x v="5"/>
  </r>
  <r>
    <n v="1593"/>
    <n v="10538"/>
    <x v="3"/>
    <n v="86926.24"/>
    <x v="0"/>
    <n v="31"/>
    <x v="1"/>
    <d v="2024-10-22T00:00:00"/>
    <d v="2024-11-22T00:00:00"/>
    <x v="6"/>
  </r>
  <r>
    <n v="1594"/>
    <n v="19092"/>
    <x v="2"/>
    <n v="193935.83"/>
    <x v="1"/>
    <n v="38"/>
    <x v="1"/>
    <d v="2024-11-25T00:00:00"/>
    <d v="2025-01-02T00:00:00"/>
    <x v="1"/>
  </r>
  <r>
    <n v="1595"/>
    <n v="11466"/>
    <x v="3"/>
    <n v="140448.48000000001"/>
    <x v="0"/>
    <n v="17"/>
    <x v="1"/>
    <d v="2024-07-19T00:00:00"/>
    <d v="2024-08-05T00:00:00"/>
    <x v="2"/>
  </r>
  <r>
    <n v="1596"/>
    <n v="17714"/>
    <x v="3"/>
    <n v="145238.51999999999"/>
    <x v="1"/>
    <n v="37"/>
    <x v="1"/>
    <d v="2024-02-15T00:00:00"/>
    <d v="2024-03-23T00:00:00"/>
    <x v="4"/>
  </r>
  <r>
    <n v="1597"/>
    <n v="11733"/>
    <x v="3"/>
    <n v="114726.89"/>
    <x v="0"/>
    <n v="6"/>
    <x v="1"/>
    <d v="2024-04-16T00:00:00"/>
    <d v="2024-04-22T00:00:00"/>
    <x v="10"/>
  </r>
  <r>
    <n v="1598"/>
    <n v="10490"/>
    <x v="3"/>
    <n v="195048.8"/>
    <x v="0"/>
    <n v="30"/>
    <x v="2"/>
    <d v="2024-06-18T00:00:00"/>
    <d v="2024-07-18T00:00:00"/>
    <x v="7"/>
  </r>
  <r>
    <n v="1599"/>
    <n v="11709"/>
    <x v="3"/>
    <n v="139328.95999999999"/>
    <x v="2"/>
    <m/>
    <x v="1"/>
    <d v="2024-05-25T00:00:00"/>
    <m/>
    <x v="3"/>
  </r>
  <r>
    <n v="1600"/>
    <n v="19945"/>
    <x v="3"/>
    <n v="179531.39"/>
    <x v="0"/>
    <n v="7"/>
    <x v="2"/>
    <d v="2024-12-21T00:00:00"/>
    <d v="2024-12-28T00:00:00"/>
    <x v="11"/>
  </r>
  <r>
    <n v="1601"/>
    <n v="16711"/>
    <x v="1"/>
    <n v="141378.88"/>
    <x v="0"/>
    <n v="37"/>
    <x v="1"/>
    <d v="2024-06-26T00:00:00"/>
    <d v="2024-08-02T00:00:00"/>
    <x v="7"/>
  </r>
  <r>
    <n v="1602"/>
    <n v="11918"/>
    <x v="3"/>
    <n v="148347.59"/>
    <x v="1"/>
    <n v="34"/>
    <x v="0"/>
    <d v="2024-03-01T00:00:00"/>
    <d v="2024-04-04T00:00:00"/>
    <x v="5"/>
  </r>
  <r>
    <n v="1603"/>
    <n v="18166"/>
    <x v="1"/>
    <n v="61630.13"/>
    <x v="0"/>
    <n v="42"/>
    <x v="3"/>
    <d v="2024-01-03T00:00:00"/>
    <d v="2024-02-14T00:00:00"/>
    <x v="0"/>
  </r>
  <r>
    <n v="1604"/>
    <n v="16025"/>
    <x v="3"/>
    <n v="64178.35"/>
    <x v="1"/>
    <n v="17"/>
    <x v="2"/>
    <d v="2024-03-22T00:00:00"/>
    <d v="2024-04-08T00:00:00"/>
    <x v="5"/>
  </r>
  <r>
    <n v="1605"/>
    <n v="19678"/>
    <x v="3"/>
    <n v="157682.01"/>
    <x v="0"/>
    <n v="35"/>
    <x v="1"/>
    <d v="2024-09-19T00:00:00"/>
    <d v="2024-10-24T00:00:00"/>
    <x v="9"/>
  </r>
  <r>
    <n v="1606"/>
    <n v="16099"/>
    <x v="1"/>
    <n v="62857.73"/>
    <x v="0"/>
    <n v="44"/>
    <x v="0"/>
    <d v="2024-10-13T00:00:00"/>
    <d v="2024-11-26T00:00:00"/>
    <x v="6"/>
  </r>
  <r>
    <n v="1607"/>
    <n v="19692"/>
    <x v="2"/>
    <n v="114740.16"/>
    <x v="0"/>
    <n v="27"/>
    <x v="3"/>
    <d v="2024-11-16T00:00:00"/>
    <d v="2024-12-13T00:00:00"/>
    <x v="1"/>
  </r>
  <r>
    <n v="1608"/>
    <n v="10197"/>
    <x v="3"/>
    <n v="53623.7"/>
    <x v="1"/>
    <n v="38"/>
    <x v="2"/>
    <d v="2024-04-04T00:00:00"/>
    <d v="2024-05-12T00:00:00"/>
    <x v="10"/>
  </r>
  <r>
    <n v="1609"/>
    <n v="19726"/>
    <x v="0"/>
    <n v="164311.76"/>
    <x v="0"/>
    <n v="14"/>
    <x v="3"/>
    <d v="2024-03-04T00:00:00"/>
    <d v="2024-03-18T00:00:00"/>
    <x v="5"/>
  </r>
  <r>
    <n v="1610"/>
    <n v="11713"/>
    <x v="1"/>
    <n v="26547.759999999998"/>
    <x v="1"/>
    <n v="18"/>
    <x v="0"/>
    <d v="2024-09-02T00:00:00"/>
    <d v="2024-09-20T00:00:00"/>
    <x v="9"/>
  </r>
  <r>
    <n v="1611"/>
    <n v="19540"/>
    <x v="1"/>
    <n v="166742.09"/>
    <x v="2"/>
    <m/>
    <x v="2"/>
    <d v="2024-03-17T00:00:00"/>
    <m/>
    <x v="5"/>
  </r>
  <r>
    <n v="1612"/>
    <n v="14783"/>
    <x v="1"/>
    <n v="122532.31"/>
    <x v="0"/>
    <n v="33"/>
    <x v="3"/>
    <d v="2024-09-15T00:00:00"/>
    <d v="2024-10-18T00:00:00"/>
    <x v="9"/>
  </r>
  <r>
    <n v="1613"/>
    <n v="18102"/>
    <x v="3"/>
    <n v="41447.360000000001"/>
    <x v="0"/>
    <n v="29"/>
    <x v="1"/>
    <d v="2024-04-02T00:00:00"/>
    <d v="2024-05-01T00:00:00"/>
    <x v="10"/>
  </r>
  <r>
    <n v="1614"/>
    <n v="13844"/>
    <x v="3"/>
    <n v="110696.9"/>
    <x v="0"/>
    <n v="30"/>
    <x v="2"/>
    <d v="2024-10-17T00:00:00"/>
    <d v="2024-11-16T00:00:00"/>
    <x v="6"/>
  </r>
  <r>
    <n v="1615"/>
    <n v="10595"/>
    <x v="1"/>
    <n v="60087.27"/>
    <x v="0"/>
    <n v="26"/>
    <x v="3"/>
    <d v="2024-09-27T00:00:00"/>
    <d v="2024-10-23T00:00:00"/>
    <x v="9"/>
  </r>
  <r>
    <n v="1616"/>
    <n v="18330"/>
    <x v="3"/>
    <n v="68076.13"/>
    <x v="0"/>
    <n v="23"/>
    <x v="0"/>
    <d v="2024-01-21T00:00:00"/>
    <d v="2024-02-13T00:00:00"/>
    <x v="0"/>
  </r>
  <r>
    <n v="1617"/>
    <n v="11014"/>
    <x v="2"/>
    <n v="73547.97"/>
    <x v="0"/>
    <n v="28"/>
    <x v="0"/>
    <d v="2024-03-02T00:00:00"/>
    <d v="2024-03-30T00:00:00"/>
    <x v="5"/>
  </r>
  <r>
    <n v="1618"/>
    <n v="10241"/>
    <x v="3"/>
    <n v="17347.25"/>
    <x v="2"/>
    <m/>
    <x v="2"/>
    <d v="2024-12-04T00:00:00"/>
    <m/>
    <x v="11"/>
  </r>
  <r>
    <n v="1619"/>
    <n v="12363"/>
    <x v="3"/>
    <n v="197262.53"/>
    <x v="2"/>
    <m/>
    <x v="3"/>
    <d v="2024-09-16T00:00:00"/>
    <m/>
    <x v="9"/>
  </r>
  <r>
    <n v="1620"/>
    <n v="10732"/>
    <x v="1"/>
    <n v="11149.25"/>
    <x v="1"/>
    <n v="25"/>
    <x v="2"/>
    <d v="2024-08-24T00:00:00"/>
    <d v="2024-09-18T00:00:00"/>
    <x v="8"/>
  </r>
  <r>
    <n v="1621"/>
    <n v="10134"/>
    <x v="3"/>
    <n v="134186.89000000001"/>
    <x v="1"/>
    <n v="9"/>
    <x v="2"/>
    <d v="2024-05-20T00:00:00"/>
    <d v="2024-05-29T00:00:00"/>
    <x v="3"/>
  </r>
  <r>
    <n v="1622"/>
    <n v="13761"/>
    <x v="1"/>
    <n v="77389.39"/>
    <x v="0"/>
    <n v="15"/>
    <x v="3"/>
    <d v="2024-06-15T00:00:00"/>
    <d v="2024-06-30T00:00:00"/>
    <x v="7"/>
  </r>
  <r>
    <n v="1623"/>
    <n v="12626"/>
    <x v="1"/>
    <n v="130972.01"/>
    <x v="0"/>
    <n v="40"/>
    <x v="3"/>
    <d v="2024-03-07T00:00:00"/>
    <d v="2024-04-16T00:00:00"/>
    <x v="5"/>
  </r>
  <r>
    <n v="1624"/>
    <n v="17179"/>
    <x v="2"/>
    <n v="74468.41"/>
    <x v="1"/>
    <n v="15"/>
    <x v="1"/>
    <d v="2024-12-15T00:00:00"/>
    <d v="2024-12-30T00:00:00"/>
    <x v="11"/>
  </r>
  <r>
    <n v="1625"/>
    <n v="11510"/>
    <x v="1"/>
    <n v="136381.38"/>
    <x v="0"/>
    <n v="6"/>
    <x v="3"/>
    <d v="2024-02-27T00:00:00"/>
    <d v="2024-03-04T00:00:00"/>
    <x v="4"/>
  </r>
  <r>
    <n v="1626"/>
    <n v="12796"/>
    <x v="1"/>
    <n v="147200.92000000001"/>
    <x v="2"/>
    <m/>
    <x v="0"/>
    <d v="2024-07-30T00:00:00"/>
    <m/>
    <x v="2"/>
  </r>
  <r>
    <n v="1627"/>
    <n v="16907"/>
    <x v="1"/>
    <n v="139657.76"/>
    <x v="0"/>
    <n v="16"/>
    <x v="2"/>
    <d v="2024-05-09T00:00:00"/>
    <d v="2024-05-25T00:00:00"/>
    <x v="3"/>
  </r>
  <r>
    <n v="1628"/>
    <n v="14512"/>
    <x v="2"/>
    <n v="27222.59"/>
    <x v="0"/>
    <n v="37"/>
    <x v="2"/>
    <d v="2024-01-25T00:00:00"/>
    <d v="2024-03-02T00:00:00"/>
    <x v="0"/>
  </r>
  <r>
    <n v="1629"/>
    <n v="14302"/>
    <x v="3"/>
    <n v="133094.18"/>
    <x v="1"/>
    <n v="34"/>
    <x v="0"/>
    <d v="2024-01-11T00:00:00"/>
    <d v="2024-02-14T00:00:00"/>
    <x v="0"/>
  </r>
  <r>
    <n v="1630"/>
    <n v="11643"/>
    <x v="3"/>
    <n v="59597.57"/>
    <x v="2"/>
    <m/>
    <x v="3"/>
    <d v="2024-09-13T00:00:00"/>
    <m/>
    <x v="9"/>
  </r>
  <r>
    <n v="1631"/>
    <n v="14406"/>
    <x v="3"/>
    <n v="10616.27"/>
    <x v="0"/>
    <n v="21"/>
    <x v="0"/>
    <d v="2024-10-30T00:00:00"/>
    <d v="2024-11-20T00:00:00"/>
    <x v="6"/>
  </r>
  <r>
    <n v="1632"/>
    <n v="13364"/>
    <x v="3"/>
    <n v="85891.98"/>
    <x v="1"/>
    <n v="2"/>
    <x v="0"/>
    <d v="2024-03-21T00:00:00"/>
    <d v="2024-03-23T00:00:00"/>
    <x v="5"/>
  </r>
  <r>
    <n v="1633"/>
    <n v="16768"/>
    <x v="1"/>
    <n v="89540.91"/>
    <x v="0"/>
    <n v="17"/>
    <x v="1"/>
    <d v="2024-10-12T00:00:00"/>
    <d v="2024-10-29T00:00:00"/>
    <x v="6"/>
  </r>
  <r>
    <n v="1634"/>
    <n v="19591"/>
    <x v="1"/>
    <n v="96098.96"/>
    <x v="0"/>
    <n v="19"/>
    <x v="0"/>
    <d v="2024-01-19T00:00:00"/>
    <d v="2024-02-07T00:00:00"/>
    <x v="0"/>
  </r>
  <r>
    <n v="1635"/>
    <n v="19742"/>
    <x v="1"/>
    <n v="142440.71"/>
    <x v="1"/>
    <n v="11"/>
    <x v="2"/>
    <d v="2024-04-19T00:00:00"/>
    <d v="2024-04-30T00:00:00"/>
    <x v="10"/>
  </r>
  <r>
    <n v="1636"/>
    <n v="13411"/>
    <x v="3"/>
    <n v="65224.54"/>
    <x v="0"/>
    <n v="24"/>
    <x v="0"/>
    <d v="2024-02-03T00:00:00"/>
    <d v="2024-02-27T00:00:00"/>
    <x v="4"/>
  </r>
  <r>
    <n v="1637"/>
    <n v="10082"/>
    <x v="1"/>
    <n v="66479.7"/>
    <x v="0"/>
    <n v="19"/>
    <x v="2"/>
    <d v="2024-10-14T00:00:00"/>
    <d v="2024-11-02T00:00:00"/>
    <x v="6"/>
  </r>
  <r>
    <n v="1638"/>
    <n v="15696"/>
    <x v="3"/>
    <n v="16807.689999999999"/>
    <x v="0"/>
    <n v="10"/>
    <x v="2"/>
    <d v="2024-11-27T00:00:00"/>
    <d v="2024-12-07T00:00:00"/>
    <x v="1"/>
  </r>
  <r>
    <n v="1639"/>
    <n v="19671"/>
    <x v="1"/>
    <n v="138930.14000000001"/>
    <x v="0"/>
    <n v="31"/>
    <x v="2"/>
    <d v="2024-09-11T00:00:00"/>
    <d v="2024-10-12T00:00:00"/>
    <x v="9"/>
  </r>
  <r>
    <n v="1640"/>
    <n v="12440"/>
    <x v="1"/>
    <n v="115726.09"/>
    <x v="0"/>
    <n v="14"/>
    <x v="3"/>
    <d v="2024-05-05T00:00:00"/>
    <d v="2024-05-19T00:00:00"/>
    <x v="3"/>
  </r>
  <r>
    <n v="1641"/>
    <n v="15760"/>
    <x v="3"/>
    <n v="73137.899999999994"/>
    <x v="0"/>
    <n v="32"/>
    <x v="1"/>
    <d v="2024-07-27T00:00:00"/>
    <d v="2024-08-28T00:00:00"/>
    <x v="2"/>
  </r>
  <r>
    <n v="1642"/>
    <n v="11782"/>
    <x v="3"/>
    <n v="142511.85"/>
    <x v="0"/>
    <n v="44"/>
    <x v="2"/>
    <d v="2024-05-13T00:00:00"/>
    <d v="2024-06-26T00:00:00"/>
    <x v="3"/>
  </r>
  <r>
    <n v="1643"/>
    <n v="18796"/>
    <x v="3"/>
    <n v="109784.76"/>
    <x v="2"/>
    <m/>
    <x v="2"/>
    <d v="2024-03-26T00:00:00"/>
    <m/>
    <x v="5"/>
  </r>
  <r>
    <n v="1644"/>
    <n v="16426"/>
    <x v="0"/>
    <n v="96502.76"/>
    <x v="0"/>
    <n v="33"/>
    <x v="3"/>
    <d v="2024-03-15T00:00:00"/>
    <d v="2024-04-17T00:00:00"/>
    <x v="5"/>
  </r>
  <r>
    <n v="1645"/>
    <n v="17906"/>
    <x v="2"/>
    <n v="104708.29"/>
    <x v="1"/>
    <n v="18"/>
    <x v="2"/>
    <d v="2024-05-14T00:00:00"/>
    <d v="2024-06-01T00:00:00"/>
    <x v="3"/>
  </r>
  <r>
    <n v="1646"/>
    <n v="18922"/>
    <x v="1"/>
    <n v="129087.88"/>
    <x v="0"/>
    <n v="4"/>
    <x v="0"/>
    <d v="2024-10-27T00:00:00"/>
    <d v="2024-10-31T00:00:00"/>
    <x v="6"/>
  </r>
  <r>
    <n v="1647"/>
    <n v="11360"/>
    <x v="3"/>
    <n v="133700.51"/>
    <x v="0"/>
    <n v="2"/>
    <x v="0"/>
    <d v="2024-06-21T00:00:00"/>
    <d v="2024-06-23T00:00:00"/>
    <x v="7"/>
  </r>
  <r>
    <n v="1648"/>
    <n v="12078"/>
    <x v="3"/>
    <n v="61346.77"/>
    <x v="0"/>
    <n v="6"/>
    <x v="1"/>
    <d v="2024-07-31T00:00:00"/>
    <d v="2024-08-06T00:00:00"/>
    <x v="2"/>
  </r>
  <r>
    <n v="1649"/>
    <n v="10977"/>
    <x v="1"/>
    <n v="32444.959999999999"/>
    <x v="0"/>
    <n v="33"/>
    <x v="2"/>
    <d v="2024-11-16T00:00:00"/>
    <d v="2024-12-19T00:00:00"/>
    <x v="1"/>
  </r>
  <r>
    <n v="1650"/>
    <n v="17793"/>
    <x v="1"/>
    <n v="35543.67"/>
    <x v="0"/>
    <n v="26"/>
    <x v="3"/>
    <d v="2024-12-15T00:00:00"/>
    <d v="2025-01-10T00:00:00"/>
    <x v="11"/>
  </r>
  <r>
    <n v="1651"/>
    <n v="11637"/>
    <x v="3"/>
    <n v="129681.22"/>
    <x v="0"/>
    <n v="6"/>
    <x v="0"/>
    <d v="2024-01-19T00:00:00"/>
    <d v="2024-01-25T00:00:00"/>
    <x v="0"/>
  </r>
  <r>
    <n v="1652"/>
    <n v="13300"/>
    <x v="3"/>
    <n v="175210.29"/>
    <x v="0"/>
    <n v="38"/>
    <x v="3"/>
    <d v="2024-04-28T00:00:00"/>
    <d v="2024-06-05T00:00:00"/>
    <x v="10"/>
  </r>
  <r>
    <n v="1653"/>
    <n v="14004"/>
    <x v="1"/>
    <n v="84851.77"/>
    <x v="0"/>
    <n v="24"/>
    <x v="3"/>
    <d v="2024-10-29T00:00:00"/>
    <d v="2024-11-22T00:00:00"/>
    <x v="6"/>
  </r>
  <r>
    <n v="1654"/>
    <n v="10582"/>
    <x v="3"/>
    <n v="38056.43"/>
    <x v="0"/>
    <n v="13"/>
    <x v="0"/>
    <d v="2024-10-28T00:00:00"/>
    <d v="2024-11-10T00:00:00"/>
    <x v="6"/>
  </r>
  <r>
    <n v="1655"/>
    <n v="18651"/>
    <x v="3"/>
    <n v="152537.49"/>
    <x v="0"/>
    <n v="35"/>
    <x v="3"/>
    <d v="2024-10-11T00:00:00"/>
    <d v="2024-11-15T00:00:00"/>
    <x v="6"/>
  </r>
  <r>
    <n v="1656"/>
    <n v="18327"/>
    <x v="3"/>
    <n v="167335.45000000001"/>
    <x v="0"/>
    <n v="24"/>
    <x v="0"/>
    <d v="2024-08-14T00:00:00"/>
    <d v="2024-09-07T00:00:00"/>
    <x v="8"/>
  </r>
  <r>
    <n v="1657"/>
    <n v="19169"/>
    <x v="1"/>
    <n v="176713.58"/>
    <x v="2"/>
    <m/>
    <x v="3"/>
    <d v="2024-07-30T00:00:00"/>
    <m/>
    <x v="2"/>
  </r>
  <r>
    <n v="1658"/>
    <n v="18475"/>
    <x v="0"/>
    <n v="123332.13"/>
    <x v="0"/>
    <n v="6"/>
    <x v="0"/>
    <d v="2024-12-21T00:00:00"/>
    <d v="2024-12-27T00:00:00"/>
    <x v="11"/>
  </r>
  <r>
    <n v="1659"/>
    <n v="12398"/>
    <x v="2"/>
    <n v="172842.07"/>
    <x v="0"/>
    <n v="29"/>
    <x v="2"/>
    <d v="2024-07-07T00:00:00"/>
    <d v="2024-08-05T00:00:00"/>
    <x v="2"/>
  </r>
  <r>
    <n v="1660"/>
    <n v="14112"/>
    <x v="1"/>
    <n v="8005.92"/>
    <x v="0"/>
    <n v="7"/>
    <x v="1"/>
    <d v="2024-11-16T00:00:00"/>
    <d v="2024-11-23T00:00:00"/>
    <x v="1"/>
  </r>
  <r>
    <n v="1661"/>
    <n v="11238"/>
    <x v="1"/>
    <n v="25910.98"/>
    <x v="2"/>
    <m/>
    <x v="0"/>
    <d v="2024-05-30T00:00:00"/>
    <m/>
    <x v="3"/>
  </r>
  <r>
    <n v="1662"/>
    <n v="13466"/>
    <x v="3"/>
    <n v="23052.33"/>
    <x v="0"/>
    <n v="44"/>
    <x v="0"/>
    <d v="2024-08-10T00:00:00"/>
    <d v="2024-09-23T00:00:00"/>
    <x v="8"/>
  </r>
  <r>
    <n v="1663"/>
    <n v="15518"/>
    <x v="1"/>
    <n v="143957.91"/>
    <x v="1"/>
    <n v="31"/>
    <x v="1"/>
    <d v="2024-05-07T00:00:00"/>
    <d v="2024-06-07T00:00:00"/>
    <x v="3"/>
  </r>
  <r>
    <n v="1664"/>
    <n v="15363"/>
    <x v="3"/>
    <n v="18568.45"/>
    <x v="0"/>
    <n v="27"/>
    <x v="0"/>
    <d v="2024-09-04T00:00:00"/>
    <d v="2024-10-01T00:00:00"/>
    <x v="9"/>
  </r>
  <r>
    <n v="1665"/>
    <n v="13166"/>
    <x v="1"/>
    <n v="101791.05"/>
    <x v="2"/>
    <m/>
    <x v="0"/>
    <d v="2024-02-20T00:00:00"/>
    <m/>
    <x v="4"/>
  </r>
  <r>
    <n v="1666"/>
    <n v="10779"/>
    <x v="3"/>
    <n v="97177.85"/>
    <x v="1"/>
    <n v="10"/>
    <x v="3"/>
    <d v="2024-07-09T00:00:00"/>
    <d v="2024-07-19T00:00:00"/>
    <x v="2"/>
  </r>
  <r>
    <n v="1667"/>
    <n v="12134"/>
    <x v="3"/>
    <n v="65587.19"/>
    <x v="1"/>
    <n v="17"/>
    <x v="1"/>
    <d v="2024-08-24T00:00:00"/>
    <d v="2024-09-10T00:00:00"/>
    <x v="8"/>
  </r>
  <r>
    <n v="1668"/>
    <n v="12236"/>
    <x v="3"/>
    <n v="174729.01"/>
    <x v="0"/>
    <n v="19"/>
    <x v="2"/>
    <d v="2024-01-22T00:00:00"/>
    <d v="2024-02-10T00:00:00"/>
    <x v="0"/>
  </r>
  <r>
    <n v="1669"/>
    <n v="11639"/>
    <x v="3"/>
    <n v="38234.47"/>
    <x v="0"/>
    <n v="14"/>
    <x v="0"/>
    <d v="2024-04-19T00:00:00"/>
    <d v="2024-05-03T00:00:00"/>
    <x v="10"/>
  </r>
  <r>
    <n v="1670"/>
    <n v="18611"/>
    <x v="3"/>
    <n v="73730.240000000005"/>
    <x v="0"/>
    <n v="30"/>
    <x v="1"/>
    <d v="2024-11-22T00:00:00"/>
    <d v="2024-12-22T00:00:00"/>
    <x v="1"/>
  </r>
  <r>
    <n v="1671"/>
    <n v="13689"/>
    <x v="3"/>
    <n v="155963.44"/>
    <x v="0"/>
    <n v="44"/>
    <x v="3"/>
    <d v="2024-02-02T00:00:00"/>
    <d v="2024-03-17T00:00:00"/>
    <x v="4"/>
  </r>
  <r>
    <n v="1672"/>
    <n v="14955"/>
    <x v="2"/>
    <n v="10932.35"/>
    <x v="1"/>
    <n v="25"/>
    <x v="2"/>
    <d v="2024-05-06T00:00:00"/>
    <d v="2024-05-31T00:00:00"/>
    <x v="3"/>
  </r>
  <r>
    <n v="1673"/>
    <n v="18398"/>
    <x v="3"/>
    <n v="136225.32999999999"/>
    <x v="0"/>
    <n v="14"/>
    <x v="1"/>
    <d v="2024-12-30T00:00:00"/>
    <d v="2025-01-13T00:00:00"/>
    <x v="11"/>
  </r>
  <r>
    <n v="1674"/>
    <n v="17372"/>
    <x v="1"/>
    <n v="164197.56"/>
    <x v="0"/>
    <n v="26"/>
    <x v="2"/>
    <d v="2024-12-21T00:00:00"/>
    <d v="2025-01-16T00:00:00"/>
    <x v="11"/>
  </r>
  <r>
    <n v="1675"/>
    <n v="13390"/>
    <x v="0"/>
    <n v="186792.23"/>
    <x v="0"/>
    <n v="42"/>
    <x v="2"/>
    <d v="2024-02-13T00:00:00"/>
    <d v="2024-03-26T00:00:00"/>
    <x v="4"/>
  </r>
  <r>
    <n v="1676"/>
    <n v="17250"/>
    <x v="2"/>
    <n v="175877.84"/>
    <x v="0"/>
    <n v="2"/>
    <x v="2"/>
    <d v="2024-01-07T00:00:00"/>
    <d v="2024-01-09T00:00:00"/>
    <x v="0"/>
  </r>
  <r>
    <n v="1677"/>
    <n v="17249"/>
    <x v="1"/>
    <n v="67279.899999999994"/>
    <x v="0"/>
    <n v="10"/>
    <x v="0"/>
    <d v="2024-05-07T00:00:00"/>
    <d v="2024-05-17T00:00:00"/>
    <x v="3"/>
  </r>
  <r>
    <n v="1678"/>
    <n v="13796"/>
    <x v="0"/>
    <n v="119341.01"/>
    <x v="1"/>
    <n v="5"/>
    <x v="0"/>
    <d v="2024-03-31T00:00:00"/>
    <d v="2024-04-05T00:00:00"/>
    <x v="5"/>
  </r>
  <r>
    <n v="1679"/>
    <n v="12534"/>
    <x v="3"/>
    <n v="20072.23"/>
    <x v="0"/>
    <n v="29"/>
    <x v="3"/>
    <d v="2024-05-09T00:00:00"/>
    <d v="2024-06-07T00:00:00"/>
    <x v="3"/>
  </r>
  <r>
    <n v="1680"/>
    <n v="12180"/>
    <x v="3"/>
    <n v="55284.65"/>
    <x v="0"/>
    <n v="13"/>
    <x v="3"/>
    <d v="2024-01-17T00:00:00"/>
    <d v="2024-01-30T00:00:00"/>
    <x v="0"/>
  </r>
  <r>
    <n v="1681"/>
    <n v="14306"/>
    <x v="3"/>
    <n v="23373.360000000001"/>
    <x v="0"/>
    <n v="25"/>
    <x v="1"/>
    <d v="2024-11-16T00:00:00"/>
    <d v="2024-12-11T00:00:00"/>
    <x v="1"/>
  </r>
  <r>
    <n v="1682"/>
    <n v="14227"/>
    <x v="1"/>
    <n v="66461.52"/>
    <x v="0"/>
    <n v="10"/>
    <x v="3"/>
    <d v="2024-07-04T00:00:00"/>
    <d v="2024-07-14T00:00:00"/>
    <x v="2"/>
  </r>
  <r>
    <n v="1683"/>
    <n v="19589"/>
    <x v="1"/>
    <n v="175661.51"/>
    <x v="0"/>
    <n v="36"/>
    <x v="2"/>
    <d v="2024-04-19T00:00:00"/>
    <d v="2024-05-25T00:00:00"/>
    <x v="10"/>
  </r>
  <r>
    <n v="1684"/>
    <n v="11446"/>
    <x v="3"/>
    <n v="72697.53"/>
    <x v="0"/>
    <n v="39"/>
    <x v="2"/>
    <d v="2024-10-12T00:00:00"/>
    <d v="2024-11-20T00:00:00"/>
    <x v="6"/>
  </r>
  <r>
    <n v="1685"/>
    <n v="10951"/>
    <x v="3"/>
    <n v="114570.13"/>
    <x v="1"/>
    <n v="36"/>
    <x v="0"/>
    <d v="2024-12-13T00:00:00"/>
    <d v="2025-01-18T00:00:00"/>
    <x v="11"/>
  </r>
  <r>
    <n v="1686"/>
    <n v="14021"/>
    <x v="1"/>
    <n v="89509.27"/>
    <x v="1"/>
    <n v="34"/>
    <x v="2"/>
    <d v="2024-06-11T00:00:00"/>
    <d v="2024-07-15T00:00:00"/>
    <x v="7"/>
  </r>
  <r>
    <n v="1687"/>
    <n v="15485"/>
    <x v="3"/>
    <n v="94488.72"/>
    <x v="1"/>
    <n v="36"/>
    <x v="1"/>
    <d v="2024-03-15T00:00:00"/>
    <d v="2024-04-20T00:00:00"/>
    <x v="5"/>
  </r>
  <r>
    <n v="1688"/>
    <n v="11717"/>
    <x v="1"/>
    <n v="194066.55"/>
    <x v="0"/>
    <n v="21"/>
    <x v="2"/>
    <d v="2024-07-17T00:00:00"/>
    <d v="2024-08-07T00:00:00"/>
    <x v="2"/>
  </r>
  <r>
    <n v="1689"/>
    <n v="14242"/>
    <x v="1"/>
    <n v="62750.12"/>
    <x v="2"/>
    <m/>
    <x v="2"/>
    <d v="2024-12-26T00:00:00"/>
    <m/>
    <x v="11"/>
  </r>
  <r>
    <n v="1690"/>
    <n v="13805"/>
    <x v="1"/>
    <n v="127328.27"/>
    <x v="1"/>
    <n v="27"/>
    <x v="1"/>
    <d v="2024-10-13T00:00:00"/>
    <d v="2024-11-09T00:00:00"/>
    <x v="6"/>
  </r>
  <r>
    <n v="1691"/>
    <n v="15913"/>
    <x v="1"/>
    <n v="86912.22"/>
    <x v="2"/>
    <m/>
    <x v="3"/>
    <d v="2024-06-30T00:00:00"/>
    <m/>
    <x v="7"/>
  </r>
  <r>
    <n v="1692"/>
    <n v="17475"/>
    <x v="0"/>
    <n v="16923.509999999998"/>
    <x v="0"/>
    <n v="14"/>
    <x v="3"/>
    <d v="2024-04-06T00:00:00"/>
    <d v="2024-04-20T00:00:00"/>
    <x v="10"/>
  </r>
  <r>
    <n v="1693"/>
    <n v="14810"/>
    <x v="3"/>
    <n v="100419.51"/>
    <x v="2"/>
    <m/>
    <x v="1"/>
    <d v="2024-02-20T00:00:00"/>
    <m/>
    <x v="4"/>
  </r>
  <r>
    <n v="1694"/>
    <n v="11596"/>
    <x v="1"/>
    <n v="163601.95000000001"/>
    <x v="1"/>
    <n v="33"/>
    <x v="0"/>
    <d v="2024-11-09T00:00:00"/>
    <d v="2024-12-12T00:00:00"/>
    <x v="1"/>
  </r>
  <r>
    <n v="1695"/>
    <n v="16594"/>
    <x v="1"/>
    <n v="24256.83"/>
    <x v="1"/>
    <n v="37"/>
    <x v="2"/>
    <d v="2024-02-03T00:00:00"/>
    <d v="2024-03-11T00:00:00"/>
    <x v="4"/>
  </r>
  <r>
    <n v="1696"/>
    <n v="13216"/>
    <x v="3"/>
    <n v="18570.41"/>
    <x v="0"/>
    <n v="20"/>
    <x v="1"/>
    <d v="2024-01-21T00:00:00"/>
    <d v="2024-02-10T00:00:00"/>
    <x v="0"/>
  </r>
  <r>
    <n v="1697"/>
    <n v="19098"/>
    <x v="3"/>
    <n v="34958.15"/>
    <x v="1"/>
    <n v="23"/>
    <x v="2"/>
    <d v="2024-07-02T00:00:00"/>
    <d v="2024-07-25T00:00:00"/>
    <x v="2"/>
  </r>
  <r>
    <n v="1698"/>
    <n v="15755"/>
    <x v="3"/>
    <n v="154058.01999999999"/>
    <x v="2"/>
    <m/>
    <x v="0"/>
    <d v="2024-10-19T00:00:00"/>
    <m/>
    <x v="6"/>
  </r>
  <r>
    <n v="1699"/>
    <n v="16283"/>
    <x v="3"/>
    <n v="146179.1"/>
    <x v="0"/>
    <n v="12"/>
    <x v="2"/>
    <d v="2024-03-04T00:00:00"/>
    <d v="2024-03-16T00:00:00"/>
    <x v="5"/>
  </r>
  <r>
    <n v="1700"/>
    <n v="11337"/>
    <x v="1"/>
    <n v="115178.46"/>
    <x v="0"/>
    <n v="27"/>
    <x v="1"/>
    <d v="2024-05-03T00:00:00"/>
    <d v="2024-05-30T00:00:00"/>
    <x v="3"/>
  </r>
  <r>
    <n v="1701"/>
    <n v="12974"/>
    <x v="0"/>
    <n v="96304.15"/>
    <x v="2"/>
    <m/>
    <x v="2"/>
    <d v="2024-04-10T00:00:00"/>
    <m/>
    <x v="10"/>
  </r>
  <r>
    <n v="1702"/>
    <n v="14473"/>
    <x v="3"/>
    <n v="178223.53"/>
    <x v="0"/>
    <n v="20"/>
    <x v="3"/>
    <d v="2024-04-28T00:00:00"/>
    <d v="2024-05-18T00:00:00"/>
    <x v="10"/>
  </r>
  <r>
    <n v="1703"/>
    <n v="18552"/>
    <x v="3"/>
    <n v="154506.07999999999"/>
    <x v="0"/>
    <n v="13"/>
    <x v="0"/>
    <d v="2024-12-06T00:00:00"/>
    <d v="2024-12-19T00:00:00"/>
    <x v="11"/>
  </r>
  <r>
    <n v="1704"/>
    <n v="16826"/>
    <x v="2"/>
    <n v="163328.74"/>
    <x v="0"/>
    <n v="4"/>
    <x v="0"/>
    <d v="2024-03-18T00:00:00"/>
    <d v="2024-03-22T00:00:00"/>
    <x v="5"/>
  </r>
  <r>
    <n v="1705"/>
    <n v="15667"/>
    <x v="3"/>
    <n v="163586.15"/>
    <x v="2"/>
    <m/>
    <x v="0"/>
    <d v="2024-06-29T00:00:00"/>
    <m/>
    <x v="7"/>
  </r>
  <r>
    <n v="1706"/>
    <n v="18764"/>
    <x v="3"/>
    <n v="130329.85"/>
    <x v="0"/>
    <n v="6"/>
    <x v="1"/>
    <d v="2024-07-17T00:00:00"/>
    <d v="2024-07-23T00:00:00"/>
    <x v="2"/>
  </r>
  <r>
    <n v="1707"/>
    <n v="18013"/>
    <x v="1"/>
    <n v="94312.85"/>
    <x v="0"/>
    <n v="25"/>
    <x v="0"/>
    <d v="2024-12-25T00:00:00"/>
    <d v="2025-01-19T00:00:00"/>
    <x v="11"/>
  </r>
  <r>
    <n v="1708"/>
    <n v="13044"/>
    <x v="1"/>
    <n v="173612.16"/>
    <x v="0"/>
    <n v="15"/>
    <x v="3"/>
    <d v="2024-07-08T00:00:00"/>
    <d v="2024-07-23T00:00:00"/>
    <x v="2"/>
  </r>
  <r>
    <n v="1709"/>
    <n v="19776"/>
    <x v="3"/>
    <n v="185571.45"/>
    <x v="1"/>
    <n v="39"/>
    <x v="1"/>
    <d v="2024-11-23T00:00:00"/>
    <d v="2025-01-01T00:00:00"/>
    <x v="1"/>
  </r>
  <r>
    <n v="1710"/>
    <n v="15018"/>
    <x v="3"/>
    <n v="9642.18"/>
    <x v="0"/>
    <n v="4"/>
    <x v="3"/>
    <d v="2024-04-12T00:00:00"/>
    <d v="2024-04-16T00:00:00"/>
    <x v="10"/>
  </r>
  <r>
    <n v="1711"/>
    <n v="12233"/>
    <x v="3"/>
    <n v="15053.2"/>
    <x v="2"/>
    <m/>
    <x v="2"/>
    <d v="2024-11-28T00:00:00"/>
    <m/>
    <x v="1"/>
  </r>
  <r>
    <n v="1712"/>
    <n v="15637"/>
    <x v="1"/>
    <n v="191954.94"/>
    <x v="2"/>
    <m/>
    <x v="2"/>
    <d v="2024-10-01T00:00:00"/>
    <m/>
    <x v="6"/>
  </r>
  <r>
    <n v="1713"/>
    <n v="17467"/>
    <x v="1"/>
    <n v="59046.32"/>
    <x v="0"/>
    <n v="12"/>
    <x v="2"/>
    <d v="2024-05-09T00:00:00"/>
    <d v="2024-05-21T00:00:00"/>
    <x v="3"/>
  </r>
  <r>
    <n v="1714"/>
    <n v="13246"/>
    <x v="3"/>
    <n v="175307.04"/>
    <x v="0"/>
    <n v="40"/>
    <x v="2"/>
    <d v="2024-08-28T00:00:00"/>
    <d v="2024-10-07T00:00:00"/>
    <x v="8"/>
  </r>
  <r>
    <n v="1715"/>
    <n v="14041"/>
    <x v="1"/>
    <n v="80815.05"/>
    <x v="0"/>
    <n v="27"/>
    <x v="3"/>
    <d v="2024-05-13T00:00:00"/>
    <d v="2024-06-09T00:00:00"/>
    <x v="3"/>
  </r>
  <r>
    <n v="1716"/>
    <n v="11889"/>
    <x v="0"/>
    <n v="28224.51"/>
    <x v="0"/>
    <n v="2"/>
    <x v="1"/>
    <d v="2024-06-05T00:00:00"/>
    <d v="2024-06-07T00:00:00"/>
    <x v="7"/>
  </r>
  <r>
    <n v="1717"/>
    <n v="17676"/>
    <x v="3"/>
    <n v="20686.419999999998"/>
    <x v="0"/>
    <n v="17"/>
    <x v="1"/>
    <d v="2024-11-13T00:00:00"/>
    <d v="2024-11-30T00:00:00"/>
    <x v="1"/>
  </r>
  <r>
    <n v="1718"/>
    <n v="12655"/>
    <x v="3"/>
    <n v="35519.040000000001"/>
    <x v="2"/>
    <m/>
    <x v="0"/>
    <d v="2024-06-06T00:00:00"/>
    <m/>
    <x v="7"/>
  </r>
  <r>
    <n v="1719"/>
    <n v="13718"/>
    <x v="1"/>
    <n v="53729.17"/>
    <x v="1"/>
    <n v="6"/>
    <x v="3"/>
    <d v="2024-12-24T00:00:00"/>
    <d v="2024-12-30T00:00:00"/>
    <x v="11"/>
  </r>
  <r>
    <n v="1720"/>
    <n v="15535"/>
    <x v="3"/>
    <n v="100261.08"/>
    <x v="0"/>
    <n v="9"/>
    <x v="2"/>
    <d v="2024-07-08T00:00:00"/>
    <d v="2024-07-17T00:00:00"/>
    <x v="2"/>
  </r>
  <r>
    <n v="1721"/>
    <n v="19248"/>
    <x v="3"/>
    <n v="141792.09"/>
    <x v="0"/>
    <n v="22"/>
    <x v="3"/>
    <d v="2024-04-09T00:00:00"/>
    <d v="2024-05-01T00:00:00"/>
    <x v="10"/>
  </r>
  <r>
    <n v="1722"/>
    <n v="12129"/>
    <x v="1"/>
    <n v="197347.72"/>
    <x v="0"/>
    <n v="34"/>
    <x v="0"/>
    <d v="2024-02-21T00:00:00"/>
    <d v="2024-03-26T00:00:00"/>
    <x v="4"/>
  </r>
  <r>
    <n v="1723"/>
    <n v="19698"/>
    <x v="0"/>
    <n v="91093.81"/>
    <x v="0"/>
    <n v="40"/>
    <x v="0"/>
    <d v="2024-02-18T00:00:00"/>
    <d v="2024-03-29T00:00:00"/>
    <x v="4"/>
  </r>
  <r>
    <n v="1724"/>
    <n v="11630"/>
    <x v="0"/>
    <n v="106046.06"/>
    <x v="0"/>
    <n v="44"/>
    <x v="3"/>
    <d v="2024-04-09T00:00:00"/>
    <d v="2024-05-23T00:00:00"/>
    <x v="10"/>
  </r>
  <r>
    <n v="1725"/>
    <n v="15060"/>
    <x v="1"/>
    <n v="106754.06"/>
    <x v="1"/>
    <n v="21"/>
    <x v="3"/>
    <d v="2024-09-07T00:00:00"/>
    <d v="2024-09-28T00:00:00"/>
    <x v="9"/>
  </r>
  <r>
    <n v="1726"/>
    <n v="10991"/>
    <x v="1"/>
    <n v="110189.7"/>
    <x v="2"/>
    <m/>
    <x v="3"/>
    <d v="2024-02-23T00:00:00"/>
    <m/>
    <x v="4"/>
  </r>
  <r>
    <n v="1727"/>
    <n v="14590"/>
    <x v="3"/>
    <n v="105959.43"/>
    <x v="0"/>
    <n v="14"/>
    <x v="1"/>
    <d v="2024-05-16T00:00:00"/>
    <d v="2024-05-30T00:00:00"/>
    <x v="3"/>
  </r>
  <r>
    <n v="1728"/>
    <n v="19385"/>
    <x v="1"/>
    <n v="6711.08"/>
    <x v="1"/>
    <n v="40"/>
    <x v="2"/>
    <d v="2024-06-10T00:00:00"/>
    <d v="2024-07-20T00:00:00"/>
    <x v="7"/>
  </r>
  <r>
    <n v="1729"/>
    <n v="16866"/>
    <x v="3"/>
    <n v="5336.34"/>
    <x v="0"/>
    <n v="12"/>
    <x v="3"/>
    <d v="2024-12-19T00:00:00"/>
    <d v="2024-12-31T00:00:00"/>
    <x v="11"/>
  </r>
  <r>
    <n v="1730"/>
    <n v="18894"/>
    <x v="3"/>
    <n v="24044.93"/>
    <x v="1"/>
    <n v="19"/>
    <x v="3"/>
    <d v="2024-10-18T00:00:00"/>
    <d v="2024-11-06T00:00:00"/>
    <x v="6"/>
  </r>
  <r>
    <n v="1731"/>
    <n v="19222"/>
    <x v="1"/>
    <n v="24803.54"/>
    <x v="0"/>
    <n v="31"/>
    <x v="3"/>
    <d v="2024-03-21T00:00:00"/>
    <d v="2024-04-21T00:00:00"/>
    <x v="5"/>
  </r>
  <r>
    <n v="1732"/>
    <n v="14921"/>
    <x v="1"/>
    <n v="142454.9"/>
    <x v="0"/>
    <n v="34"/>
    <x v="0"/>
    <d v="2024-08-07T00:00:00"/>
    <d v="2024-09-10T00:00:00"/>
    <x v="8"/>
  </r>
  <r>
    <n v="1733"/>
    <n v="18021"/>
    <x v="3"/>
    <n v="44958.63"/>
    <x v="2"/>
    <m/>
    <x v="0"/>
    <d v="2024-03-25T00:00:00"/>
    <m/>
    <x v="5"/>
  </r>
  <r>
    <n v="1734"/>
    <n v="12481"/>
    <x v="2"/>
    <n v="179469.25"/>
    <x v="0"/>
    <n v="2"/>
    <x v="1"/>
    <d v="2024-03-23T00:00:00"/>
    <d v="2024-03-25T00:00:00"/>
    <x v="5"/>
  </r>
  <r>
    <n v="1735"/>
    <n v="18754"/>
    <x v="3"/>
    <n v="186078.23"/>
    <x v="1"/>
    <n v="37"/>
    <x v="2"/>
    <d v="2024-11-14T00:00:00"/>
    <d v="2024-12-21T00:00:00"/>
    <x v="1"/>
  </r>
  <r>
    <n v="1736"/>
    <n v="16281"/>
    <x v="3"/>
    <n v="195299.20000000001"/>
    <x v="0"/>
    <n v="7"/>
    <x v="1"/>
    <d v="2024-03-07T00:00:00"/>
    <d v="2024-03-14T00:00:00"/>
    <x v="5"/>
  </r>
  <r>
    <n v="1737"/>
    <n v="18558"/>
    <x v="3"/>
    <n v="188120.85"/>
    <x v="0"/>
    <n v="38"/>
    <x v="2"/>
    <d v="2024-08-21T00:00:00"/>
    <d v="2024-09-28T00:00:00"/>
    <x v="8"/>
  </r>
  <r>
    <n v="1738"/>
    <n v="16249"/>
    <x v="1"/>
    <n v="58018.22"/>
    <x v="0"/>
    <n v="30"/>
    <x v="0"/>
    <d v="2024-07-16T00:00:00"/>
    <d v="2024-08-15T00:00:00"/>
    <x v="2"/>
  </r>
  <r>
    <n v="1739"/>
    <n v="10793"/>
    <x v="1"/>
    <n v="104406.48"/>
    <x v="0"/>
    <n v="12"/>
    <x v="0"/>
    <d v="2024-09-15T00:00:00"/>
    <d v="2024-09-27T00:00:00"/>
    <x v="9"/>
  </r>
  <r>
    <n v="1740"/>
    <n v="14731"/>
    <x v="3"/>
    <n v="39213.72"/>
    <x v="0"/>
    <n v="14"/>
    <x v="0"/>
    <d v="2024-06-25T00:00:00"/>
    <d v="2024-07-09T00:00:00"/>
    <x v="7"/>
  </r>
  <r>
    <n v="1741"/>
    <n v="10986"/>
    <x v="1"/>
    <n v="162210.88"/>
    <x v="0"/>
    <n v="12"/>
    <x v="1"/>
    <d v="2024-10-24T00:00:00"/>
    <d v="2024-11-05T00:00:00"/>
    <x v="6"/>
  </r>
  <r>
    <n v="1742"/>
    <n v="19149"/>
    <x v="3"/>
    <n v="178244.18"/>
    <x v="0"/>
    <n v="39"/>
    <x v="3"/>
    <d v="2024-10-06T00:00:00"/>
    <d v="2024-11-14T00:00:00"/>
    <x v="6"/>
  </r>
  <r>
    <n v="1743"/>
    <n v="13595"/>
    <x v="1"/>
    <n v="171001.32"/>
    <x v="0"/>
    <n v="26"/>
    <x v="3"/>
    <d v="2024-10-26T00:00:00"/>
    <d v="2024-11-21T00:00:00"/>
    <x v="6"/>
  </r>
  <r>
    <n v="1744"/>
    <n v="10854"/>
    <x v="3"/>
    <n v="89506.55"/>
    <x v="1"/>
    <n v="16"/>
    <x v="0"/>
    <d v="2024-05-08T00:00:00"/>
    <d v="2024-05-24T00:00:00"/>
    <x v="3"/>
  </r>
  <r>
    <n v="1745"/>
    <n v="11569"/>
    <x v="3"/>
    <n v="152941.41"/>
    <x v="0"/>
    <n v="14"/>
    <x v="3"/>
    <d v="2024-06-28T00:00:00"/>
    <d v="2024-07-12T00:00:00"/>
    <x v="7"/>
  </r>
  <r>
    <n v="1746"/>
    <n v="12256"/>
    <x v="2"/>
    <n v="24027.94"/>
    <x v="2"/>
    <m/>
    <x v="3"/>
    <d v="2024-10-18T00:00:00"/>
    <m/>
    <x v="6"/>
  </r>
  <r>
    <n v="1747"/>
    <n v="14103"/>
    <x v="3"/>
    <n v="12847.73"/>
    <x v="0"/>
    <n v="34"/>
    <x v="1"/>
    <d v="2024-07-25T00:00:00"/>
    <d v="2024-08-28T00:00:00"/>
    <x v="2"/>
  </r>
  <r>
    <n v="1748"/>
    <n v="14176"/>
    <x v="3"/>
    <n v="151881.1"/>
    <x v="0"/>
    <n v="14"/>
    <x v="2"/>
    <d v="2024-10-20T00:00:00"/>
    <d v="2024-11-03T00:00:00"/>
    <x v="6"/>
  </r>
  <r>
    <n v="1749"/>
    <n v="17961"/>
    <x v="1"/>
    <n v="87944.28"/>
    <x v="0"/>
    <n v="39"/>
    <x v="0"/>
    <d v="2024-12-03T00:00:00"/>
    <d v="2025-01-11T00:00:00"/>
    <x v="11"/>
  </r>
  <r>
    <n v="1750"/>
    <n v="15254"/>
    <x v="2"/>
    <n v="199132.11"/>
    <x v="0"/>
    <n v="25"/>
    <x v="0"/>
    <d v="2024-06-23T00:00:00"/>
    <d v="2024-07-18T00:00:00"/>
    <x v="7"/>
  </r>
  <r>
    <n v="1751"/>
    <n v="18429"/>
    <x v="3"/>
    <n v="23964.57"/>
    <x v="0"/>
    <n v="21"/>
    <x v="1"/>
    <d v="2024-01-29T00:00:00"/>
    <d v="2024-02-19T00:00:00"/>
    <x v="0"/>
  </r>
  <r>
    <n v="1752"/>
    <n v="17906"/>
    <x v="3"/>
    <n v="171847.4"/>
    <x v="0"/>
    <n v="18"/>
    <x v="1"/>
    <d v="2024-06-27T00:00:00"/>
    <d v="2024-07-15T00:00:00"/>
    <x v="7"/>
  </r>
  <r>
    <n v="1753"/>
    <n v="16001"/>
    <x v="3"/>
    <n v="98596.7"/>
    <x v="0"/>
    <n v="25"/>
    <x v="3"/>
    <d v="2024-02-10T00:00:00"/>
    <d v="2024-03-06T00:00:00"/>
    <x v="4"/>
  </r>
  <r>
    <n v="1754"/>
    <n v="11732"/>
    <x v="1"/>
    <n v="166294.29"/>
    <x v="0"/>
    <n v="27"/>
    <x v="0"/>
    <d v="2024-07-10T00:00:00"/>
    <d v="2024-08-06T00:00:00"/>
    <x v="2"/>
  </r>
  <r>
    <n v="1755"/>
    <n v="10814"/>
    <x v="3"/>
    <n v="164339.82"/>
    <x v="1"/>
    <n v="41"/>
    <x v="2"/>
    <d v="2024-12-09T00:00:00"/>
    <d v="2025-01-19T00:00:00"/>
    <x v="11"/>
  </r>
  <r>
    <n v="1756"/>
    <n v="17035"/>
    <x v="1"/>
    <n v="183618.44"/>
    <x v="0"/>
    <n v="33"/>
    <x v="1"/>
    <d v="2024-08-24T00:00:00"/>
    <d v="2024-09-26T00:00:00"/>
    <x v="8"/>
  </r>
  <r>
    <n v="1757"/>
    <n v="11186"/>
    <x v="2"/>
    <n v="63080.75"/>
    <x v="0"/>
    <n v="30"/>
    <x v="2"/>
    <d v="2024-10-30T00:00:00"/>
    <d v="2024-11-29T00:00:00"/>
    <x v="6"/>
  </r>
  <r>
    <n v="1758"/>
    <n v="17581"/>
    <x v="3"/>
    <n v="190210.87"/>
    <x v="0"/>
    <n v="15"/>
    <x v="2"/>
    <d v="2024-08-12T00:00:00"/>
    <d v="2024-08-27T00:00:00"/>
    <x v="8"/>
  </r>
  <r>
    <n v="1759"/>
    <n v="12225"/>
    <x v="3"/>
    <n v="34575.06"/>
    <x v="1"/>
    <n v="38"/>
    <x v="0"/>
    <d v="2024-04-23T00:00:00"/>
    <d v="2024-05-31T00:00:00"/>
    <x v="10"/>
  </r>
  <r>
    <n v="1760"/>
    <n v="19176"/>
    <x v="3"/>
    <n v="20983.91"/>
    <x v="0"/>
    <n v="23"/>
    <x v="0"/>
    <d v="2024-10-04T00:00:00"/>
    <d v="2024-10-27T00:00:00"/>
    <x v="6"/>
  </r>
  <r>
    <n v="1761"/>
    <n v="16423"/>
    <x v="3"/>
    <n v="89165.03"/>
    <x v="0"/>
    <n v="35"/>
    <x v="1"/>
    <d v="2024-12-20T00:00:00"/>
    <d v="2025-01-24T00:00:00"/>
    <x v="11"/>
  </r>
  <r>
    <n v="1762"/>
    <n v="18989"/>
    <x v="0"/>
    <n v="166522.98000000001"/>
    <x v="0"/>
    <n v="28"/>
    <x v="0"/>
    <d v="2024-01-17T00:00:00"/>
    <d v="2024-02-14T00:00:00"/>
    <x v="0"/>
  </r>
  <r>
    <n v="1763"/>
    <n v="15173"/>
    <x v="3"/>
    <n v="97317.119999999995"/>
    <x v="0"/>
    <n v="29"/>
    <x v="0"/>
    <d v="2024-03-26T00:00:00"/>
    <d v="2024-04-24T00:00:00"/>
    <x v="5"/>
  </r>
  <r>
    <n v="1764"/>
    <n v="18735"/>
    <x v="3"/>
    <n v="166710.9"/>
    <x v="0"/>
    <n v="23"/>
    <x v="0"/>
    <d v="2024-11-12T00:00:00"/>
    <d v="2024-12-05T00:00:00"/>
    <x v="1"/>
  </r>
  <r>
    <n v="1765"/>
    <n v="15882"/>
    <x v="1"/>
    <n v="147288.93"/>
    <x v="1"/>
    <n v="44"/>
    <x v="2"/>
    <d v="2024-12-10T00:00:00"/>
    <d v="2025-01-23T00:00:00"/>
    <x v="11"/>
  </r>
  <r>
    <n v="1766"/>
    <n v="10519"/>
    <x v="3"/>
    <n v="45838.54"/>
    <x v="0"/>
    <n v="4"/>
    <x v="1"/>
    <d v="2024-06-29T00:00:00"/>
    <d v="2024-07-03T00:00:00"/>
    <x v="7"/>
  </r>
  <r>
    <n v="1767"/>
    <n v="15041"/>
    <x v="1"/>
    <n v="190031.92"/>
    <x v="0"/>
    <n v="23"/>
    <x v="3"/>
    <d v="2024-12-02T00:00:00"/>
    <d v="2024-12-25T00:00:00"/>
    <x v="11"/>
  </r>
  <r>
    <n v="1768"/>
    <n v="11454"/>
    <x v="3"/>
    <n v="16852.330000000002"/>
    <x v="0"/>
    <n v="22"/>
    <x v="2"/>
    <d v="2024-12-16T00:00:00"/>
    <d v="2025-01-07T00:00:00"/>
    <x v="11"/>
  </r>
  <r>
    <n v="1769"/>
    <n v="16870"/>
    <x v="0"/>
    <n v="180164.54"/>
    <x v="0"/>
    <n v="17"/>
    <x v="0"/>
    <d v="2024-05-24T00:00:00"/>
    <d v="2024-06-10T00:00:00"/>
    <x v="3"/>
  </r>
  <r>
    <n v="1770"/>
    <n v="17213"/>
    <x v="2"/>
    <n v="64366.47"/>
    <x v="0"/>
    <n v="10"/>
    <x v="2"/>
    <d v="2024-11-10T00:00:00"/>
    <d v="2024-11-20T00:00:00"/>
    <x v="1"/>
  </r>
  <r>
    <n v="1771"/>
    <n v="17759"/>
    <x v="1"/>
    <n v="102528.88"/>
    <x v="0"/>
    <n v="14"/>
    <x v="0"/>
    <d v="2024-08-12T00:00:00"/>
    <d v="2024-08-26T00:00:00"/>
    <x v="8"/>
  </r>
  <r>
    <n v="1772"/>
    <n v="19250"/>
    <x v="2"/>
    <n v="87358.62"/>
    <x v="0"/>
    <n v="11"/>
    <x v="0"/>
    <d v="2024-02-23T00:00:00"/>
    <d v="2024-03-05T00:00:00"/>
    <x v="4"/>
  </r>
  <r>
    <n v="1773"/>
    <n v="19304"/>
    <x v="3"/>
    <n v="38507.74"/>
    <x v="0"/>
    <n v="22"/>
    <x v="2"/>
    <d v="2024-10-30T00:00:00"/>
    <d v="2024-11-21T00:00:00"/>
    <x v="6"/>
  </r>
  <r>
    <n v="1774"/>
    <n v="13406"/>
    <x v="3"/>
    <n v="74838.64"/>
    <x v="0"/>
    <n v="43"/>
    <x v="1"/>
    <d v="2024-03-08T00:00:00"/>
    <d v="2024-04-20T00:00:00"/>
    <x v="5"/>
  </r>
  <r>
    <n v="1775"/>
    <n v="10946"/>
    <x v="1"/>
    <n v="42622.22"/>
    <x v="1"/>
    <n v="41"/>
    <x v="0"/>
    <d v="2024-04-16T00:00:00"/>
    <d v="2024-05-27T00:00:00"/>
    <x v="10"/>
  </r>
  <r>
    <n v="1776"/>
    <n v="14030"/>
    <x v="1"/>
    <n v="44757.86"/>
    <x v="0"/>
    <n v="8"/>
    <x v="1"/>
    <d v="2024-11-29T00:00:00"/>
    <d v="2024-12-07T00:00:00"/>
    <x v="1"/>
  </r>
  <r>
    <n v="1777"/>
    <n v="18327"/>
    <x v="3"/>
    <n v="41476.080000000002"/>
    <x v="0"/>
    <n v="23"/>
    <x v="3"/>
    <d v="2024-03-17T00:00:00"/>
    <d v="2024-04-09T00:00:00"/>
    <x v="5"/>
  </r>
  <r>
    <n v="1778"/>
    <n v="10792"/>
    <x v="3"/>
    <n v="100358.39"/>
    <x v="0"/>
    <n v="19"/>
    <x v="0"/>
    <d v="2024-01-27T00:00:00"/>
    <d v="2024-02-15T00:00:00"/>
    <x v="0"/>
  </r>
  <r>
    <n v="1779"/>
    <n v="11136"/>
    <x v="3"/>
    <n v="160596.62"/>
    <x v="0"/>
    <n v="22"/>
    <x v="1"/>
    <d v="2024-12-09T00:00:00"/>
    <d v="2024-12-31T00:00:00"/>
    <x v="11"/>
  </r>
  <r>
    <n v="1780"/>
    <n v="19554"/>
    <x v="3"/>
    <n v="115949.16"/>
    <x v="0"/>
    <n v="15"/>
    <x v="1"/>
    <d v="2024-06-03T00:00:00"/>
    <d v="2024-06-18T00:00:00"/>
    <x v="7"/>
  </r>
  <r>
    <n v="1781"/>
    <n v="10554"/>
    <x v="3"/>
    <n v="179175.28"/>
    <x v="0"/>
    <n v="11"/>
    <x v="3"/>
    <d v="2024-03-12T00:00:00"/>
    <d v="2024-03-23T00:00:00"/>
    <x v="5"/>
  </r>
  <r>
    <n v="1782"/>
    <n v="17037"/>
    <x v="1"/>
    <n v="129126.18"/>
    <x v="2"/>
    <m/>
    <x v="1"/>
    <d v="2024-06-28T00:00:00"/>
    <m/>
    <x v="7"/>
  </r>
  <r>
    <n v="1783"/>
    <n v="13403"/>
    <x v="3"/>
    <n v="139421.32"/>
    <x v="1"/>
    <n v="10"/>
    <x v="1"/>
    <d v="2024-02-16T00:00:00"/>
    <d v="2024-02-26T00:00:00"/>
    <x v="4"/>
  </r>
  <r>
    <n v="1784"/>
    <n v="12254"/>
    <x v="3"/>
    <n v="135183.41"/>
    <x v="0"/>
    <n v="19"/>
    <x v="3"/>
    <d v="2024-08-29T00:00:00"/>
    <d v="2024-09-17T00:00:00"/>
    <x v="8"/>
  </r>
  <r>
    <n v="1785"/>
    <n v="11366"/>
    <x v="1"/>
    <n v="92644.54"/>
    <x v="1"/>
    <n v="14"/>
    <x v="0"/>
    <d v="2024-12-24T00:00:00"/>
    <d v="2025-01-07T00:00:00"/>
    <x v="11"/>
  </r>
  <r>
    <n v="1786"/>
    <n v="10948"/>
    <x v="1"/>
    <n v="139421.07"/>
    <x v="1"/>
    <n v="18"/>
    <x v="1"/>
    <d v="2024-10-03T00:00:00"/>
    <d v="2024-10-21T00:00:00"/>
    <x v="6"/>
  </r>
  <r>
    <n v="1787"/>
    <n v="18295"/>
    <x v="0"/>
    <n v="18593.009999999998"/>
    <x v="0"/>
    <n v="24"/>
    <x v="1"/>
    <d v="2024-11-08T00:00:00"/>
    <d v="2024-12-02T00:00:00"/>
    <x v="1"/>
  </r>
  <r>
    <n v="1788"/>
    <n v="17809"/>
    <x v="1"/>
    <n v="172671.04"/>
    <x v="1"/>
    <n v="26"/>
    <x v="1"/>
    <d v="2024-04-14T00:00:00"/>
    <d v="2024-05-10T00:00:00"/>
    <x v="10"/>
  </r>
  <r>
    <n v="1789"/>
    <n v="17207"/>
    <x v="3"/>
    <n v="156673.37"/>
    <x v="0"/>
    <n v="17"/>
    <x v="2"/>
    <d v="2024-04-04T00:00:00"/>
    <d v="2024-04-21T00:00:00"/>
    <x v="10"/>
  </r>
  <r>
    <n v="1790"/>
    <n v="19238"/>
    <x v="0"/>
    <n v="52819.839999999997"/>
    <x v="0"/>
    <n v="25"/>
    <x v="3"/>
    <d v="2024-08-06T00:00:00"/>
    <d v="2024-08-31T00:00:00"/>
    <x v="8"/>
  </r>
  <r>
    <n v="1791"/>
    <n v="17419"/>
    <x v="1"/>
    <n v="154766.32999999999"/>
    <x v="0"/>
    <n v="32"/>
    <x v="2"/>
    <d v="2024-06-18T00:00:00"/>
    <d v="2024-07-20T00:00:00"/>
    <x v="7"/>
  </r>
  <r>
    <n v="1792"/>
    <n v="14026"/>
    <x v="3"/>
    <n v="7465.31"/>
    <x v="0"/>
    <n v="12"/>
    <x v="3"/>
    <d v="2024-10-09T00:00:00"/>
    <d v="2024-10-21T00:00:00"/>
    <x v="6"/>
  </r>
  <r>
    <n v="1793"/>
    <n v="15956"/>
    <x v="1"/>
    <n v="47363.08"/>
    <x v="0"/>
    <n v="24"/>
    <x v="0"/>
    <d v="2024-05-07T00:00:00"/>
    <d v="2024-05-31T00:00:00"/>
    <x v="3"/>
  </r>
  <r>
    <n v="1794"/>
    <n v="17369"/>
    <x v="2"/>
    <n v="17701.759999999998"/>
    <x v="0"/>
    <n v="42"/>
    <x v="0"/>
    <d v="2024-07-18T00:00:00"/>
    <d v="2024-08-29T00:00:00"/>
    <x v="2"/>
  </r>
  <r>
    <n v="1795"/>
    <n v="17322"/>
    <x v="3"/>
    <n v="157144.25"/>
    <x v="2"/>
    <m/>
    <x v="1"/>
    <d v="2024-11-27T00:00:00"/>
    <m/>
    <x v="1"/>
  </r>
  <r>
    <n v="1796"/>
    <n v="12614"/>
    <x v="3"/>
    <n v="152395.46"/>
    <x v="2"/>
    <m/>
    <x v="3"/>
    <d v="2024-02-04T00:00:00"/>
    <m/>
    <x v="4"/>
  </r>
  <r>
    <n v="1797"/>
    <n v="19155"/>
    <x v="3"/>
    <n v="163659.01999999999"/>
    <x v="1"/>
    <n v="34"/>
    <x v="0"/>
    <d v="2024-12-19T00:00:00"/>
    <d v="2025-01-22T00:00:00"/>
    <x v="11"/>
  </r>
  <r>
    <n v="1798"/>
    <n v="13271"/>
    <x v="3"/>
    <n v="5873.93"/>
    <x v="1"/>
    <n v="42"/>
    <x v="3"/>
    <d v="2024-05-23T00:00:00"/>
    <d v="2024-07-04T00:00:00"/>
    <x v="3"/>
  </r>
  <r>
    <n v="1799"/>
    <n v="19029"/>
    <x v="3"/>
    <n v="102740.38"/>
    <x v="2"/>
    <m/>
    <x v="0"/>
    <d v="2024-10-18T00:00:00"/>
    <m/>
    <x v="6"/>
  </r>
  <r>
    <n v="1800"/>
    <n v="17384"/>
    <x v="1"/>
    <n v="142443.06"/>
    <x v="0"/>
    <n v="19"/>
    <x v="2"/>
    <d v="2024-03-06T00:00:00"/>
    <d v="2024-03-25T00:00:00"/>
    <x v="5"/>
  </r>
  <r>
    <n v="1801"/>
    <n v="15678"/>
    <x v="3"/>
    <n v="35303.22"/>
    <x v="0"/>
    <n v="15"/>
    <x v="0"/>
    <d v="2024-08-06T00:00:00"/>
    <d v="2024-08-21T00:00:00"/>
    <x v="8"/>
  </r>
  <r>
    <n v="1802"/>
    <n v="10881"/>
    <x v="2"/>
    <n v="131709.19"/>
    <x v="0"/>
    <n v="29"/>
    <x v="2"/>
    <d v="2024-02-25T00:00:00"/>
    <d v="2024-03-25T00:00:00"/>
    <x v="4"/>
  </r>
  <r>
    <n v="1803"/>
    <n v="13188"/>
    <x v="1"/>
    <n v="21401.47"/>
    <x v="1"/>
    <n v="12"/>
    <x v="0"/>
    <d v="2024-05-24T00:00:00"/>
    <d v="2024-06-05T00:00:00"/>
    <x v="3"/>
  </r>
  <r>
    <n v="1804"/>
    <n v="13334"/>
    <x v="1"/>
    <n v="40358.54"/>
    <x v="0"/>
    <n v="25"/>
    <x v="1"/>
    <d v="2024-07-31T00:00:00"/>
    <d v="2024-08-25T00:00:00"/>
    <x v="2"/>
  </r>
  <r>
    <n v="1805"/>
    <n v="12198"/>
    <x v="0"/>
    <n v="97780.38"/>
    <x v="1"/>
    <n v="37"/>
    <x v="2"/>
    <d v="2024-04-03T00:00:00"/>
    <d v="2024-05-10T00:00:00"/>
    <x v="10"/>
  </r>
  <r>
    <n v="1806"/>
    <n v="18403"/>
    <x v="3"/>
    <n v="132445.20000000001"/>
    <x v="0"/>
    <n v="20"/>
    <x v="0"/>
    <d v="2024-04-15T00:00:00"/>
    <d v="2024-05-05T00:00:00"/>
    <x v="10"/>
  </r>
  <r>
    <n v="1807"/>
    <n v="19407"/>
    <x v="3"/>
    <n v="33444.480000000003"/>
    <x v="0"/>
    <n v="14"/>
    <x v="1"/>
    <d v="2024-03-24T00:00:00"/>
    <d v="2024-04-07T00:00:00"/>
    <x v="5"/>
  </r>
  <r>
    <n v="1808"/>
    <n v="19072"/>
    <x v="1"/>
    <n v="41118.550000000003"/>
    <x v="1"/>
    <n v="34"/>
    <x v="2"/>
    <d v="2024-05-15T00:00:00"/>
    <d v="2024-06-18T00:00:00"/>
    <x v="3"/>
  </r>
  <r>
    <n v="1809"/>
    <n v="10754"/>
    <x v="0"/>
    <n v="44867.040000000001"/>
    <x v="0"/>
    <n v="20"/>
    <x v="1"/>
    <d v="2024-05-25T00:00:00"/>
    <d v="2024-06-14T00:00:00"/>
    <x v="3"/>
  </r>
  <r>
    <n v="1810"/>
    <n v="15217"/>
    <x v="1"/>
    <n v="51546.66"/>
    <x v="0"/>
    <n v="33"/>
    <x v="3"/>
    <d v="2024-09-05T00:00:00"/>
    <d v="2024-10-08T00:00:00"/>
    <x v="9"/>
  </r>
  <r>
    <n v="1811"/>
    <n v="18892"/>
    <x v="3"/>
    <n v="49178"/>
    <x v="0"/>
    <n v="16"/>
    <x v="3"/>
    <d v="2024-01-18T00:00:00"/>
    <d v="2024-02-03T00:00:00"/>
    <x v="0"/>
  </r>
  <r>
    <n v="1812"/>
    <n v="10370"/>
    <x v="2"/>
    <n v="82054.080000000002"/>
    <x v="0"/>
    <n v="12"/>
    <x v="2"/>
    <d v="2024-05-04T00:00:00"/>
    <d v="2024-05-16T00:00:00"/>
    <x v="3"/>
  </r>
  <r>
    <n v="1813"/>
    <n v="11732"/>
    <x v="3"/>
    <n v="132488.98000000001"/>
    <x v="1"/>
    <n v="24"/>
    <x v="0"/>
    <d v="2024-01-02T00:00:00"/>
    <d v="2024-01-26T00:00:00"/>
    <x v="0"/>
  </r>
  <r>
    <n v="1814"/>
    <n v="15259"/>
    <x v="0"/>
    <n v="90416.2"/>
    <x v="0"/>
    <n v="6"/>
    <x v="2"/>
    <d v="2024-11-27T00:00:00"/>
    <d v="2024-12-03T00:00:00"/>
    <x v="1"/>
  </r>
  <r>
    <n v="1815"/>
    <n v="10801"/>
    <x v="2"/>
    <n v="156314.91"/>
    <x v="0"/>
    <n v="23"/>
    <x v="1"/>
    <d v="2024-07-18T00:00:00"/>
    <d v="2024-08-10T00:00:00"/>
    <x v="2"/>
  </r>
  <r>
    <n v="1816"/>
    <n v="16399"/>
    <x v="3"/>
    <n v="145257.35999999999"/>
    <x v="0"/>
    <n v="43"/>
    <x v="0"/>
    <d v="2024-05-17T00:00:00"/>
    <d v="2024-06-29T00:00:00"/>
    <x v="3"/>
  </r>
  <r>
    <n v="1817"/>
    <n v="19181"/>
    <x v="1"/>
    <n v="29672.75"/>
    <x v="1"/>
    <n v="19"/>
    <x v="3"/>
    <d v="2024-07-21T00:00:00"/>
    <d v="2024-08-09T00:00:00"/>
    <x v="2"/>
  </r>
  <r>
    <n v="1818"/>
    <n v="14771"/>
    <x v="3"/>
    <n v="14524.12"/>
    <x v="0"/>
    <n v="8"/>
    <x v="0"/>
    <d v="2024-10-08T00:00:00"/>
    <d v="2024-10-16T00:00:00"/>
    <x v="6"/>
  </r>
  <r>
    <n v="1819"/>
    <n v="17007"/>
    <x v="3"/>
    <n v="176198.6"/>
    <x v="0"/>
    <n v="34"/>
    <x v="3"/>
    <d v="2024-10-29T00:00:00"/>
    <d v="2024-12-02T00:00:00"/>
    <x v="6"/>
  </r>
  <r>
    <n v="1820"/>
    <n v="10415"/>
    <x v="1"/>
    <n v="20567.060000000001"/>
    <x v="1"/>
    <n v="4"/>
    <x v="0"/>
    <d v="2024-01-30T00:00:00"/>
    <d v="2024-02-03T00:00:00"/>
    <x v="0"/>
  </r>
  <r>
    <n v="1821"/>
    <n v="13337"/>
    <x v="1"/>
    <n v="33926.14"/>
    <x v="0"/>
    <n v="29"/>
    <x v="0"/>
    <d v="2024-02-25T00:00:00"/>
    <d v="2024-03-25T00:00:00"/>
    <x v="4"/>
  </r>
  <r>
    <n v="1822"/>
    <n v="15258"/>
    <x v="2"/>
    <n v="9315.99"/>
    <x v="1"/>
    <n v="2"/>
    <x v="0"/>
    <d v="2024-04-28T00:00:00"/>
    <d v="2024-04-30T00:00:00"/>
    <x v="10"/>
  </r>
  <r>
    <n v="1823"/>
    <n v="18027"/>
    <x v="1"/>
    <n v="127525.59"/>
    <x v="0"/>
    <n v="38"/>
    <x v="1"/>
    <d v="2024-05-11T00:00:00"/>
    <d v="2024-06-18T00:00:00"/>
    <x v="3"/>
  </r>
  <r>
    <n v="1824"/>
    <n v="15057"/>
    <x v="3"/>
    <n v="118562.26"/>
    <x v="0"/>
    <n v="23"/>
    <x v="1"/>
    <d v="2024-08-18T00:00:00"/>
    <d v="2024-09-10T00:00:00"/>
    <x v="8"/>
  </r>
  <r>
    <n v="1825"/>
    <n v="16967"/>
    <x v="0"/>
    <n v="197446.21"/>
    <x v="0"/>
    <n v="20"/>
    <x v="2"/>
    <d v="2024-05-31T00:00:00"/>
    <d v="2024-06-20T00:00:00"/>
    <x v="3"/>
  </r>
  <r>
    <n v="1826"/>
    <n v="11620"/>
    <x v="2"/>
    <n v="177951.82"/>
    <x v="2"/>
    <m/>
    <x v="2"/>
    <d v="2024-01-21T00:00:00"/>
    <m/>
    <x v="0"/>
  </r>
  <r>
    <n v="1827"/>
    <n v="19727"/>
    <x v="3"/>
    <n v="85114.42"/>
    <x v="1"/>
    <n v="4"/>
    <x v="3"/>
    <d v="2024-03-08T00:00:00"/>
    <d v="2024-03-12T00:00:00"/>
    <x v="5"/>
  </r>
  <r>
    <n v="1828"/>
    <n v="15982"/>
    <x v="2"/>
    <n v="77459.240000000005"/>
    <x v="0"/>
    <n v="20"/>
    <x v="1"/>
    <d v="2024-05-05T00:00:00"/>
    <d v="2024-05-25T00:00:00"/>
    <x v="3"/>
  </r>
  <r>
    <n v="1829"/>
    <n v="17993"/>
    <x v="3"/>
    <n v="62886.15"/>
    <x v="0"/>
    <n v="34"/>
    <x v="3"/>
    <d v="2024-02-12T00:00:00"/>
    <d v="2024-03-17T00:00:00"/>
    <x v="4"/>
  </r>
  <r>
    <n v="1830"/>
    <n v="12792"/>
    <x v="0"/>
    <n v="34719.35"/>
    <x v="1"/>
    <n v="22"/>
    <x v="2"/>
    <d v="2024-06-30T00:00:00"/>
    <d v="2024-07-22T00:00:00"/>
    <x v="7"/>
  </r>
  <r>
    <n v="1831"/>
    <n v="18764"/>
    <x v="3"/>
    <n v="31926.31"/>
    <x v="0"/>
    <n v="2"/>
    <x v="3"/>
    <d v="2024-04-09T00:00:00"/>
    <d v="2024-04-11T00:00:00"/>
    <x v="10"/>
  </r>
  <r>
    <n v="1832"/>
    <n v="17386"/>
    <x v="3"/>
    <n v="30795.32"/>
    <x v="1"/>
    <n v="27"/>
    <x v="2"/>
    <d v="2024-12-14T00:00:00"/>
    <d v="2025-01-10T00:00:00"/>
    <x v="11"/>
  </r>
  <r>
    <n v="1833"/>
    <n v="14893"/>
    <x v="3"/>
    <n v="27252.38"/>
    <x v="0"/>
    <n v="11"/>
    <x v="1"/>
    <d v="2024-08-27T00:00:00"/>
    <d v="2024-09-07T00:00:00"/>
    <x v="8"/>
  </r>
  <r>
    <n v="1834"/>
    <n v="15096"/>
    <x v="1"/>
    <n v="51899.85"/>
    <x v="1"/>
    <n v="36"/>
    <x v="0"/>
    <d v="2024-07-18T00:00:00"/>
    <d v="2024-08-23T00:00:00"/>
    <x v="2"/>
  </r>
  <r>
    <n v="1835"/>
    <n v="14856"/>
    <x v="3"/>
    <n v="64800.38"/>
    <x v="0"/>
    <n v="14"/>
    <x v="1"/>
    <d v="2024-04-25T00:00:00"/>
    <d v="2024-05-09T00:00:00"/>
    <x v="10"/>
  </r>
  <r>
    <n v="1836"/>
    <n v="13655"/>
    <x v="3"/>
    <n v="192507.9"/>
    <x v="0"/>
    <n v="7"/>
    <x v="3"/>
    <d v="2024-04-24T00:00:00"/>
    <d v="2024-05-01T00:00:00"/>
    <x v="10"/>
  </r>
  <r>
    <n v="1837"/>
    <n v="18484"/>
    <x v="1"/>
    <n v="117802.28"/>
    <x v="0"/>
    <n v="44"/>
    <x v="3"/>
    <d v="2024-05-21T00:00:00"/>
    <d v="2024-07-04T00:00:00"/>
    <x v="3"/>
  </r>
  <r>
    <n v="1838"/>
    <n v="14293"/>
    <x v="2"/>
    <n v="197581.18"/>
    <x v="2"/>
    <m/>
    <x v="1"/>
    <d v="2024-04-28T00:00:00"/>
    <m/>
    <x v="10"/>
  </r>
  <r>
    <n v="1839"/>
    <n v="10079"/>
    <x v="3"/>
    <n v="77631.05"/>
    <x v="0"/>
    <n v="36"/>
    <x v="1"/>
    <d v="2024-04-02T00:00:00"/>
    <d v="2024-05-08T00:00:00"/>
    <x v="10"/>
  </r>
  <r>
    <n v="1840"/>
    <n v="14308"/>
    <x v="3"/>
    <n v="94237.19"/>
    <x v="0"/>
    <n v="17"/>
    <x v="2"/>
    <d v="2024-01-09T00:00:00"/>
    <d v="2024-01-26T00:00:00"/>
    <x v="0"/>
  </r>
  <r>
    <n v="1841"/>
    <n v="11862"/>
    <x v="3"/>
    <n v="68292.84"/>
    <x v="0"/>
    <n v="42"/>
    <x v="3"/>
    <d v="2024-03-13T00:00:00"/>
    <d v="2024-04-24T00:00:00"/>
    <x v="5"/>
  </r>
  <r>
    <n v="1842"/>
    <n v="10618"/>
    <x v="3"/>
    <n v="40663.089999999997"/>
    <x v="0"/>
    <n v="9"/>
    <x v="3"/>
    <d v="2024-01-26T00:00:00"/>
    <d v="2024-02-04T00:00:00"/>
    <x v="0"/>
  </r>
  <r>
    <n v="1843"/>
    <n v="10959"/>
    <x v="0"/>
    <n v="32917.120000000003"/>
    <x v="1"/>
    <n v="4"/>
    <x v="1"/>
    <d v="2024-08-26T00:00:00"/>
    <d v="2024-08-30T00:00:00"/>
    <x v="8"/>
  </r>
  <r>
    <n v="1844"/>
    <n v="13735"/>
    <x v="0"/>
    <n v="189290.44"/>
    <x v="1"/>
    <n v="6"/>
    <x v="0"/>
    <d v="2024-12-27T00:00:00"/>
    <d v="2025-01-02T00:00:00"/>
    <x v="11"/>
  </r>
  <r>
    <n v="1845"/>
    <n v="18114"/>
    <x v="1"/>
    <n v="197428.08"/>
    <x v="0"/>
    <n v="22"/>
    <x v="3"/>
    <d v="2024-05-24T00:00:00"/>
    <d v="2024-06-15T00:00:00"/>
    <x v="3"/>
  </r>
  <r>
    <n v="1846"/>
    <n v="12168"/>
    <x v="3"/>
    <n v="13757.35"/>
    <x v="2"/>
    <m/>
    <x v="0"/>
    <d v="2024-03-08T00:00:00"/>
    <m/>
    <x v="5"/>
  </r>
  <r>
    <n v="1847"/>
    <n v="13245"/>
    <x v="1"/>
    <n v="34317.449999999997"/>
    <x v="1"/>
    <n v="15"/>
    <x v="1"/>
    <d v="2024-07-06T00:00:00"/>
    <d v="2024-07-21T00:00:00"/>
    <x v="2"/>
  </r>
  <r>
    <n v="1848"/>
    <n v="17235"/>
    <x v="1"/>
    <n v="87587.199999999997"/>
    <x v="1"/>
    <n v="38"/>
    <x v="1"/>
    <d v="2024-05-10T00:00:00"/>
    <d v="2024-06-17T00:00:00"/>
    <x v="3"/>
  </r>
  <r>
    <n v="1849"/>
    <n v="19914"/>
    <x v="0"/>
    <n v="41335.03"/>
    <x v="0"/>
    <n v="20"/>
    <x v="2"/>
    <d v="2024-08-08T00:00:00"/>
    <d v="2024-08-28T00:00:00"/>
    <x v="8"/>
  </r>
  <r>
    <n v="1850"/>
    <n v="11161"/>
    <x v="1"/>
    <n v="75956.679999999993"/>
    <x v="1"/>
    <n v="38"/>
    <x v="3"/>
    <d v="2024-10-07T00:00:00"/>
    <d v="2024-11-14T00:00:00"/>
    <x v="6"/>
  </r>
  <r>
    <n v="1851"/>
    <n v="12040"/>
    <x v="1"/>
    <n v="30173.79"/>
    <x v="0"/>
    <n v="21"/>
    <x v="0"/>
    <d v="2024-10-03T00:00:00"/>
    <d v="2024-10-24T00:00:00"/>
    <x v="6"/>
  </r>
  <r>
    <n v="1852"/>
    <n v="18160"/>
    <x v="1"/>
    <n v="94019.79"/>
    <x v="0"/>
    <n v="3"/>
    <x v="2"/>
    <d v="2024-05-19T00:00:00"/>
    <d v="2024-05-22T00:00:00"/>
    <x v="3"/>
  </r>
  <r>
    <n v="1853"/>
    <n v="15649"/>
    <x v="3"/>
    <n v="57980.45"/>
    <x v="1"/>
    <n v="8"/>
    <x v="3"/>
    <d v="2024-02-23T00:00:00"/>
    <d v="2024-03-02T00:00:00"/>
    <x v="4"/>
  </r>
  <r>
    <n v="1854"/>
    <n v="19291"/>
    <x v="2"/>
    <n v="73621.490000000005"/>
    <x v="0"/>
    <n v="34"/>
    <x v="2"/>
    <d v="2024-01-01T00:00:00"/>
    <d v="2024-02-04T00:00:00"/>
    <x v="0"/>
  </r>
  <r>
    <n v="1855"/>
    <n v="17318"/>
    <x v="1"/>
    <n v="23390.97"/>
    <x v="0"/>
    <n v="43"/>
    <x v="1"/>
    <d v="2024-05-07T00:00:00"/>
    <d v="2024-06-19T00:00:00"/>
    <x v="3"/>
  </r>
  <r>
    <n v="1856"/>
    <n v="19880"/>
    <x v="1"/>
    <n v="88484.97"/>
    <x v="1"/>
    <n v="7"/>
    <x v="3"/>
    <d v="2024-01-01T00:00:00"/>
    <d v="2024-01-08T00:00:00"/>
    <x v="0"/>
  </r>
  <r>
    <n v="1857"/>
    <n v="17483"/>
    <x v="3"/>
    <n v="196735.23"/>
    <x v="1"/>
    <n v="8"/>
    <x v="2"/>
    <d v="2024-06-21T00:00:00"/>
    <d v="2024-06-29T00:00:00"/>
    <x v="7"/>
  </r>
  <r>
    <n v="1858"/>
    <n v="14132"/>
    <x v="1"/>
    <n v="69122.44"/>
    <x v="0"/>
    <n v="19"/>
    <x v="2"/>
    <d v="2024-09-22T00:00:00"/>
    <d v="2024-10-11T00:00:00"/>
    <x v="9"/>
  </r>
  <r>
    <n v="1859"/>
    <n v="10844"/>
    <x v="1"/>
    <n v="175903.71"/>
    <x v="1"/>
    <n v="44"/>
    <x v="0"/>
    <d v="2024-10-22T00:00:00"/>
    <d v="2024-12-05T00:00:00"/>
    <x v="6"/>
  </r>
  <r>
    <n v="1860"/>
    <n v="15777"/>
    <x v="3"/>
    <n v="169423.83"/>
    <x v="0"/>
    <n v="30"/>
    <x v="2"/>
    <d v="2024-09-12T00:00:00"/>
    <d v="2024-10-12T00:00:00"/>
    <x v="9"/>
  </r>
  <r>
    <n v="1861"/>
    <n v="11643"/>
    <x v="3"/>
    <n v="190651.39"/>
    <x v="0"/>
    <n v="20"/>
    <x v="3"/>
    <d v="2024-06-22T00:00:00"/>
    <d v="2024-07-12T00:00:00"/>
    <x v="7"/>
  </r>
  <r>
    <n v="1862"/>
    <n v="11263"/>
    <x v="1"/>
    <n v="159071.35"/>
    <x v="1"/>
    <n v="26"/>
    <x v="3"/>
    <d v="2024-02-14T00:00:00"/>
    <d v="2024-03-11T00:00:00"/>
    <x v="4"/>
  </r>
  <r>
    <n v="1863"/>
    <n v="12934"/>
    <x v="1"/>
    <n v="133621.38"/>
    <x v="0"/>
    <n v="5"/>
    <x v="0"/>
    <d v="2024-12-08T00:00:00"/>
    <d v="2024-12-13T00:00:00"/>
    <x v="11"/>
  </r>
  <r>
    <n v="1864"/>
    <n v="16139"/>
    <x v="1"/>
    <n v="172033.97"/>
    <x v="0"/>
    <n v="14"/>
    <x v="3"/>
    <d v="2024-05-20T00:00:00"/>
    <d v="2024-06-03T00:00:00"/>
    <x v="3"/>
  </r>
  <r>
    <n v="1865"/>
    <n v="17174"/>
    <x v="3"/>
    <n v="19750.71"/>
    <x v="0"/>
    <n v="33"/>
    <x v="1"/>
    <d v="2024-01-27T00:00:00"/>
    <d v="2024-02-29T00:00:00"/>
    <x v="0"/>
  </r>
  <r>
    <n v="1866"/>
    <n v="10215"/>
    <x v="1"/>
    <n v="95251.98"/>
    <x v="0"/>
    <n v="28"/>
    <x v="3"/>
    <d v="2024-08-20T00:00:00"/>
    <d v="2024-09-17T00:00:00"/>
    <x v="8"/>
  </r>
  <r>
    <n v="1867"/>
    <n v="14776"/>
    <x v="3"/>
    <n v="197904.97"/>
    <x v="0"/>
    <n v="35"/>
    <x v="3"/>
    <d v="2024-07-27T00:00:00"/>
    <d v="2024-08-31T00:00:00"/>
    <x v="2"/>
  </r>
  <r>
    <n v="1868"/>
    <n v="12340"/>
    <x v="3"/>
    <n v="155072.03"/>
    <x v="1"/>
    <n v="29"/>
    <x v="2"/>
    <d v="2024-02-19T00:00:00"/>
    <d v="2024-03-19T00:00:00"/>
    <x v="4"/>
  </r>
  <r>
    <n v="1869"/>
    <n v="17706"/>
    <x v="3"/>
    <n v="192604.7"/>
    <x v="1"/>
    <n v="10"/>
    <x v="2"/>
    <d v="2024-03-01T00:00:00"/>
    <d v="2024-03-11T00:00:00"/>
    <x v="5"/>
  </r>
  <r>
    <n v="1870"/>
    <n v="19699"/>
    <x v="3"/>
    <n v="157028.70000000001"/>
    <x v="0"/>
    <n v="9"/>
    <x v="3"/>
    <d v="2024-08-30T00:00:00"/>
    <d v="2024-09-08T00:00:00"/>
    <x v="8"/>
  </r>
  <r>
    <n v="1871"/>
    <n v="12090"/>
    <x v="3"/>
    <n v="175601.98"/>
    <x v="1"/>
    <n v="22"/>
    <x v="0"/>
    <d v="2024-09-25T00:00:00"/>
    <d v="2024-10-17T00:00:00"/>
    <x v="9"/>
  </r>
  <r>
    <n v="1872"/>
    <n v="11116"/>
    <x v="3"/>
    <n v="142773.28"/>
    <x v="0"/>
    <n v="31"/>
    <x v="2"/>
    <d v="2024-05-19T00:00:00"/>
    <d v="2024-06-19T00:00:00"/>
    <x v="3"/>
  </r>
  <r>
    <n v="1873"/>
    <n v="17750"/>
    <x v="3"/>
    <n v="153297.89000000001"/>
    <x v="0"/>
    <n v="30"/>
    <x v="0"/>
    <d v="2024-06-05T00:00:00"/>
    <d v="2024-07-05T00:00:00"/>
    <x v="7"/>
  </r>
  <r>
    <n v="1874"/>
    <n v="15334"/>
    <x v="3"/>
    <n v="107019.71"/>
    <x v="1"/>
    <n v="10"/>
    <x v="3"/>
    <d v="2024-03-25T00:00:00"/>
    <d v="2024-04-04T00:00:00"/>
    <x v="5"/>
  </r>
  <r>
    <n v="1875"/>
    <n v="12161"/>
    <x v="1"/>
    <n v="185226.35"/>
    <x v="0"/>
    <n v="14"/>
    <x v="3"/>
    <d v="2024-03-24T00:00:00"/>
    <d v="2024-04-07T00:00:00"/>
    <x v="5"/>
  </r>
  <r>
    <n v="1876"/>
    <n v="13256"/>
    <x v="3"/>
    <n v="165882.59"/>
    <x v="0"/>
    <n v="19"/>
    <x v="1"/>
    <d v="2024-10-02T00:00:00"/>
    <d v="2024-10-21T00:00:00"/>
    <x v="6"/>
  </r>
  <r>
    <n v="1877"/>
    <n v="19340"/>
    <x v="3"/>
    <n v="169557.57"/>
    <x v="0"/>
    <n v="39"/>
    <x v="2"/>
    <d v="2024-01-31T00:00:00"/>
    <d v="2024-03-10T00:00:00"/>
    <x v="0"/>
  </r>
  <r>
    <n v="1878"/>
    <n v="13176"/>
    <x v="0"/>
    <n v="136236.76999999999"/>
    <x v="0"/>
    <n v="23"/>
    <x v="3"/>
    <d v="2024-01-08T00:00:00"/>
    <d v="2024-01-31T00:00:00"/>
    <x v="0"/>
  </r>
  <r>
    <n v="1879"/>
    <n v="16380"/>
    <x v="3"/>
    <n v="64393.09"/>
    <x v="1"/>
    <n v="32"/>
    <x v="1"/>
    <d v="2024-10-06T00:00:00"/>
    <d v="2024-11-07T00:00:00"/>
    <x v="6"/>
  </r>
  <r>
    <n v="1880"/>
    <n v="13345"/>
    <x v="1"/>
    <n v="11947.81"/>
    <x v="0"/>
    <n v="36"/>
    <x v="2"/>
    <d v="2024-07-21T00:00:00"/>
    <d v="2024-08-26T00:00:00"/>
    <x v="2"/>
  </r>
  <r>
    <n v="1881"/>
    <n v="16996"/>
    <x v="3"/>
    <n v="187452.75"/>
    <x v="0"/>
    <n v="43"/>
    <x v="3"/>
    <d v="2024-02-02T00:00:00"/>
    <d v="2024-03-16T00:00:00"/>
    <x v="4"/>
  </r>
  <r>
    <n v="1882"/>
    <n v="19332"/>
    <x v="3"/>
    <n v="119293.47"/>
    <x v="0"/>
    <n v="43"/>
    <x v="3"/>
    <d v="2024-10-24T00:00:00"/>
    <d v="2024-12-06T00:00:00"/>
    <x v="6"/>
  </r>
  <r>
    <n v="1883"/>
    <n v="12933"/>
    <x v="1"/>
    <n v="63137.88"/>
    <x v="0"/>
    <n v="11"/>
    <x v="2"/>
    <d v="2024-05-22T00:00:00"/>
    <d v="2024-06-02T00:00:00"/>
    <x v="3"/>
  </r>
  <r>
    <n v="1884"/>
    <n v="17741"/>
    <x v="1"/>
    <n v="34081.35"/>
    <x v="0"/>
    <n v="10"/>
    <x v="2"/>
    <d v="2024-12-15T00:00:00"/>
    <d v="2024-12-25T00:00:00"/>
    <x v="11"/>
  </r>
  <r>
    <n v="1885"/>
    <n v="15655"/>
    <x v="0"/>
    <n v="166757.01999999999"/>
    <x v="0"/>
    <n v="32"/>
    <x v="2"/>
    <d v="2024-02-06T00:00:00"/>
    <d v="2024-03-09T00:00:00"/>
    <x v="4"/>
  </r>
  <r>
    <n v="1886"/>
    <n v="12448"/>
    <x v="1"/>
    <n v="168121.44"/>
    <x v="1"/>
    <n v="41"/>
    <x v="3"/>
    <d v="2024-05-26T00:00:00"/>
    <d v="2024-07-06T00:00:00"/>
    <x v="3"/>
  </r>
  <r>
    <n v="1887"/>
    <n v="10827"/>
    <x v="2"/>
    <n v="163829.04999999999"/>
    <x v="2"/>
    <m/>
    <x v="3"/>
    <d v="2024-08-15T00:00:00"/>
    <m/>
    <x v="8"/>
  </r>
  <r>
    <n v="1888"/>
    <n v="15896"/>
    <x v="3"/>
    <n v="130791.12"/>
    <x v="0"/>
    <n v="42"/>
    <x v="1"/>
    <d v="2024-02-03T00:00:00"/>
    <d v="2024-03-16T00:00:00"/>
    <x v="4"/>
  </r>
  <r>
    <n v="1889"/>
    <n v="11203"/>
    <x v="3"/>
    <n v="76373"/>
    <x v="0"/>
    <n v="9"/>
    <x v="0"/>
    <d v="2024-08-24T00:00:00"/>
    <d v="2024-09-02T00:00:00"/>
    <x v="8"/>
  </r>
  <r>
    <n v="1890"/>
    <n v="16619"/>
    <x v="3"/>
    <n v="64293.71"/>
    <x v="0"/>
    <n v="21"/>
    <x v="2"/>
    <d v="2024-07-30T00:00:00"/>
    <d v="2024-08-20T00:00:00"/>
    <x v="2"/>
  </r>
  <r>
    <n v="1891"/>
    <n v="16798"/>
    <x v="3"/>
    <n v="6668.18"/>
    <x v="2"/>
    <m/>
    <x v="3"/>
    <d v="2024-11-04T00:00:00"/>
    <m/>
    <x v="1"/>
  </r>
  <r>
    <n v="1892"/>
    <n v="10844"/>
    <x v="1"/>
    <n v="167553.47"/>
    <x v="2"/>
    <m/>
    <x v="3"/>
    <d v="2024-05-19T00:00:00"/>
    <m/>
    <x v="3"/>
  </r>
  <r>
    <n v="1893"/>
    <n v="12971"/>
    <x v="1"/>
    <n v="22049.38"/>
    <x v="0"/>
    <n v="7"/>
    <x v="2"/>
    <d v="2024-07-08T00:00:00"/>
    <d v="2024-07-15T00:00:00"/>
    <x v="2"/>
  </r>
  <r>
    <n v="1894"/>
    <n v="11268"/>
    <x v="3"/>
    <n v="127997.22"/>
    <x v="1"/>
    <n v="43"/>
    <x v="0"/>
    <d v="2024-04-05T00:00:00"/>
    <d v="2024-05-18T00:00:00"/>
    <x v="10"/>
  </r>
  <r>
    <n v="1895"/>
    <n v="14744"/>
    <x v="2"/>
    <n v="103294.61"/>
    <x v="0"/>
    <n v="34"/>
    <x v="2"/>
    <d v="2024-07-12T00:00:00"/>
    <d v="2024-08-15T00:00:00"/>
    <x v="2"/>
  </r>
  <r>
    <n v="1896"/>
    <n v="17735"/>
    <x v="0"/>
    <n v="107704.42"/>
    <x v="0"/>
    <n v="29"/>
    <x v="0"/>
    <d v="2024-12-26T00:00:00"/>
    <d v="2025-01-24T00:00:00"/>
    <x v="11"/>
  </r>
  <r>
    <n v="1897"/>
    <n v="19821"/>
    <x v="3"/>
    <n v="185709"/>
    <x v="0"/>
    <n v="2"/>
    <x v="3"/>
    <d v="2024-10-30T00:00:00"/>
    <d v="2024-11-01T00:00:00"/>
    <x v="6"/>
  </r>
  <r>
    <n v="1898"/>
    <n v="13530"/>
    <x v="3"/>
    <n v="11164.93"/>
    <x v="0"/>
    <n v="42"/>
    <x v="0"/>
    <d v="2024-10-22T00:00:00"/>
    <d v="2024-12-03T00:00:00"/>
    <x v="6"/>
  </r>
  <r>
    <n v="1899"/>
    <n v="15085"/>
    <x v="3"/>
    <n v="155811.48000000001"/>
    <x v="0"/>
    <n v="36"/>
    <x v="1"/>
    <d v="2024-05-31T00:00:00"/>
    <d v="2024-07-06T00:00:00"/>
    <x v="3"/>
  </r>
  <r>
    <n v="1900"/>
    <n v="18995"/>
    <x v="3"/>
    <n v="15150.22"/>
    <x v="0"/>
    <n v="25"/>
    <x v="3"/>
    <d v="2024-08-10T00:00:00"/>
    <d v="2024-09-04T00:00:00"/>
    <x v="8"/>
  </r>
  <r>
    <n v="1901"/>
    <n v="18319"/>
    <x v="3"/>
    <n v="12439.95"/>
    <x v="0"/>
    <n v="7"/>
    <x v="1"/>
    <d v="2024-07-14T00:00:00"/>
    <d v="2024-07-21T00:00:00"/>
    <x v="2"/>
  </r>
  <r>
    <n v="1902"/>
    <n v="19143"/>
    <x v="1"/>
    <n v="88814.45"/>
    <x v="0"/>
    <n v="8"/>
    <x v="2"/>
    <d v="2024-03-28T00:00:00"/>
    <d v="2024-04-05T00:00:00"/>
    <x v="5"/>
  </r>
  <r>
    <n v="1903"/>
    <n v="12264"/>
    <x v="3"/>
    <n v="17299.66"/>
    <x v="0"/>
    <n v="10"/>
    <x v="2"/>
    <d v="2024-10-25T00:00:00"/>
    <d v="2024-11-04T00:00:00"/>
    <x v="6"/>
  </r>
  <r>
    <n v="1904"/>
    <n v="10019"/>
    <x v="3"/>
    <n v="158883.07"/>
    <x v="0"/>
    <n v="38"/>
    <x v="2"/>
    <d v="2024-01-17T00:00:00"/>
    <d v="2024-02-24T00:00:00"/>
    <x v="0"/>
  </r>
  <r>
    <n v="1905"/>
    <n v="11781"/>
    <x v="2"/>
    <n v="108264.8"/>
    <x v="0"/>
    <n v="17"/>
    <x v="0"/>
    <d v="2024-07-29T00:00:00"/>
    <d v="2024-08-15T00:00:00"/>
    <x v="2"/>
  </r>
  <r>
    <n v="1906"/>
    <n v="16857"/>
    <x v="1"/>
    <n v="10662.56"/>
    <x v="0"/>
    <n v="35"/>
    <x v="3"/>
    <d v="2024-08-19T00:00:00"/>
    <d v="2024-09-23T00:00:00"/>
    <x v="8"/>
  </r>
  <r>
    <n v="1907"/>
    <n v="14834"/>
    <x v="2"/>
    <n v="12897.63"/>
    <x v="0"/>
    <n v="36"/>
    <x v="2"/>
    <d v="2024-12-23T00:00:00"/>
    <d v="2025-01-28T00:00:00"/>
    <x v="11"/>
  </r>
  <r>
    <n v="1908"/>
    <n v="17296"/>
    <x v="3"/>
    <n v="124470.36"/>
    <x v="0"/>
    <n v="36"/>
    <x v="2"/>
    <d v="2024-07-01T00:00:00"/>
    <d v="2024-08-06T00:00:00"/>
    <x v="2"/>
  </r>
  <r>
    <n v="1909"/>
    <n v="18748"/>
    <x v="3"/>
    <n v="162191.79999999999"/>
    <x v="0"/>
    <n v="21"/>
    <x v="3"/>
    <d v="2024-06-10T00:00:00"/>
    <d v="2024-07-01T00:00:00"/>
    <x v="7"/>
  </r>
  <r>
    <n v="1910"/>
    <n v="12244"/>
    <x v="1"/>
    <n v="90370.91"/>
    <x v="0"/>
    <n v="24"/>
    <x v="2"/>
    <d v="2024-03-10T00:00:00"/>
    <d v="2024-04-03T00:00:00"/>
    <x v="5"/>
  </r>
  <r>
    <n v="1911"/>
    <n v="12983"/>
    <x v="3"/>
    <n v="113143.23"/>
    <x v="0"/>
    <n v="43"/>
    <x v="1"/>
    <d v="2024-02-29T00:00:00"/>
    <d v="2024-04-12T00:00:00"/>
    <x v="4"/>
  </r>
  <r>
    <n v="1912"/>
    <n v="12725"/>
    <x v="3"/>
    <n v="160966.74"/>
    <x v="0"/>
    <n v="36"/>
    <x v="3"/>
    <d v="2024-06-27T00:00:00"/>
    <d v="2024-08-02T00:00:00"/>
    <x v="7"/>
  </r>
  <r>
    <n v="1913"/>
    <n v="14599"/>
    <x v="1"/>
    <n v="124048.7"/>
    <x v="1"/>
    <n v="24"/>
    <x v="3"/>
    <d v="2024-03-17T00:00:00"/>
    <d v="2024-04-10T00:00:00"/>
    <x v="5"/>
  </r>
  <r>
    <n v="1914"/>
    <n v="15366"/>
    <x v="1"/>
    <n v="48828.25"/>
    <x v="0"/>
    <n v="5"/>
    <x v="3"/>
    <d v="2024-02-04T00:00:00"/>
    <d v="2024-02-09T00:00:00"/>
    <x v="4"/>
  </r>
  <r>
    <n v="1915"/>
    <n v="14887"/>
    <x v="3"/>
    <n v="124545.15"/>
    <x v="0"/>
    <n v="11"/>
    <x v="1"/>
    <d v="2024-01-16T00:00:00"/>
    <d v="2024-01-27T00:00:00"/>
    <x v="0"/>
  </r>
  <r>
    <n v="1916"/>
    <n v="10196"/>
    <x v="3"/>
    <n v="127514.49"/>
    <x v="0"/>
    <n v="44"/>
    <x v="3"/>
    <d v="2024-10-20T00:00:00"/>
    <d v="2024-12-03T00:00:00"/>
    <x v="6"/>
  </r>
  <r>
    <n v="1917"/>
    <n v="15226"/>
    <x v="3"/>
    <n v="148150.85999999999"/>
    <x v="0"/>
    <n v="12"/>
    <x v="1"/>
    <d v="2024-06-19T00:00:00"/>
    <d v="2024-07-01T00:00:00"/>
    <x v="7"/>
  </r>
  <r>
    <n v="1918"/>
    <n v="12828"/>
    <x v="3"/>
    <n v="126070.47"/>
    <x v="0"/>
    <n v="41"/>
    <x v="3"/>
    <d v="2024-02-01T00:00:00"/>
    <d v="2024-03-13T00:00:00"/>
    <x v="4"/>
  </r>
  <r>
    <n v="1919"/>
    <n v="13988"/>
    <x v="3"/>
    <n v="194002.22"/>
    <x v="0"/>
    <n v="10"/>
    <x v="0"/>
    <d v="2024-09-19T00:00:00"/>
    <d v="2024-09-29T00:00:00"/>
    <x v="9"/>
  </r>
  <r>
    <n v="1920"/>
    <n v="15732"/>
    <x v="3"/>
    <n v="43471.22"/>
    <x v="0"/>
    <n v="41"/>
    <x v="2"/>
    <d v="2024-08-02T00:00:00"/>
    <d v="2024-09-12T00:00:00"/>
    <x v="8"/>
  </r>
  <r>
    <n v="1921"/>
    <n v="15279"/>
    <x v="3"/>
    <n v="190462.68"/>
    <x v="2"/>
    <m/>
    <x v="0"/>
    <d v="2024-02-15T00:00:00"/>
    <m/>
    <x v="4"/>
  </r>
  <r>
    <n v="1922"/>
    <n v="12469"/>
    <x v="2"/>
    <n v="109976.2"/>
    <x v="0"/>
    <n v="18"/>
    <x v="2"/>
    <d v="2024-07-07T00:00:00"/>
    <d v="2024-07-25T00:00:00"/>
    <x v="2"/>
  </r>
  <r>
    <n v="1923"/>
    <n v="11630"/>
    <x v="1"/>
    <n v="136031.45000000001"/>
    <x v="0"/>
    <n v="33"/>
    <x v="1"/>
    <d v="2024-09-30T00:00:00"/>
    <d v="2024-11-02T00:00:00"/>
    <x v="9"/>
  </r>
  <r>
    <n v="1924"/>
    <n v="13278"/>
    <x v="1"/>
    <n v="24395.01"/>
    <x v="0"/>
    <n v="24"/>
    <x v="0"/>
    <d v="2024-03-11T00:00:00"/>
    <d v="2024-04-04T00:00:00"/>
    <x v="5"/>
  </r>
  <r>
    <n v="1925"/>
    <n v="12038"/>
    <x v="3"/>
    <n v="79212.31"/>
    <x v="2"/>
    <m/>
    <x v="3"/>
    <d v="2024-10-22T00:00:00"/>
    <m/>
    <x v="6"/>
  </r>
  <r>
    <n v="1926"/>
    <n v="15432"/>
    <x v="3"/>
    <n v="155028.93"/>
    <x v="1"/>
    <n v="29"/>
    <x v="2"/>
    <d v="2024-03-28T00:00:00"/>
    <d v="2024-04-26T00:00:00"/>
    <x v="5"/>
  </r>
  <r>
    <n v="1927"/>
    <n v="15021"/>
    <x v="3"/>
    <n v="142847.65"/>
    <x v="0"/>
    <n v="39"/>
    <x v="2"/>
    <d v="2024-11-29T00:00:00"/>
    <d v="2025-01-07T00:00:00"/>
    <x v="1"/>
  </r>
  <r>
    <n v="1928"/>
    <n v="14330"/>
    <x v="3"/>
    <n v="12827.18"/>
    <x v="1"/>
    <n v="6"/>
    <x v="0"/>
    <d v="2024-09-17T00:00:00"/>
    <d v="2024-09-23T00:00:00"/>
    <x v="9"/>
  </r>
  <r>
    <n v="1929"/>
    <n v="16470"/>
    <x v="3"/>
    <n v="111585.88"/>
    <x v="0"/>
    <n v="41"/>
    <x v="1"/>
    <d v="2024-06-30T00:00:00"/>
    <d v="2024-08-10T00:00:00"/>
    <x v="7"/>
  </r>
  <r>
    <n v="1930"/>
    <n v="17077"/>
    <x v="1"/>
    <n v="22214.25"/>
    <x v="1"/>
    <n v="19"/>
    <x v="0"/>
    <d v="2024-12-07T00:00:00"/>
    <d v="2024-12-26T00:00:00"/>
    <x v="11"/>
  </r>
  <r>
    <n v="1931"/>
    <n v="14761"/>
    <x v="1"/>
    <n v="199192"/>
    <x v="1"/>
    <n v="22"/>
    <x v="1"/>
    <d v="2024-01-22T00:00:00"/>
    <d v="2024-02-13T00:00:00"/>
    <x v="0"/>
  </r>
  <r>
    <n v="1932"/>
    <n v="15219"/>
    <x v="1"/>
    <n v="179972.83"/>
    <x v="0"/>
    <n v="16"/>
    <x v="1"/>
    <d v="2024-03-14T00:00:00"/>
    <d v="2024-03-30T00:00:00"/>
    <x v="5"/>
  </r>
  <r>
    <n v="1933"/>
    <n v="17001"/>
    <x v="3"/>
    <n v="9110.73"/>
    <x v="1"/>
    <n v="4"/>
    <x v="2"/>
    <d v="2024-03-30T00:00:00"/>
    <d v="2024-04-03T00:00:00"/>
    <x v="5"/>
  </r>
  <r>
    <n v="1934"/>
    <n v="11387"/>
    <x v="2"/>
    <n v="172436.67"/>
    <x v="0"/>
    <n v="27"/>
    <x v="0"/>
    <d v="2024-11-30T00:00:00"/>
    <d v="2024-12-27T00:00:00"/>
    <x v="1"/>
  </r>
  <r>
    <n v="1935"/>
    <n v="10641"/>
    <x v="3"/>
    <n v="184288.77"/>
    <x v="0"/>
    <n v="16"/>
    <x v="0"/>
    <d v="2024-06-14T00:00:00"/>
    <d v="2024-06-30T00:00:00"/>
    <x v="7"/>
  </r>
  <r>
    <n v="1936"/>
    <n v="15612"/>
    <x v="3"/>
    <n v="73941.899999999994"/>
    <x v="0"/>
    <n v="21"/>
    <x v="1"/>
    <d v="2024-08-21T00:00:00"/>
    <d v="2024-09-11T00:00:00"/>
    <x v="8"/>
  </r>
  <r>
    <n v="1937"/>
    <n v="17210"/>
    <x v="3"/>
    <n v="145302.82"/>
    <x v="1"/>
    <n v="22"/>
    <x v="0"/>
    <d v="2024-05-08T00:00:00"/>
    <d v="2024-05-30T00:00:00"/>
    <x v="3"/>
  </r>
  <r>
    <n v="1938"/>
    <n v="10574"/>
    <x v="1"/>
    <n v="91210.23"/>
    <x v="0"/>
    <n v="27"/>
    <x v="3"/>
    <d v="2024-11-29T00:00:00"/>
    <d v="2024-12-26T00:00:00"/>
    <x v="1"/>
  </r>
  <r>
    <n v="1939"/>
    <n v="19913"/>
    <x v="2"/>
    <n v="132770.32999999999"/>
    <x v="0"/>
    <n v="42"/>
    <x v="3"/>
    <d v="2024-10-18T00:00:00"/>
    <d v="2024-11-29T00:00:00"/>
    <x v="6"/>
  </r>
  <r>
    <n v="1940"/>
    <n v="19210"/>
    <x v="3"/>
    <n v="71361.89"/>
    <x v="1"/>
    <n v="24"/>
    <x v="0"/>
    <d v="2024-04-04T00:00:00"/>
    <d v="2024-04-28T00:00:00"/>
    <x v="10"/>
  </r>
  <r>
    <n v="1941"/>
    <n v="17796"/>
    <x v="0"/>
    <n v="67899.05"/>
    <x v="0"/>
    <n v="26"/>
    <x v="0"/>
    <d v="2024-01-28T00:00:00"/>
    <d v="2024-02-23T00:00:00"/>
    <x v="0"/>
  </r>
  <r>
    <n v="1942"/>
    <n v="18591"/>
    <x v="0"/>
    <n v="87764.61"/>
    <x v="0"/>
    <n v="5"/>
    <x v="1"/>
    <d v="2024-12-19T00:00:00"/>
    <d v="2024-12-24T00:00:00"/>
    <x v="11"/>
  </r>
  <r>
    <n v="1943"/>
    <n v="14690"/>
    <x v="3"/>
    <n v="33385.71"/>
    <x v="0"/>
    <n v="11"/>
    <x v="3"/>
    <d v="2024-02-04T00:00:00"/>
    <d v="2024-02-15T00:00:00"/>
    <x v="4"/>
  </r>
  <r>
    <n v="1944"/>
    <n v="11456"/>
    <x v="3"/>
    <n v="167072.1"/>
    <x v="0"/>
    <n v="23"/>
    <x v="3"/>
    <d v="2024-08-18T00:00:00"/>
    <d v="2024-09-10T00:00:00"/>
    <x v="8"/>
  </r>
  <r>
    <n v="1945"/>
    <n v="11595"/>
    <x v="3"/>
    <n v="72996.09"/>
    <x v="0"/>
    <n v="4"/>
    <x v="2"/>
    <d v="2024-11-13T00:00:00"/>
    <d v="2024-11-17T00:00:00"/>
    <x v="1"/>
  </r>
  <r>
    <n v="1946"/>
    <n v="18308"/>
    <x v="2"/>
    <n v="83029.16"/>
    <x v="0"/>
    <n v="20"/>
    <x v="1"/>
    <d v="2024-12-08T00:00:00"/>
    <d v="2024-12-28T00:00:00"/>
    <x v="11"/>
  </r>
  <r>
    <n v="1947"/>
    <n v="17986"/>
    <x v="3"/>
    <n v="179340.65"/>
    <x v="2"/>
    <m/>
    <x v="2"/>
    <d v="2024-12-29T00:00:00"/>
    <m/>
    <x v="11"/>
  </r>
  <r>
    <n v="1948"/>
    <n v="18574"/>
    <x v="1"/>
    <n v="101841.64"/>
    <x v="1"/>
    <n v="10"/>
    <x v="3"/>
    <d v="2024-05-04T00:00:00"/>
    <d v="2024-05-14T00:00:00"/>
    <x v="3"/>
  </r>
  <r>
    <n v="1949"/>
    <n v="12129"/>
    <x v="3"/>
    <n v="111129.51"/>
    <x v="0"/>
    <n v="30"/>
    <x v="1"/>
    <d v="2024-03-19T00:00:00"/>
    <d v="2024-04-18T00:00:00"/>
    <x v="5"/>
  </r>
  <r>
    <n v="1950"/>
    <n v="10831"/>
    <x v="1"/>
    <n v="191517.13"/>
    <x v="0"/>
    <n v="38"/>
    <x v="0"/>
    <d v="2024-03-01T00:00:00"/>
    <d v="2024-04-08T00:00:00"/>
    <x v="5"/>
  </r>
  <r>
    <n v="1951"/>
    <n v="14968"/>
    <x v="3"/>
    <n v="177911.64"/>
    <x v="0"/>
    <n v="8"/>
    <x v="1"/>
    <d v="2024-08-04T00:00:00"/>
    <d v="2024-08-12T00:00:00"/>
    <x v="8"/>
  </r>
  <r>
    <n v="1952"/>
    <n v="13481"/>
    <x v="1"/>
    <n v="38046.01"/>
    <x v="0"/>
    <n v="39"/>
    <x v="0"/>
    <d v="2024-10-08T00:00:00"/>
    <d v="2024-11-16T00:00:00"/>
    <x v="6"/>
  </r>
  <r>
    <n v="1953"/>
    <n v="12117"/>
    <x v="0"/>
    <n v="97276.93"/>
    <x v="0"/>
    <n v="25"/>
    <x v="0"/>
    <d v="2024-06-11T00:00:00"/>
    <d v="2024-07-06T00:00:00"/>
    <x v="7"/>
  </r>
  <r>
    <n v="1954"/>
    <n v="14482"/>
    <x v="0"/>
    <n v="194402.76"/>
    <x v="0"/>
    <n v="9"/>
    <x v="1"/>
    <d v="2024-02-26T00:00:00"/>
    <d v="2024-03-06T00:00:00"/>
    <x v="4"/>
  </r>
  <r>
    <n v="1955"/>
    <n v="12006"/>
    <x v="0"/>
    <n v="77611.429999999993"/>
    <x v="1"/>
    <n v="35"/>
    <x v="0"/>
    <d v="2024-07-09T00:00:00"/>
    <d v="2024-08-13T00:00:00"/>
    <x v="2"/>
  </r>
  <r>
    <n v="1956"/>
    <n v="18488"/>
    <x v="3"/>
    <n v="77456.759999999995"/>
    <x v="0"/>
    <n v="27"/>
    <x v="2"/>
    <d v="2024-05-11T00:00:00"/>
    <d v="2024-06-07T00:00:00"/>
    <x v="3"/>
  </r>
  <r>
    <n v="1957"/>
    <n v="16760"/>
    <x v="1"/>
    <n v="43030.9"/>
    <x v="0"/>
    <n v="29"/>
    <x v="3"/>
    <d v="2024-02-11T00:00:00"/>
    <d v="2024-03-11T00:00:00"/>
    <x v="4"/>
  </r>
  <r>
    <n v="1958"/>
    <n v="18910"/>
    <x v="3"/>
    <n v="27293.01"/>
    <x v="1"/>
    <n v="29"/>
    <x v="0"/>
    <d v="2024-06-21T00:00:00"/>
    <d v="2024-07-20T00:00:00"/>
    <x v="7"/>
  </r>
  <r>
    <n v="1959"/>
    <n v="15694"/>
    <x v="3"/>
    <n v="149359.43"/>
    <x v="0"/>
    <n v="8"/>
    <x v="2"/>
    <d v="2024-06-15T00:00:00"/>
    <d v="2024-06-23T00:00:00"/>
    <x v="7"/>
  </r>
  <r>
    <n v="1960"/>
    <n v="16062"/>
    <x v="1"/>
    <n v="155155.94"/>
    <x v="0"/>
    <n v="4"/>
    <x v="0"/>
    <d v="2024-09-06T00:00:00"/>
    <d v="2024-09-10T00:00:00"/>
    <x v="9"/>
  </r>
  <r>
    <n v="1961"/>
    <n v="13079"/>
    <x v="3"/>
    <n v="193957.53"/>
    <x v="0"/>
    <n v="23"/>
    <x v="3"/>
    <d v="2024-07-11T00:00:00"/>
    <d v="2024-08-03T00:00:00"/>
    <x v="2"/>
  </r>
  <r>
    <n v="1962"/>
    <n v="15278"/>
    <x v="1"/>
    <n v="155816.54999999999"/>
    <x v="0"/>
    <n v="39"/>
    <x v="2"/>
    <d v="2024-10-04T00:00:00"/>
    <d v="2024-11-12T00:00:00"/>
    <x v="6"/>
  </r>
  <r>
    <n v="1963"/>
    <n v="10010"/>
    <x v="2"/>
    <n v="52453.74"/>
    <x v="1"/>
    <n v="19"/>
    <x v="3"/>
    <d v="2024-08-25T00:00:00"/>
    <d v="2024-09-13T00:00:00"/>
    <x v="8"/>
  </r>
  <r>
    <n v="1964"/>
    <n v="14880"/>
    <x v="3"/>
    <n v="12822.73"/>
    <x v="0"/>
    <n v="13"/>
    <x v="3"/>
    <d v="2024-08-17T00:00:00"/>
    <d v="2024-08-30T00:00:00"/>
    <x v="8"/>
  </r>
  <r>
    <n v="1965"/>
    <n v="10410"/>
    <x v="1"/>
    <n v="197160.29"/>
    <x v="1"/>
    <n v="32"/>
    <x v="2"/>
    <d v="2024-06-13T00:00:00"/>
    <d v="2024-07-15T00:00:00"/>
    <x v="7"/>
  </r>
  <r>
    <n v="1966"/>
    <n v="10598"/>
    <x v="3"/>
    <n v="71387.89"/>
    <x v="2"/>
    <m/>
    <x v="2"/>
    <d v="2024-08-30T00:00:00"/>
    <m/>
    <x v="8"/>
  </r>
  <r>
    <n v="1967"/>
    <n v="10823"/>
    <x v="3"/>
    <n v="65834.45"/>
    <x v="2"/>
    <m/>
    <x v="2"/>
    <d v="2024-03-30T00:00:00"/>
    <m/>
    <x v="5"/>
  </r>
  <r>
    <n v="1968"/>
    <n v="17876"/>
    <x v="3"/>
    <n v="181661.27"/>
    <x v="2"/>
    <m/>
    <x v="1"/>
    <d v="2024-06-27T00:00:00"/>
    <m/>
    <x v="7"/>
  </r>
  <r>
    <n v="1969"/>
    <n v="15217"/>
    <x v="2"/>
    <n v="119094.48"/>
    <x v="0"/>
    <n v="30"/>
    <x v="2"/>
    <d v="2024-02-27T00:00:00"/>
    <d v="2024-03-28T00:00:00"/>
    <x v="4"/>
  </r>
  <r>
    <n v="1970"/>
    <n v="17086"/>
    <x v="0"/>
    <n v="46899.88"/>
    <x v="0"/>
    <n v="44"/>
    <x v="2"/>
    <d v="2024-09-19T00:00:00"/>
    <d v="2024-11-02T00:00:00"/>
    <x v="9"/>
  </r>
  <r>
    <n v="1971"/>
    <n v="10312"/>
    <x v="2"/>
    <n v="178373.77"/>
    <x v="0"/>
    <n v="37"/>
    <x v="2"/>
    <d v="2024-05-15T00:00:00"/>
    <d v="2024-06-21T00:00:00"/>
    <x v="3"/>
  </r>
  <r>
    <n v="1972"/>
    <n v="16671"/>
    <x v="2"/>
    <n v="198705.37"/>
    <x v="0"/>
    <n v="15"/>
    <x v="2"/>
    <d v="2024-08-25T00:00:00"/>
    <d v="2024-09-09T00:00:00"/>
    <x v="8"/>
  </r>
  <r>
    <n v="1973"/>
    <n v="16700"/>
    <x v="3"/>
    <n v="21902.32"/>
    <x v="1"/>
    <n v="19"/>
    <x v="0"/>
    <d v="2024-11-02T00:00:00"/>
    <d v="2024-11-21T00:00:00"/>
    <x v="1"/>
  </r>
  <r>
    <n v="1974"/>
    <n v="12492"/>
    <x v="3"/>
    <n v="173139.07"/>
    <x v="0"/>
    <n v="8"/>
    <x v="1"/>
    <d v="2024-08-30T00:00:00"/>
    <d v="2024-09-07T00:00:00"/>
    <x v="8"/>
  </r>
  <r>
    <n v="1975"/>
    <n v="10230"/>
    <x v="1"/>
    <n v="81150.559999999998"/>
    <x v="2"/>
    <m/>
    <x v="3"/>
    <d v="2024-05-30T00:00:00"/>
    <m/>
    <x v="3"/>
  </r>
  <r>
    <n v="1976"/>
    <n v="13740"/>
    <x v="3"/>
    <n v="107194.13"/>
    <x v="1"/>
    <n v="34"/>
    <x v="2"/>
    <d v="2024-12-11T00:00:00"/>
    <d v="2025-01-14T00:00:00"/>
    <x v="11"/>
  </r>
  <r>
    <n v="1977"/>
    <n v="10043"/>
    <x v="3"/>
    <n v="183389.12"/>
    <x v="2"/>
    <m/>
    <x v="0"/>
    <d v="2024-12-29T00:00:00"/>
    <m/>
    <x v="11"/>
  </r>
  <r>
    <n v="1978"/>
    <n v="17532"/>
    <x v="3"/>
    <n v="194808.94"/>
    <x v="1"/>
    <n v="38"/>
    <x v="0"/>
    <d v="2024-09-03T00:00:00"/>
    <d v="2024-10-11T00:00:00"/>
    <x v="9"/>
  </r>
  <r>
    <n v="1979"/>
    <n v="18092"/>
    <x v="1"/>
    <n v="56121.96"/>
    <x v="0"/>
    <n v="26"/>
    <x v="0"/>
    <d v="2024-08-06T00:00:00"/>
    <d v="2024-09-01T00:00:00"/>
    <x v="8"/>
  </r>
  <r>
    <n v="1980"/>
    <n v="17278"/>
    <x v="1"/>
    <n v="46505.9"/>
    <x v="0"/>
    <n v="10"/>
    <x v="3"/>
    <d v="2024-01-09T00:00:00"/>
    <d v="2024-01-19T00:00:00"/>
    <x v="0"/>
  </r>
  <r>
    <n v="1981"/>
    <n v="13457"/>
    <x v="3"/>
    <n v="20700.73"/>
    <x v="0"/>
    <n v="29"/>
    <x v="2"/>
    <d v="2024-10-20T00:00:00"/>
    <d v="2024-11-18T00:00:00"/>
    <x v="6"/>
  </r>
  <r>
    <n v="1982"/>
    <n v="15384"/>
    <x v="3"/>
    <n v="114550.58"/>
    <x v="0"/>
    <n v="10"/>
    <x v="1"/>
    <d v="2024-01-13T00:00:00"/>
    <d v="2024-01-23T00:00:00"/>
    <x v="0"/>
  </r>
  <r>
    <n v="1983"/>
    <n v="15615"/>
    <x v="1"/>
    <n v="7652.86"/>
    <x v="0"/>
    <n v="13"/>
    <x v="1"/>
    <d v="2024-09-19T00:00:00"/>
    <d v="2024-10-02T00:00:00"/>
    <x v="9"/>
  </r>
  <r>
    <n v="1984"/>
    <n v="15506"/>
    <x v="1"/>
    <n v="85320.17"/>
    <x v="1"/>
    <n v="19"/>
    <x v="0"/>
    <d v="2024-08-12T00:00:00"/>
    <d v="2024-08-31T00:00:00"/>
    <x v="8"/>
  </r>
  <r>
    <n v="1985"/>
    <n v="12995"/>
    <x v="3"/>
    <n v="19309.88"/>
    <x v="1"/>
    <n v="28"/>
    <x v="3"/>
    <d v="2024-08-18T00:00:00"/>
    <d v="2024-09-15T00:00:00"/>
    <x v="8"/>
  </r>
  <r>
    <n v="1986"/>
    <n v="13638"/>
    <x v="1"/>
    <n v="84019.03"/>
    <x v="0"/>
    <n v="27"/>
    <x v="3"/>
    <d v="2024-06-26T00:00:00"/>
    <d v="2024-07-23T00:00:00"/>
    <x v="7"/>
  </r>
  <r>
    <n v="1987"/>
    <n v="17517"/>
    <x v="3"/>
    <n v="12786.78"/>
    <x v="0"/>
    <n v="27"/>
    <x v="3"/>
    <d v="2024-09-03T00:00:00"/>
    <d v="2024-09-30T00:00:00"/>
    <x v="9"/>
  </r>
  <r>
    <n v="1988"/>
    <n v="13284"/>
    <x v="3"/>
    <n v="167867.37"/>
    <x v="0"/>
    <n v="11"/>
    <x v="1"/>
    <d v="2024-03-07T00:00:00"/>
    <d v="2024-03-18T00:00:00"/>
    <x v="5"/>
  </r>
  <r>
    <n v="1989"/>
    <n v="18362"/>
    <x v="1"/>
    <n v="45899.1"/>
    <x v="0"/>
    <n v="18"/>
    <x v="0"/>
    <d v="2024-10-23T00:00:00"/>
    <d v="2024-11-10T00:00:00"/>
    <x v="6"/>
  </r>
  <r>
    <n v="1990"/>
    <n v="14341"/>
    <x v="1"/>
    <n v="69020.2"/>
    <x v="0"/>
    <n v="33"/>
    <x v="2"/>
    <d v="2024-06-05T00:00:00"/>
    <d v="2024-07-08T00:00:00"/>
    <x v="7"/>
  </r>
  <r>
    <n v="1991"/>
    <n v="19831"/>
    <x v="3"/>
    <n v="174659.36"/>
    <x v="0"/>
    <n v="25"/>
    <x v="1"/>
    <d v="2024-06-13T00:00:00"/>
    <d v="2024-07-08T00:00:00"/>
    <x v="7"/>
  </r>
  <r>
    <n v="1992"/>
    <n v="10616"/>
    <x v="1"/>
    <n v="150521.88"/>
    <x v="0"/>
    <n v="44"/>
    <x v="0"/>
    <d v="2024-07-02T00:00:00"/>
    <d v="2024-08-15T00:00:00"/>
    <x v="2"/>
  </r>
  <r>
    <n v="1993"/>
    <n v="10239"/>
    <x v="1"/>
    <n v="47712.480000000003"/>
    <x v="0"/>
    <n v="9"/>
    <x v="0"/>
    <d v="2024-07-26T00:00:00"/>
    <d v="2024-08-04T00:00:00"/>
    <x v="2"/>
  </r>
  <r>
    <n v="1994"/>
    <n v="16052"/>
    <x v="1"/>
    <n v="19020.39"/>
    <x v="0"/>
    <n v="31"/>
    <x v="2"/>
    <d v="2024-01-16T00:00:00"/>
    <d v="2024-02-16T00:00:00"/>
    <x v="0"/>
  </r>
  <r>
    <n v="1995"/>
    <n v="16454"/>
    <x v="1"/>
    <n v="144556.39000000001"/>
    <x v="0"/>
    <n v="27"/>
    <x v="2"/>
    <d v="2024-10-26T00:00:00"/>
    <d v="2024-11-22T00:00:00"/>
    <x v="6"/>
  </r>
  <r>
    <n v="1996"/>
    <n v="19114"/>
    <x v="1"/>
    <n v="81187"/>
    <x v="0"/>
    <n v="25"/>
    <x v="2"/>
    <d v="2024-11-01T00:00:00"/>
    <d v="2024-11-26T00:00:00"/>
    <x v="1"/>
  </r>
  <r>
    <n v="1997"/>
    <n v="14887"/>
    <x v="3"/>
    <n v="154385.60000000001"/>
    <x v="0"/>
    <n v="28"/>
    <x v="3"/>
    <d v="2024-08-28T00:00:00"/>
    <d v="2024-09-25T00:00:00"/>
    <x v="8"/>
  </r>
  <r>
    <n v="1998"/>
    <n v="11904"/>
    <x v="3"/>
    <n v="91832.48"/>
    <x v="0"/>
    <n v="16"/>
    <x v="2"/>
    <d v="2024-08-17T00:00:00"/>
    <d v="2024-09-02T00:00:00"/>
    <x v="8"/>
  </r>
  <r>
    <n v="1999"/>
    <n v="16165"/>
    <x v="3"/>
    <n v="72470.47"/>
    <x v="2"/>
    <m/>
    <x v="0"/>
    <d v="2024-01-18T00:00:00"/>
    <m/>
    <x v="0"/>
  </r>
  <r>
    <n v="2000"/>
    <n v="10812"/>
    <x v="3"/>
    <n v="92985.05"/>
    <x v="0"/>
    <n v="12"/>
    <x v="2"/>
    <d v="2024-05-26T00:00:00"/>
    <d v="2024-06-07T00:00:00"/>
    <x v="3"/>
  </r>
  <r>
    <n v="2001"/>
    <n v="14999"/>
    <x v="1"/>
    <n v="150969"/>
    <x v="0"/>
    <n v="40"/>
    <x v="0"/>
    <d v="2024-08-31T00:00:00"/>
    <d v="2024-10-10T00:00:00"/>
    <x v="8"/>
  </r>
  <r>
    <n v="2002"/>
    <n v="17642"/>
    <x v="1"/>
    <n v="180932.96"/>
    <x v="1"/>
    <n v="3"/>
    <x v="1"/>
    <d v="2024-02-20T00:00:00"/>
    <d v="2024-02-23T00:00:00"/>
    <x v="4"/>
  </r>
  <r>
    <n v="2003"/>
    <n v="11730"/>
    <x v="3"/>
    <n v="14704.6"/>
    <x v="0"/>
    <n v="10"/>
    <x v="3"/>
    <d v="2024-09-15T00:00:00"/>
    <d v="2024-09-25T00:00:00"/>
    <x v="9"/>
  </r>
  <r>
    <n v="2004"/>
    <n v="19023"/>
    <x v="3"/>
    <n v="107201.75"/>
    <x v="2"/>
    <m/>
    <x v="1"/>
    <d v="2024-08-25T00:00:00"/>
    <m/>
    <x v="8"/>
  </r>
  <r>
    <n v="2005"/>
    <n v="13424"/>
    <x v="3"/>
    <n v="11402.91"/>
    <x v="0"/>
    <n v="34"/>
    <x v="1"/>
    <d v="2024-09-02T00:00:00"/>
    <d v="2024-10-06T00:00:00"/>
    <x v="9"/>
  </r>
  <r>
    <n v="2006"/>
    <n v="16062"/>
    <x v="3"/>
    <n v="96339.86"/>
    <x v="0"/>
    <n v="20"/>
    <x v="0"/>
    <d v="2024-12-10T00:00:00"/>
    <d v="2024-12-30T00:00:00"/>
    <x v="11"/>
  </r>
  <r>
    <n v="2007"/>
    <n v="12207"/>
    <x v="1"/>
    <n v="177630.15"/>
    <x v="0"/>
    <n v="14"/>
    <x v="1"/>
    <d v="2024-11-05T00:00:00"/>
    <d v="2024-11-19T00:00:00"/>
    <x v="1"/>
  </r>
  <r>
    <n v="2008"/>
    <n v="13368"/>
    <x v="3"/>
    <n v="75510.100000000006"/>
    <x v="0"/>
    <n v="15"/>
    <x v="0"/>
    <d v="2024-02-18T00:00:00"/>
    <d v="2024-03-04T00:00:00"/>
    <x v="4"/>
  </r>
  <r>
    <n v="2009"/>
    <n v="15471"/>
    <x v="1"/>
    <n v="186827.83"/>
    <x v="0"/>
    <n v="33"/>
    <x v="2"/>
    <d v="2024-10-10T00:00:00"/>
    <d v="2024-11-12T00:00:00"/>
    <x v="6"/>
  </r>
  <r>
    <n v="2010"/>
    <n v="12227"/>
    <x v="2"/>
    <n v="127968.65"/>
    <x v="0"/>
    <n v="23"/>
    <x v="2"/>
    <d v="2024-02-07T00:00:00"/>
    <d v="2024-03-01T00:00:00"/>
    <x v="4"/>
  </r>
  <r>
    <n v="2011"/>
    <n v="17639"/>
    <x v="3"/>
    <n v="187160.29"/>
    <x v="0"/>
    <n v="21"/>
    <x v="0"/>
    <d v="2024-10-10T00:00:00"/>
    <d v="2024-10-31T00:00:00"/>
    <x v="6"/>
  </r>
  <r>
    <n v="2012"/>
    <n v="14380"/>
    <x v="3"/>
    <n v="152647.49"/>
    <x v="0"/>
    <n v="34"/>
    <x v="2"/>
    <d v="2024-02-01T00:00:00"/>
    <d v="2024-03-06T00:00:00"/>
    <x v="4"/>
  </r>
  <r>
    <n v="2013"/>
    <n v="11820"/>
    <x v="3"/>
    <n v="25169.86"/>
    <x v="0"/>
    <n v="6"/>
    <x v="3"/>
    <d v="2024-08-30T00:00:00"/>
    <d v="2024-09-05T00:00:00"/>
    <x v="8"/>
  </r>
  <r>
    <n v="2014"/>
    <n v="18840"/>
    <x v="1"/>
    <n v="50074.52"/>
    <x v="0"/>
    <n v="21"/>
    <x v="1"/>
    <d v="2024-02-10T00:00:00"/>
    <d v="2024-03-02T00:00:00"/>
    <x v="4"/>
  </r>
  <r>
    <n v="2015"/>
    <n v="10188"/>
    <x v="1"/>
    <n v="81863.240000000005"/>
    <x v="0"/>
    <n v="15"/>
    <x v="3"/>
    <d v="2024-10-18T00:00:00"/>
    <d v="2024-11-02T00:00:00"/>
    <x v="6"/>
  </r>
  <r>
    <n v="2016"/>
    <n v="19414"/>
    <x v="3"/>
    <n v="38170.839999999997"/>
    <x v="0"/>
    <n v="28"/>
    <x v="1"/>
    <d v="2024-04-12T00:00:00"/>
    <d v="2024-05-10T00:00:00"/>
    <x v="10"/>
  </r>
  <r>
    <n v="2017"/>
    <n v="15221"/>
    <x v="1"/>
    <n v="101507.76"/>
    <x v="0"/>
    <n v="27"/>
    <x v="2"/>
    <d v="2024-10-18T00:00:00"/>
    <d v="2024-11-14T00:00:00"/>
    <x v="6"/>
  </r>
  <r>
    <n v="2018"/>
    <n v="18670"/>
    <x v="0"/>
    <n v="96916.79"/>
    <x v="1"/>
    <n v="33"/>
    <x v="3"/>
    <d v="2024-04-16T00:00:00"/>
    <d v="2024-05-19T00:00:00"/>
    <x v="10"/>
  </r>
  <r>
    <n v="2019"/>
    <n v="16746"/>
    <x v="3"/>
    <n v="191470.54"/>
    <x v="0"/>
    <n v="31"/>
    <x v="2"/>
    <d v="2024-09-02T00:00:00"/>
    <d v="2024-10-03T00:00:00"/>
    <x v="9"/>
  </r>
  <r>
    <n v="2020"/>
    <n v="14612"/>
    <x v="3"/>
    <n v="89576.94"/>
    <x v="0"/>
    <n v="28"/>
    <x v="1"/>
    <d v="2024-03-27T00:00:00"/>
    <d v="2024-04-24T00:00:00"/>
    <x v="5"/>
  </r>
  <r>
    <n v="2021"/>
    <n v="11888"/>
    <x v="0"/>
    <n v="158197.23000000001"/>
    <x v="0"/>
    <n v="27"/>
    <x v="0"/>
    <d v="2024-03-06T00:00:00"/>
    <d v="2024-04-02T00:00:00"/>
    <x v="5"/>
  </r>
  <r>
    <n v="2022"/>
    <n v="11550"/>
    <x v="1"/>
    <n v="188672.56"/>
    <x v="0"/>
    <n v="19"/>
    <x v="0"/>
    <d v="2024-05-17T00:00:00"/>
    <d v="2024-06-05T00:00:00"/>
    <x v="3"/>
  </r>
  <r>
    <n v="2023"/>
    <n v="17059"/>
    <x v="0"/>
    <n v="176012.82"/>
    <x v="2"/>
    <m/>
    <x v="3"/>
    <d v="2024-11-21T00:00:00"/>
    <m/>
    <x v="1"/>
  </r>
  <r>
    <n v="2024"/>
    <n v="15233"/>
    <x v="1"/>
    <n v="45690.19"/>
    <x v="0"/>
    <n v="25"/>
    <x v="2"/>
    <d v="2024-07-18T00:00:00"/>
    <d v="2024-08-12T00:00:00"/>
    <x v="2"/>
  </r>
  <r>
    <n v="2025"/>
    <n v="15635"/>
    <x v="0"/>
    <n v="101725.83"/>
    <x v="0"/>
    <n v="5"/>
    <x v="2"/>
    <d v="2024-11-30T00:00:00"/>
    <d v="2024-12-05T00:00:00"/>
    <x v="1"/>
  </r>
  <r>
    <n v="2026"/>
    <n v="10033"/>
    <x v="3"/>
    <n v="72809.259999999995"/>
    <x v="0"/>
    <n v="42"/>
    <x v="3"/>
    <d v="2024-04-02T00:00:00"/>
    <d v="2024-05-14T00:00:00"/>
    <x v="10"/>
  </r>
  <r>
    <n v="2027"/>
    <n v="18487"/>
    <x v="1"/>
    <n v="82972.45"/>
    <x v="1"/>
    <n v="4"/>
    <x v="0"/>
    <d v="2024-12-13T00:00:00"/>
    <d v="2024-12-17T00:00:00"/>
    <x v="11"/>
  </r>
  <r>
    <n v="2028"/>
    <n v="11429"/>
    <x v="2"/>
    <n v="75357.33"/>
    <x v="0"/>
    <n v="44"/>
    <x v="1"/>
    <d v="2024-10-04T00:00:00"/>
    <d v="2024-11-17T00:00:00"/>
    <x v="6"/>
  </r>
  <r>
    <n v="2029"/>
    <n v="15246"/>
    <x v="1"/>
    <n v="166140.04999999999"/>
    <x v="2"/>
    <m/>
    <x v="3"/>
    <d v="2024-01-20T00:00:00"/>
    <m/>
    <x v="0"/>
  </r>
  <r>
    <n v="2030"/>
    <n v="11987"/>
    <x v="3"/>
    <n v="93167.12"/>
    <x v="2"/>
    <m/>
    <x v="1"/>
    <d v="2024-10-15T00:00:00"/>
    <m/>
    <x v="6"/>
  </r>
  <r>
    <n v="2031"/>
    <n v="16271"/>
    <x v="3"/>
    <n v="107120.39"/>
    <x v="0"/>
    <n v="8"/>
    <x v="0"/>
    <d v="2024-03-30T00:00:00"/>
    <d v="2024-04-07T00:00:00"/>
    <x v="5"/>
  </r>
  <r>
    <n v="2032"/>
    <n v="12882"/>
    <x v="3"/>
    <n v="196577.23"/>
    <x v="2"/>
    <m/>
    <x v="2"/>
    <d v="2024-02-19T00:00:00"/>
    <m/>
    <x v="4"/>
  </r>
  <r>
    <n v="2033"/>
    <n v="19901"/>
    <x v="3"/>
    <n v="16695.96"/>
    <x v="0"/>
    <n v="23"/>
    <x v="0"/>
    <d v="2024-01-10T00:00:00"/>
    <d v="2024-02-02T00:00:00"/>
    <x v="0"/>
  </r>
  <r>
    <n v="2034"/>
    <n v="11547"/>
    <x v="3"/>
    <n v="100151.74"/>
    <x v="1"/>
    <n v="42"/>
    <x v="3"/>
    <d v="2024-03-19T00:00:00"/>
    <d v="2024-04-30T00:00:00"/>
    <x v="5"/>
  </r>
  <r>
    <n v="2035"/>
    <n v="10462"/>
    <x v="1"/>
    <n v="155942.03"/>
    <x v="0"/>
    <n v="32"/>
    <x v="2"/>
    <d v="2024-02-06T00:00:00"/>
    <d v="2024-03-09T00:00:00"/>
    <x v="4"/>
  </r>
  <r>
    <n v="2036"/>
    <n v="16707"/>
    <x v="1"/>
    <n v="34476.58"/>
    <x v="0"/>
    <n v="14"/>
    <x v="3"/>
    <d v="2024-02-28T00:00:00"/>
    <d v="2024-03-13T00:00:00"/>
    <x v="4"/>
  </r>
  <r>
    <n v="2037"/>
    <n v="15305"/>
    <x v="3"/>
    <n v="124248.66"/>
    <x v="0"/>
    <n v="42"/>
    <x v="3"/>
    <d v="2024-03-28T00:00:00"/>
    <d v="2024-05-09T00:00:00"/>
    <x v="5"/>
  </r>
  <r>
    <n v="2038"/>
    <n v="10513"/>
    <x v="1"/>
    <n v="51695.63"/>
    <x v="1"/>
    <n v="42"/>
    <x v="0"/>
    <d v="2024-04-13T00:00:00"/>
    <d v="2024-05-25T00:00:00"/>
    <x v="10"/>
  </r>
  <r>
    <n v="2039"/>
    <n v="15174"/>
    <x v="3"/>
    <n v="174143.8"/>
    <x v="0"/>
    <n v="30"/>
    <x v="3"/>
    <d v="2024-11-14T00:00:00"/>
    <d v="2024-12-14T00:00:00"/>
    <x v="1"/>
  </r>
  <r>
    <n v="2040"/>
    <n v="13566"/>
    <x v="3"/>
    <n v="68784.429999999993"/>
    <x v="0"/>
    <n v="29"/>
    <x v="0"/>
    <d v="2024-10-03T00:00:00"/>
    <d v="2024-11-01T00:00:00"/>
    <x v="6"/>
  </r>
  <r>
    <n v="2041"/>
    <n v="13803"/>
    <x v="3"/>
    <n v="69167.25"/>
    <x v="0"/>
    <n v="20"/>
    <x v="2"/>
    <d v="2024-04-13T00:00:00"/>
    <d v="2024-05-03T00:00:00"/>
    <x v="10"/>
  </r>
  <r>
    <n v="2042"/>
    <n v="13938"/>
    <x v="1"/>
    <n v="121647.81"/>
    <x v="0"/>
    <n v="24"/>
    <x v="0"/>
    <d v="2024-09-10T00:00:00"/>
    <d v="2024-10-04T00:00:00"/>
    <x v="9"/>
  </r>
  <r>
    <n v="2043"/>
    <n v="11471"/>
    <x v="3"/>
    <n v="40794.769999999997"/>
    <x v="0"/>
    <n v="9"/>
    <x v="2"/>
    <d v="2024-08-17T00:00:00"/>
    <d v="2024-08-26T00:00:00"/>
    <x v="8"/>
  </r>
  <r>
    <n v="2044"/>
    <n v="18003"/>
    <x v="3"/>
    <n v="60553.279999999999"/>
    <x v="0"/>
    <n v="26"/>
    <x v="0"/>
    <d v="2024-11-30T00:00:00"/>
    <d v="2024-12-26T00:00:00"/>
    <x v="1"/>
  </r>
  <r>
    <n v="2045"/>
    <n v="10337"/>
    <x v="3"/>
    <n v="86243.21"/>
    <x v="0"/>
    <n v="39"/>
    <x v="1"/>
    <d v="2024-02-06T00:00:00"/>
    <d v="2024-03-16T00:00:00"/>
    <x v="4"/>
  </r>
  <r>
    <n v="2046"/>
    <n v="17051"/>
    <x v="0"/>
    <n v="73959.38"/>
    <x v="0"/>
    <n v="39"/>
    <x v="1"/>
    <d v="2024-10-27T00:00:00"/>
    <d v="2024-12-05T00:00:00"/>
    <x v="6"/>
  </r>
  <r>
    <n v="2047"/>
    <n v="17444"/>
    <x v="3"/>
    <n v="107351.06"/>
    <x v="0"/>
    <n v="36"/>
    <x v="3"/>
    <d v="2024-05-21T00:00:00"/>
    <d v="2024-06-26T00:00:00"/>
    <x v="3"/>
  </r>
  <r>
    <n v="2048"/>
    <n v="13412"/>
    <x v="1"/>
    <n v="121929.83"/>
    <x v="0"/>
    <n v="27"/>
    <x v="0"/>
    <d v="2024-02-12T00:00:00"/>
    <d v="2024-03-10T00:00:00"/>
    <x v="4"/>
  </r>
  <r>
    <n v="2049"/>
    <n v="12392"/>
    <x v="1"/>
    <n v="115500.15"/>
    <x v="0"/>
    <n v="4"/>
    <x v="0"/>
    <d v="2024-04-25T00:00:00"/>
    <d v="2024-04-29T00:00:00"/>
    <x v="10"/>
  </r>
  <r>
    <n v="2050"/>
    <n v="10976"/>
    <x v="1"/>
    <n v="132562.82"/>
    <x v="2"/>
    <m/>
    <x v="2"/>
    <d v="2024-12-06T00:00:00"/>
    <m/>
    <x v="11"/>
  </r>
  <r>
    <n v="2051"/>
    <n v="14978"/>
    <x v="2"/>
    <n v="65011.16"/>
    <x v="0"/>
    <n v="6"/>
    <x v="3"/>
    <d v="2024-03-24T00:00:00"/>
    <d v="2024-03-30T00:00:00"/>
    <x v="5"/>
  </r>
  <r>
    <n v="2052"/>
    <n v="14068"/>
    <x v="3"/>
    <n v="29653.11"/>
    <x v="2"/>
    <m/>
    <x v="0"/>
    <d v="2024-09-15T00:00:00"/>
    <m/>
    <x v="9"/>
  </r>
  <r>
    <n v="2053"/>
    <n v="19895"/>
    <x v="3"/>
    <n v="153357.47"/>
    <x v="1"/>
    <n v="13"/>
    <x v="3"/>
    <d v="2024-12-25T00:00:00"/>
    <d v="2025-01-07T00:00:00"/>
    <x v="11"/>
  </r>
  <r>
    <n v="2054"/>
    <n v="10871"/>
    <x v="0"/>
    <n v="170902.17"/>
    <x v="0"/>
    <n v="39"/>
    <x v="1"/>
    <d v="2024-03-27T00:00:00"/>
    <d v="2024-05-05T00:00:00"/>
    <x v="5"/>
  </r>
  <r>
    <n v="2055"/>
    <n v="13409"/>
    <x v="3"/>
    <n v="55116.22"/>
    <x v="0"/>
    <n v="17"/>
    <x v="0"/>
    <d v="2024-12-08T00:00:00"/>
    <d v="2024-12-25T00:00:00"/>
    <x v="11"/>
  </r>
  <r>
    <n v="2056"/>
    <n v="12589"/>
    <x v="1"/>
    <n v="84382.93"/>
    <x v="1"/>
    <n v="38"/>
    <x v="0"/>
    <d v="2024-12-12T00:00:00"/>
    <d v="2025-01-19T00:00:00"/>
    <x v="11"/>
  </r>
  <r>
    <n v="2057"/>
    <n v="11549"/>
    <x v="1"/>
    <n v="102221"/>
    <x v="0"/>
    <n v="39"/>
    <x v="3"/>
    <d v="2024-10-17T00:00:00"/>
    <d v="2024-11-25T00:00:00"/>
    <x v="6"/>
  </r>
  <r>
    <n v="2058"/>
    <n v="14461"/>
    <x v="1"/>
    <n v="108998.73"/>
    <x v="0"/>
    <n v="37"/>
    <x v="0"/>
    <d v="2024-04-05T00:00:00"/>
    <d v="2024-05-12T00:00:00"/>
    <x v="10"/>
  </r>
  <r>
    <n v="2059"/>
    <n v="12621"/>
    <x v="2"/>
    <n v="133600.57999999999"/>
    <x v="0"/>
    <n v="30"/>
    <x v="3"/>
    <d v="2024-09-11T00:00:00"/>
    <d v="2024-10-11T00:00:00"/>
    <x v="9"/>
  </r>
  <r>
    <n v="2060"/>
    <n v="12529"/>
    <x v="2"/>
    <n v="13112.63"/>
    <x v="0"/>
    <n v="36"/>
    <x v="0"/>
    <d v="2024-12-07T00:00:00"/>
    <d v="2025-01-12T00:00:00"/>
    <x v="11"/>
  </r>
  <r>
    <n v="2061"/>
    <n v="17162"/>
    <x v="1"/>
    <n v="145688.03"/>
    <x v="1"/>
    <n v="38"/>
    <x v="2"/>
    <d v="2024-05-15T00:00:00"/>
    <d v="2024-06-22T00:00:00"/>
    <x v="3"/>
  </r>
  <r>
    <n v="2062"/>
    <n v="18351"/>
    <x v="3"/>
    <n v="17084.349999999999"/>
    <x v="0"/>
    <n v="22"/>
    <x v="3"/>
    <d v="2024-09-04T00:00:00"/>
    <d v="2024-09-26T00:00:00"/>
    <x v="9"/>
  </r>
  <r>
    <n v="2063"/>
    <n v="16399"/>
    <x v="0"/>
    <n v="96316.27"/>
    <x v="0"/>
    <n v="22"/>
    <x v="0"/>
    <d v="2024-04-01T00:00:00"/>
    <d v="2024-04-23T00:00:00"/>
    <x v="10"/>
  </r>
  <r>
    <n v="2064"/>
    <n v="12581"/>
    <x v="3"/>
    <n v="166395.87"/>
    <x v="0"/>
    <n v="29"/>
    <x v="1"/>
    <d v="2024-09-03T00:00:00"/>
    <d v="2024-10-02T00:00:00"/>
    <x v="9"/>
  </r>
  <r>
    <n v="2065"/>
    <n v="16565"/>
    <x v="3"/>
    <n v="92986.99"/>
    <x v="0"/>
    <n v="7"/>
    <x v="0"/>
    <d v="2024-09-14T00:00:00"/>
    <d v="2024-09-21T00:00:00"/>
    <x v="9"/>
  </r>
  <r>
    <n v="2066"/>
    <n v="17105"/>
    <x v="0"/>
    <n v="34072.5"/>
    <x v="0"/>
    <n v="21"/>
    <x v="1"/>
    <d v="2024-07-05T00:00:00"/>
    <d v="2024-07-26T00:00:00"/>
    <x v="2"/>
  </r>
  <r>
    <n v="2067"/>
    <n v="16956"/>
    <x v="3"/>
    <n v="197081.60000000001"/>
    <x v="0"/>
    <n v="37"/>
    <x v="1"/>
    <d v="2024-05-03T00:00:00"/>
    <d v="2024-06-09T00:00:00"/>
    <x v="3"/>
  </r>
  <r>
    <n v="2068"/>
    <n v="12934"/>
    <x v="3"/>
    <n v="178410.67"/>
    <x v="1"/>
    <n v="14"/>
    <x v="2"/>
    <d v="2024-09-16T00:00:00"/>
    <d v="2024-09-30T00:00:00"/>
    <x v="9"/>
  </r>
  <r>
    <n v="2069"/>
    <n v="12311"/>
    <x v="3"/>
    <n v="155406.16"/>
    <x v="0"/>
    <n v="41"/>
    <x v="3"/>
    <d v="2024-06-17T00:00:00"/>
    <d v="2024-07-28T00:00:00"/>
    <x v="7"/>
  </r>
  <r>
    <n v="2070"/>
    <n v="12795"/>
    <x v="0"/>
    <n v="85244.76"/>
    <x v="1"/>
    <n v="12"/>
    <x v="0"/>
    <d v="2024-12-30T00:00:00"/>
    <d v="2025-01-11T00:00:00"/>
    <x v="11"/>
  </r>
  <r>
    <n v="2071"/>
    <n v="14328"/>
    <x v="1"/>
    <n v="40849.919999999998"/>
    <x v="0"/>
    <n v="25"/>
    <x v="2"/>
    <d v="2024-04-20T00:00:00"/>
    <d v="2024-05-15T00:00:00"/>
    <x v="10"/>
  </r>
  <r>
    <n v="2072"/>
    <n v="16823"/>
    <x v="1"/>
    <n v="188575.18"/>
    <x v="0"/>
    <n v="20"/>
    <x v="0"/>
    <d v="2024-10-16T00:00:00"/>
    <d v="2024-11-05T00:00:00"/>
    <x v="6"/>
  </r>
  <r>
    <n v="2073"/>
    <n v="14328"/>
    <x v="3"/>
    <n v="108808.47"/>
    <x v="0"/>
    <n v="24"/>
    <x v="1"/>
    <d v="2024-03-27T00:00:00"/>
    <d v="2024-04-20T00:00:00"/>
    <x v="5"/>
  </r>
  <r>
    <n v="2074"/>
    <n v="13588"/>
    <x v="1"/>
    <n v="171209.31"/>
    <x v="0"/>
    <n v="32"/>
    <x v="3"/>
    <d v="2024-01-13T00:00:00"/>
    <d v="2024-02-14T00:00:00"/>
    <x v="0"/>
  </r>
  <r>
    <n v="2075"/>
    <n v="13116"/>
    <x v="1"/>
    <n v="71708.53"/>
    <x v="0"/>
    <n v="38"/>
    <x v="0"/>
    <d v="2024-09-19T00:00:00"/>
    <d v="2024-10-27T00:00:00"/>
    <x v="9"/>
  </r>
  <r>
    <n v="2076"/>
    <n v="14653"/>
    <x v="3"/>
    <n v="70381.22"/>
    <x v="0"/>
    <n v="38"/>
    <x v="0"/>
    <d v="2024-10-14T00:00:00"/>
    <d v="2024-11-21T00:00:00"/>
    <x v="6"/>
  </r>
  <r>
    <n v="2077"/>
    <n v="13747"/>
    <x v="3"/>
    <n v="197180.39"/>
    <x v="1"/>
    <n v="4"/>
    <x v="1"/>
    <d v="2024-01-23T00:00:00"/>
    <d v="2024-01-27T00:00:00"/>
    <x v="0"/>
  </r>
  <r>
    <n v="2078"/>
    <n v="16824"/>
    <x v="3"/>
    <n v="106757.44"/>
    <x v="1"/>
    <n v="35"/>
    <x v="0"/>
    <d v="2024-07-18T00:00:00"/>
    <d v="2024-08-22T00:00:00"/>
    <x v="2"/>
  </r>
  <r>
    <n v="2079"/>
    <n v="11459"/>
    <x v="2"/>
    <n v="32435.61"/>
    <x v="0"/>
    <n v="30"/>
    <x v="0"/>
    <d v="2024-08-29T00:00:00"/>
    <d v="2024-09-28T00:00:00"/>
    <x v="8"/>
  </r>
  <r>
    <n v="2080"/>
    <n v="14430"/>
    <x v="1"/>
    <n v="47836.56"/>
    <x v="0"/>
    <n v="4"/>
    <x v="1"/>
    <d v="2024-08-26T00:00:00"/>
    <d v="2024-08-30T00:00:00"/>
    <x v="8"/>
  </r>
  <r>
    <n v="2081"/>
    <n v="12451"/>
    <x v="2"/>
    <n v="98979.13"/>
    <x v="0"/>
    <n v="16"/>
    <x v="2"/>
    <d v="2024-10-29T00:00:00"/>
    <d v="2024-11-14T00:00:00"/>
    <x v="6"/>
  </r>
  <r>
    <n v="2082"/>
    <n v="17331"/>
    <x v="3"/>
    <n v="13281.83"/>
    <x v="0"/>
    <n v="8"/>
    <x v="1"/>
    <d v="2024-06-13T00:00:00"/>
    <d v="2024-06-21T00:00:00"/>
    <x v="7"/>
  </r>
  <r>
    <n v="2083"/>
    <n v="14090"/>
    <x v="1"/>
    <n v="95194.13"/>
    <x v="0"/>
    <n v="4"/>
    <x v="2"/>
    <d v="2024-08-13T00:00:00"/>
    <d v="2024-08-17T00:00:00"/>
    <x v="8"/>
  </r>
  <r>
    <n v="2084"/>
    <n v="18963"/>
    <x v="1"/>
    <n v="86693.46"/>
    <x v="0"/>
    <n v="44"/>
    <x v="3"/>
    <d v="2024-06-24T00:00:00"/>
    <d v="2024-08-07T00:00:00"/>
    <x v="7"/>
  </r>
  <r>
    <n v="2085"/>
    <n v="15041"/>
    <x v="1"/>
    <n v="156970.57"/>
    <x v="2"/>
    <m/>
    <x v="2"/>
    <d v="2024-01-29T00:00:00"/>
    <m/>
    <x v="0"/>
  </r>
  <r>
    <n v="2086"/>
    <n v="11111"/>
    <x v="2"/>
    <n v="74213.679999999993"/>
    <x v="1"/>
    <n v="35"/>
    <x v="2"/>
    <d v="2024-06-13T00:00:00"/>
    <d v="2024-07-18T00:00:00"/>
    <x v="7"/>
  </r>
  <r>
    <n v="2087"/>
    <n v="19786"/>
    <x v="3"/>
    <n v="196597.01"/>
    <x v="0"/>
    <n v="21"/>
    <x v="3"/>
    <d v="2024-01-23T00:00:00"/>
    <d v="2024-02-13T00:00:00"/>
    <x v="0"/>
  </r>
  <r>
    <n v="2088"/>
    <n v="19473"/>
    <x v="3"/>
    <n v="40250.129999999997"/>
    <x v="0"/>
    <n v="40"/>
    <x v="2"/>
    <d v="2024-10-20T00:00:00"/>
    <d v="2024-11-29T00:00:00"/>
    <x v="6"/>
  </r>
  <r>
    <n v="2089"/>
    <n v="13585"/>
    <x v="1"/>
    <n v="120242.4"/>
    <x v="0"/>
    <n v="34"/>
    <x v="1"/>
    <d v="2024-02-13T00:00:00"/>
    <d v="2024-03-18T00:00:00"/>
    <x v="4"/>
  </r>
  <r>
    <n v="2090"/>
    <n v="17601"/>
    <x v="1"/>
    <n v="22491.360000000001"/>
    <x v="1"/>
    <n v="15"/>
    <x v="2"/>
    <d v="2024-09-17T00:00:00"/>
    <d v="2024-10-02T00:00:00"/>
    <x v="9"/>
  </r>
  <r>
    <n v="2091"/>
    <n v="12373"/>
    <x v="1"/>
    <n v="148103.48000000001"/>
    <x v="0"/>
    <n v="43"/>
    <x v="3"/>
    <d v="2024-06-28T00:00:00"/>
    <d v="2024-08-10T00:00:00"/>
    <x v="7"/>
  </r>
  <r>
    <n v="2092"/>
    <n v="16842"/>
    <x v="3"/>
    <n v="198976.97"/>
    <x v="0"/>
    <n v="36"/>
    <x v="1"/>
    <d v="2024-10-22T00:00:00"/>
    <d v="2024-11-27T00:00:00"/>
    <x v="6"/>
  </r>
  <r>
    <n v="2093"/>
    <n v="18533"/>
    <x v="1"/>
    <n v="164732.03"/>
    <x v="1"/>
    <n v="12"/>
    <x v="3"/>
    <d v="2024-05-18T00:00:00"/>
    <d v="2024-05-30T00:00:00"/>
    <x v="3"/>
  </r>
  <r>
    <n v="2094"/>
    <n v="15098"/>
    <x v="3"/>
    <n v="113362.19"/>
    <x v="0"/>
    <n v="21"/>
    <x v="3"/>
    <d v="2024-11-29T00:00:00"/>
    <d v="2024-12-20T00:00:00"/>
    <x v="1"/>
  </r>
  <r>
    <n v="2095"/>
    <n v="14723"/>
    <x v="3"/>
    <n v="99524.56"/>
    <x v="0"/>
    <n v="31"/>
    <x v="0"/>
    <d v="2024-09-04T00:00:00"/>
    <d v="2024-10-05T00:00:00"/>
    <x v="9"/>
  </r>
  <r>
    <n v="2096"/>
    <n v="12818"/>
    <x v="1"/>
    <n v="167830.84"/>
    <x v="0"/>
    <n v="29"/>
    <x v="0"/>
    <d v="2024-08-28T00:00:00"/>
    <d v="2024-09-26T00:00:00"/>
    <x v="8"/>
  </r>
  <r>
    <n v="2097"/>
    <n v="12925"/>
    <x v="1"/>
    <n v="187514.95"/>
    <x v="0"/>
    <n v="16"/>
    <x v="3"/>
    <d v="2024-04-15T00:00:00"/>
    <d v="2024-05-01T00:00:00"/>
    <x v="10"/>
  </r>
  <r>
    <n v="2098"/>
    <n v="19464"/>
    <x v="3"/>
    <n v="197895.27"/>
    <x v="0"/>
    <n v="39"/>
    <x v="3"/>
    <d v="2024-06-21T00:00:00"/>
    <d v="2024-07-30T00:00:00"/>
    <x v="7"/>
  </r>
  <r>
    <n v="2099"/>
    <n v="10709"/>
    <x v="3"/>
    <n v="82325.149999999994"/>
    <x v="0"/>
    <n v="14"/>
    <x v="3"/>
    <d v="2024-02-18T00:00:00"/>
    <d v="2024-03-03T00:00:00"/>
    <x v="4"/>
  </r>
  <r>
    <n v="2100"/>
    <n v="16992"/>
    <x v="3"/>
    <n v="198228.91"/>
    <x v="0"/>
    <n v="36"/>
    <x v="0"/>
    <d v="2024-05-02T00:00:00"/>
    <d v="2024-06-07T00:00:00"/>
    <x v="3"/>
  </r>
  <r>
    <n v="2101"/>
    <n v="10738"/>
    <x v="3"/>
    <n v="35405.620000000003"/>
    <x v="0"/>
    <n v="25"/>
    <x v="0"/>
    <d v="2024-02-04T00:00:00"/>
    <d v="2024-02-29T00:00:00"/>
    <x v="4"/>
  </r>
  <r>
    <n v="2102"/>
    <n v="19970"/>
    <x v="1"/>
    <n v="54442.21"/>
    <x v="1"/>
    <n v="2"/>
    <x v="2"/>
    <d v="2024-04-15T00:00:00"/>
    <d v="2024-04-17T00:00:00"/>
    <x v="10"/>
  </r>
  <r>
    <n v="2103"/>
    <n v="14590"/>
    <x v="2"/>
    <n v="22358.14"/>
    <x v="0"/>
    <n v="43"/>
    <x v="2"/>
    <d v="2024-11-23T00:00:00"/>
    <d v="2025-01-05T00:00:00"/>
    <x v="1"/>
  </r>
  <r>
    <n v="2104"/>
    <n v="16087"/>
    <x v="3"/>
    <n v="57989.01"/>
    <x v="0"/>
    <n v="25"/>
    <x v="3"/>
    <d v="2024-07-14T00:00:00"/>
    <d v="2024-08-08T00:00:00"/>
    <x v="2"/>
  </r>
  <r>
    <n v="2105"/>
    <n v="13718"/>
    <x v="1"/>
    <n v="154747.82"/>
    <x v="0"/>
    <n v="28"/>
    <x v="1"/>
    <d v="2024-04-18T00:00:00"/>
    <d v="2024-05-16T00:00:00"/>
    <x v="10"/>
  </r>
  <r>
    <n v="2106"/>
    <n v="18201"/>
    <x v="0"/>
    <n v="171320.25"/>
    <x v="1"/>
    <n v="19"/>
    <x v="1"/>
    <d v="2024-05-04T00:00:00"/>
    <d v="2024-05-23T00:00:00"/>
    <x v="3"/>
  </r>
  <r>
    <n v="2107"/>
    <n v="15081"/>
    <x v="0"/>
    <n v="156884.07"/>
    <x v="1"/>
    <n v="27"/>
    <x v="0"/>
    <d v="2024-11-22T00:00:00"/>
    <d v="2024-12-19T00:00:00"/>
    <x v="1"/>
  </r>
  <r>
    <n v="2108"/>
    <n v="19929"/>
    <x v="3"/>
    <n v="128057.83"/>
    <x v="0"/>
    <n v="30"/>
    <x v="0"/>
    <d v="2024-10-21T00:00:00"/>
    <d v="2024-11-20T00:00:00"/>
    <x v="6"/>
  </r>
  <r>
    <n v="2109"/>
    <n v="12578"/>
    <x v="2"/>
    <n v="105223.47"/>
    <x v="0"/>
    <n v="9"/>
    <x v="0"/>
    <d v="2024-12-12T00:00:00"/>
    <d v="2024-12-21T00:00:00"/>
    <x v="11"/>
  </r>
  <r>
    <n v="2110"/>
    <n v="11558"/>
    <x v="3"/>
    <n v="143197.34"/>
    <x v="1"/>
    <n v="27"/>
    <x v="3"/>
    <d v="2024-02-06T00:00:00"/>
    <d v="2024-03-04T00:00:00"/>
    <x v="4"/>
  </r>
  <r>
    <n v="2111"/>
    <n v="14000"/>
    <x v="3"/>
    <n v="81212.539999999994"/>
    <x v="0"/>
    <n v="6"/>
    <x v="1"/>
    <d v="2024-07-06T00:00:00"/>
    <d v="2024-07-12T00:00:00"/>
    <x v="2"/>
  </r>
  <r>
    <n v="2112"/>
    <n v="14545"/>
    <x v="3"/>
    <n v="169055.13"/>
    <x v="0"/>
    <n v="34"/>
    <x v="2"/>
    <d v="2024-12-02T00:00:00"/>
    <d v="2025-01-05T00:00:00"/>
    <x v="11"/>
  </r>
  <r>
    <n v="2113"/>
    <n v="15339"/>
    <x v="3"/>
    <n v="137052.07"/>
    <x v="2"/>
    <m/>
    <x v="3"/>
    <d v="2024-01-23T00:00:00"/>
    <m/>
    <x v="0"/>
  </r>
  <r>
    <n v="2114"/>
    <n v="19056"/>
    <x v="3"/>
    <n v="141071.92000000001"/>
    <x v="0"/>
    <n v="6"/>
    <x v="2"/>
    <d v="2024-09-17T00:00:00"/>
    <d v="2024-09-23T00:00:00"/>
    <x v="9"/>
  </r>
  <r>
    <n v="2115"/>
    <n v="19992"/>
    <x v="3"/>
    <n v="109507.52"/>
    <x v="2"/>
    <m/>
    <x v="2"/>
    <d v="2024-07-12T00:00:00"/>
    <m/>
    <x v="2"/>
  </r>
  <r>
    <n v="2116"/>
    <n v="12716"/>
    <x v="3"/>
    <n v="177619.65"/>
    <x v="1"/>
    <n v="14"/>
    <x v="3"/>
    <d v="2024-05-31T00:00:00"/>
    <d v="2024-06-14T00:00:00"/>
    <x v="3"/>
  </r>
  <r>
    <n v="2117"/>
    <n v="14302"/>
    <x v="0"/>
    <n v="54142.87"/>
    <x v="0"/>
    <n v="18"/>
    <x v="2"/>
    <d v="2024-01-18T00:00:00"/>
    <d v="2024-02-05T00:00:00"/>
    <x v="0"/>
  </r>
  <r>
    <n v="2118"/>
    <n v="11809"/>
    <x v="0"/>
    <n v="79323.789999999994"/>
    <x v="2"/>
    <m/>
    <x v="1"/>
    <d v="2024-01-27T00:00:00"/>
    <m/>
    <x v="0"/>
  </r>
  <r>
    <n v="2119"/>
    <n v="15830"/>
    <x v="3"/>
    <n v="156640.29999999999"/>
    <x v="1"/>
    <n v="26"/>
    <x v="2"/>
    <d v="2024-01-24T00:00:00"/>
    <d v="2024-02-19T00:00:00"/>
    <x v="0"/>
  </r>
  <r>
    <n v="2120"/>
    <n v="11997"/>
    <x v="0"/>
    <n v="101086.03"/>
    <x v="0"/>
    <n v="3"/>
    <x v="1"/>
    <d v="2024-01-29T00:00:00"/>
    <d v="2024-02-01T00:00:00"/>
    <x v="0"/>
  </r>
  <r>
    <n v="2121"/>
    <n v="12931"/>
    <x v="0"/>
    <n v="178396.73"/>
    <x v="0"/>
    <n v="25"/>
    <x v="1"/>
    <d v="2024-05-18T00:00:00"/>
    <d v="2024-06-12T00:00:00"/>
    <x v="3"/>
  </r>
  <r>
    <n v="2122"/>
    <n v="12130"/>
    <x v="1"/>
    <n v="72547.87"/>
    <x v="0"/>
    <n v="37"/>
    <x v="1"/>
    <d v="2024-05-25T00:00:00"/>
    <d v="2024-07-01T00:00:00"/>
    <x v="3"/>
  </r>
  <r>
    <n v="2123"/>
    <n v="14412"/>
    <x v="3"/>
    <n v="77019.38"/>
    <x v="0"/>
    <n v="26"/>
    <x v="0"/>
    <d v="2024-05-02T00:00:00"/>
    <d v="2024-05-28T00:00:00"/>
    <x v="3"/>
  </r>
  <r>
    <n v="2124"/>
    <n v="16513"/>
    <x v="1"/>
    <n v="178303.48"/>
    <x v="1"/>
    <n v="35"/>
    <x v="2"/>
    <d v="2024-05-07T00:00:00"/>
    <d v="2024-06-11T00:00:00"/>
    <x v="3"/>
  </r>
  <r>
    <n v="2125"/>
    <n v="12796"/>
    <x v="2"/>
    <n v="95552.21"/>
    <x v="0"/>
    <n v="13"/>
    <x v="3"/>
    <d v="2024-04-26T00:00:00"/>
    <d v="2024-05-09T00:00:00"/>
    <x v="10"/>
  </r>
  <r>
    <n v="2126"/>
    <n v="17748"/>
    <x v="1"/>
    <n v="105644.29"/>
    <x v="0"/>
    <n v="20"/>
    <x v="3"/>
    <d v="2024-05-11T00:00:00"/>
    <d v="2024-05-31T00:00:00"/>
    <x v="3"/>
  </r>
  <r>
    <n v="2127"/>
    <n v="16323"/>
    <x v="3"/>
    <n v="69888.92"/>
    <x v="0"/>
    <n v="43"/>
    <x v="2"/>
    <d v="2024-10-15T00:00:00"/>
    <d v="2024-11-27T00:00:00"/>
    <x v="6"/>
  </r>
  <r>
    <n v="2128"/>
    <n v="16745"/>
    <x v="1"/>
    <n v="58950.64"/>
    <x v="1"/>
    <n v="31"/>
    <x v="0"/>
    <d v="2024-07-24T00:00:00"/>
    <d v="2024-08-24T00:00:00"/>
    <x v="2"/>
  </r>
  <r>
    <n v="2129"/>
    <n v="15202"/>
    <x v="1"/>
    <n v="132910"/>
    <x v="0"/>
    <n v="38"/>
    <x v="0"/>
    <d v="2024-08-23T00:00:00"/>
    <d v="2024-09-30T00:00:00"/>
    <x v="8"/>
  </r>
  <r>
    <n v="2130"/>
    <n v="11555"/>
    <x v="1"/>
    <n v="28368.93"/>
    <x v="0"/>
    <n v="44"/>
    <x v="1"/>
    <d v="2024-02-11T00:00:00"/>
    <d v="2024-03-26T00:00:00"/>
    <x v="4"/>
  </r>
  <r>
    <n v="2131"/>
    <n v="18181"/>
    <x v="3"/>
    <n v="176458.17"/>
    <x v="0"/>
    <n v="2"/>
    <x v="2"/>
    <d v="2024-06-08T00:00:00"/>
    <d v="2024-06-10T00:00:00"/>
    <x v="7"/>
  </r>
  <r>
    <n v="2132"/>
    <n v="14443"/>
    <x v="3"/>
    <n v="156944.60999999999"/>
    <x v="0"/>
    <n v="4"/>
    <x v="2"/>
    <d v="2024-09-08T00:00:00"/>
    <d v="2024-09-12T00:00:00"/>
    <x v="9"/>
  </r>
  <r>
    <n v="2133"/>
    <n v="18522"/>
    <x v="0"/>
    <n v="42195.91"/>
    <x v="0"/>
    <n v="27"/>
    <x v="3"/>
    <d v="2024-06-27T00:00:00"/>
    <d v="2024-07-24T00:00:00"/>
    <x v="7"/>
  </r>
  <r>
    <n v="2134"/>
    <n v="14705"/>
    <x v="0"/>
    <n v="140333.89000000001"/>
    <x v="0"/>
    <n v="16"/>
    <x v="2"/>
    <d v="2024-05-04T00:00:00"/>
    <d v="2024-05-20T00:00:00"/>
    <x v="3"/>
  </r>
  <r>
    <n v="2135"/>
    <n v="14839"/>
    <x v="3"/>
    <n v="122513.42"/>
    <x v="0"/>
    <n v="29"/>
    <x v="0"/>
    <d v="2024-09-16T00:00:00"/>
    <d v="2024-10-15T00:00:00"/>
    <x v="9"/>
  </r>
  <r>
    <n v="2136"/>
    <n v="13958"/>
    <x v="2"/>
    <n v="40984.33"/>
    <x v="0"/>
    <n v="5"/>
    <x v="2"/>
    <d v="2024-10-02T00:00:00"/>
    <d v="2024-10-07T00:00:00"/>
    <x v="6"/>
  </r>
  <r>
    <n v="2137"/>
    <n v="14664"/>
    <x v="3"/>
    <n v="58274.68"/>
    <x v="2"/>
    <m/>
    <x v="3"/>
    <d v="2024-07-31T00:00:00"/>
    <m/>
    <x v="2"/>
  </r>
  <r>
    <n v="2138"/>
    <n v="19876"/>
    <x v="1"/>
    <n v="84752.37"/>
    <x v="0"/>
    <n v="25"/>
    <x v="1"/>
    <d v="2024-11-19T00:00:00"/>
    <d v="2024-12-14T00:00:00"/>
    <x v="1"/>
  </r>
  <r>
    <n v="2139"/>
    <n v="19162"/>
    <x v="1"/>
    <n v="141352.32999999999"/>
    <x v="0"/>
    <n v="41"/>
    <x v="3"/>
    <d v="2024-07-08T00:00:00"/>
    <d v="2024-08-18T00:00:00"/>
    <x v="2"/>
  </r>
  <r>
    <n v="2140"/>
    <n v="10746"/>
    <x v="0"/>
    <n v="129551.06"/>
    <x v="0"/>
    <n v="7"/>
    <x v="3"/>
    <d v="2024-02-27T00:00:00"/>
    <d v="2024-03-05T00:00:00"/>
    <x v="4"/>
  </r>
  <r>
    <n v="2141"/>
    <n v="12184"/>
    <x v="2"/>
    <n v="108785.8"/>
    <x v="0"/>
    <n v="17"/>
    <x v="1"/>
    <d v="2024-07-21T00:00:00"/>
    <d v="2024-08-07T00:00:00"/>
    <x v="2"/>
  </r>
  <r>
    <n v="2142"/>
    <n v="17946"/>
    <x v="3"/>
    <n v="154840.06"/>
    <x v="0"/>
    <n v="33"/>
    <x v="3"/>
    <d v="2024-03-20T00:00:00"/>
    <d v="2024-04-22T00:00:00"/>
    <x v="5"/>
  </r>
  <r>
    <n v="2143"/>
    <n v="19576"/>
    <x v="0"/>
    <n v="152797.85999999999"/>
    <x v="0"/>
    <n v="31"/>
    <x v="3"/>
    <d v="2024-08-15T00:00:00"/>
    <d v="2024-09-15T00:00:00"/>
    <x v="8"/>
  </r>
  <r>
    <n v="2144"/>
    <n v="15321"/>
    <x v="3"/>
    <n v="125482.54"/>
    <x v="0"/>
    <n v="36"/>
    <x v="2"/>
    <d v="2024-04-04T00:00:00"/>
    <d v="2024-05-10T00:00:00"/>
    <x v="10"/>
  </r>
  <r>
    <n v="2145"/>
    <n v="19210"/>
    <x v="1"/>
    <n v="158463.07"/>
    <x v="0"/>
    <n v="9"/>
    <x v="2"/>
    <d v="2024-01-04T00:00:00"/>
    <d v="2024-01-13T00:00:00"/>
    <x v="0"/>
  </r>
  <r>
    <n v="2146"/>
    <n v="17148"/>
    <x v="1"/>
    <n v="70181.36"/>
    <x v="0"/>
    <n v="6"/>
    <x v="1"/>
    <d v="2024-06-13T00:00:00"/>
    <d v="2024-06-19T00:00:00"/>
    <x v="7"/>
  </r>
  <r>
    <n v="2147"/>
    <n v="12024"/>
    <x v="1"/>
    <n v="176843.66"/>
    <x v="1"/>
    <n v="38"/>
    <x v="2"/>
    <d v="2024-10-26T00:00:00"/>
    <d v="2024-12-03T00:00:00"/>
    <x v="6"/>
  </r>
  <r>
    <n v="2148"/>
    <n v="16173"/>
    <x v="3"/>
    <n v="124907.47"/>
    <x v="0"/>
    <n v="13"/>
    <x v="2"/>
    <d v="2024-02-11T00:00:00"/>
    <d v="2024-02-24T00:00:00"/>
    <x v="4"/>
  </r>
  <r>
    <n v="2149"/>
    <n v="19734"/>
    <x v="0"/>
    <n v="165360.89000000001"/>
    <x v="0"/>
    <n v="26"/>
    <x v="3"/>
    <d v="2024-10-11T00:00:00"/>
    <d v="2024-11-06T00:00:00"/>
    <x v="6"/>
  </r>
  <r>
    <n v="2150"/>
    <n v="12711"/>
    <x v="3"/>
    <n v="111524.43"/>
    <x v="0"/>
    <n v="34"/>
    <x v="0"/>
    <d v="2024-08-16T00:00:00"/>
    <d v="2024-09-19T00:00:00"/>
    <x v="8"/>
  </r>
  <r>
    <n v="2151"/>
    <n v="17018"/>
    <x v="3"/>
    <n v="47595.46"/>
    <x v="0"/>
    <n v="40"/>
    <x v="2"/>
    <d v="2024-08-30T00:00:00"/>
    <d v="2024-10-09T00:00:00"/>
    <x v="8"/>
  </r>
  <r>
    <n v="2152"/>
    <n v="19646"/>
    <x v="1"/>
    <n v="110769.98"/>
    <x v="0"/>
    <n v="25"/>
    <x v="0"/>
    <d v="2024-07-30T00:00:00"/>
    <d v="2024-08-24T00:00:00"/>
    <x v="2"/>
  </r>
  <r>
    <n v="2153"/>
    <n v="17197"/>
    <x v="3"/>
    <n v="77366.77"/>
    <x v="0"/>
    <n v="12"/>
    <x v="2"/>
    <d v="2024-10-26T00:00:00"/>
    <d v="2024-11-07T00:00:00"/>
    <x v="6"/>
  </r>
  <r>
    <n v="2154"/>
    <n v="11702"/>
    <x v="0"/>
    <n v="141012.31"/>
    <x v="0"/>
    <n v="43"/>
    <x v="2"/>
    <d v="2024-02-24T00:00:00"/>
    <d v="2024-04-07T00:00:00"/>
    <x v="4"/>
  </r>
  <r>
    <n v="2155"/>
    <n v="15529"/>
    <x v="3"/>
    <n v="97779.79"/>
    <x v="0"/>
    <n v="36"/>
    <x v="1"/>
    <d v="2024-12-01T00:00:00"/>
    <d v="2025-01-06T00:00:00"/>
    <x v="11"/>
  </r>
  <r>
    <n v="2156"/>
    <n v="17216"/>
    <x v="3"/>
    <n v="168042"/>
    <x v="0"/>
    <n v="41"/>
    <x v="1"/>
    <d v="2024-06-21T00:00:00"/>
    <d v="2024-08-01T00:00:00"/>
    <x v="7"/>
  </r>
  <r>
    <n v="2157"/>
    <n v="17655"/>
    <x v="0"/>
    <n v="137224.14000000001"/>
    <x v="2"/>
    <m/>
    <x v="1"/>
    <d v="2024-10-03T00:00:00"/>
    <m/>
    <x v="6"/>
  </r>
  <r>
    <n v="2158"/>
    <n v="15417"/>
    <x v="1"/>
    <n v="138486.16"/>
    <x v="0"/>
    <n v="9"/>
    <x v="0"/>
    <d v="2024-11-29T00:00:00"/>
    <d v="2024-12-08T00:00:00"/>
    <x v="1"/>
  </r>
  <r>
    <n v="2159"/>
    <n v="16324"/>
    <x v="3"/>
    <n v="47345.29"/>
    <x v="0"/>
    <n v="24"/>
    <x v="3"/>
    <d v="2024-08-16T00:00:00"/>
    <d v="2024-09-09T00:00:00"/>
    <x v="8"/>
  </r>
  <r>
    <n v="2160"/>
    <n v="13873"/>
    <x v="1"/>
    <n v="196928.7"/>
    <x v="1"/>
    <n v="21"/>
    <x v="2"/>
    <d v="2024-01-30T00:00:00"/>
    <d v="2024-02-20T00:00:00"/>
    <x v="0"/>
  </r>
  <r>
    <n v="2161"/>
    <n v="18313"/>
    <x v="1"/>
    <n v="169126.67"/>
    <x v="0"/>
    <n v="33"/>
    <x v="2"/>
    <d v="2024-01-23T00:00:00"/>
    <d v="2024-02-25T00:00:00"/>
    <x v="0"/>
  </r>
  <r>
    <n v="2162"/>
    <n v="19668"/>
    <x v="1"/>
    <n v="158855.95000000001"/>
    <x v="0"/>
    <n v="12"/>
    <x v="2"/>
    <d v="2024-01-05T00:00:00"/>
    <d v="2024-01-17T00:00:00"/>
    <x v="0"/>
  </r>
  <r>
    <n v="2163"/>
    <n v="10265"/>
    <x v="3"/>
    <n v="69391.97"/>
    <x v="0"/>
    <n v="8"/>
    <x v="0"/>
    <d v="2024-03-03T00:00:00"/>
    <d v="2024-03-11T00:00:00"/>
    <x v="5"/>
  </r>
  <r>
    <n v="2164"/>
    <n v="18219"/>
    <x v="0"/>
    <n v="109448.17"/>
    <x v="0"/>
    <n v="31"/>
    <x v="1"/>
    <d v="2024-08-08T00:00:00"/>
    <d v="2024-09-08T00:00:00"/>
    <x v="8"/>
  </r>
  <r>
    <n v="2165"/>
    <n v="15378"/>
    <x v="0"/>
    <n v="31735.119999999999"/>
    <x v="0"/>
    <n v="40"/>
    <x v="3"/>
    <d v="2024-11-10T00:00:00"/>
    <d v="2024-12-20T00:00:00"/>
    <x v="1"/>
  </r>
  <r>
    <n v="2166"/>
    <n v="12124"/>
    <x v="1"/>
    <n v="110002.82"/>
    <x v="1"/>
    <n v="14"/>
    <x v="0"/>
    <d v="2024-03-22T00:00:00"/>
    <d v="2024-04-05T00:00:00"/>
    <x v="5"/>
  </r>
  <r>
    <n v="2167"/>
    <n v="10431"/>
    <x v="3"/>
    <n v="33448.400000000001"/>
    <x v="0"/>
    <n v="43"/>
    <x v="1"/>
    <d v="2024-08-29T00:00:00"/>
    <d v="2024-10-11T00:00:00"/>
    <x v="8"/>
  </r>
  <r>
    <n v="2168"/>
    <n v="14974"/>
    <x v="0"/>
    <n v="112842.38"/>
    <x v="0"/>
    <n v="4"/>
    <x v="0"/>
    <d v="2024-09-09T00:00:00"/>
    <d v="2024-09-13T00:00:00"/>
    <x v="9"/>
  </r>
  <r>
    <n v="2169"/>
    <n v="13777"/>
    <x v="1"/>
    <n v="131500.76999999999"/>
    <x v="1"/>
    <n v="8"/>
    <x v="3"/>
    <d v="2024-02-21T00:00:00"/>
    <d v="2024-02-29T00:00:00"/>
    <x v="4"/>
  </r>
  <r>
    <n v="2170"/>
    <n v="17037"/>
    <x v="1"/>
    <n v="81088.210000000006"/>
    <x v="1"/>
    <n v="44"/>
    <x v="1"/>
    <d v="2024-11-16T00:00:00"/>
    <d v="2024-12-30T00:00:00"/>
    <x v="1"/>
  </r>
  <r>
    <n v="2171"/>
    <n v="11085"/>
    <x v="3"/>
    <n v="102216.25"/>
    <x v="0"/>
    <n v="14"/>
    <x v="0"/>
    <d v="2024-02-08T00:00:00"/>
    <d v="2024-02-22T00:00:00"/>
    <x v="4"/>
  </r>
  <r>
    <n v="2172"/>
    <n v="16195"/>
    <x v="0"/>
    <n v="175752.41"/>
    <x v="0"/>
    <n v="38"/>
    <x v="3"/>
    <d v="2024-09-15T00:00:00"/>
    <d v="2024-10-23T00:00:00"/>
    <x v="9"/>
  </r>
  <r>
    <n v="2173"/>
    <n v="16259"/>
    <x v="1"/>
    <n v="26169.81"/>
    <x v="0"/>
    <n v="26"/>
    <x v="2"/>
    <d v="2024-11-22T00:00:00"/>
    <d v="2024-12-18T00:00:00"/>
    <x v="1"/>
  </r>
  <r>
    <n v="2174"/>
    <n v="12485"/>
    <x v="3"/>
    <n v="159387.91"/>
    <x v="0"/>
    <n v="24"/>
    <x v="3"/>
    <d v="2024-09-27T00:00:00"/>
    <d v="2024-10-21T00:00:00"/>
    <x v="9"/>
  </r>
  <r>
    <n v="2175"/>
    <n v="18292"/>
    <x v="3"/>
    <n v="38297.14"/>
    <x v="0"/>
    <n v="34"/>
    <x v="2"/>
    <d v="2024-03-12T00:00:00"/>
    <d v="2024-04-15T00:00:00"/>
    <x v="5"/>
  </r>
  <r>
    <n v="2176"/>
    <n v="15398"/>
    <x v="0"/>
    <n v="12158.06"/>
    <x v="0"/>
    <n v="6"/>
    <x v="0"/>
    <d v="2024-03-10T00:00:00"/>
    <d v="2024-03-16T00:00:00"/>
    <x v="5"/>
  </r>
  <r>
    <n v="2177"/>
    <n v="15078"/>
    <x v="3"/>
    <n v="41187.050000000003"/>
    <x v="2"/>
    <m/>
    <x v="1"/>
    <d v="2024-08-07T00:00:00"/>
    <m/>
    <x v="8"/>
  </r>
  <r>
    <n v="2178"/>
    <n v="17202"/>
    <x v="2"/>
    <n v="154183.42000000001"/>
    <x v="0"/>
    <n v="31"/>
    <x v="1"/>
    <d v="2024-01-04T00:00:00"/>
    <d v="2024-02-04T00:00:00"/>
    <x v="0"/>
  </r>
  <r>
    <n v="2179"/>
    <n v="13048"/>
    <x v="1"/>
    <n v="83999.58"/>
    <x v="0"/>
    <n v="32"/>
    <x v="0"/>
    <d v="2024-12-15T00:00:00"/>
    <d v="2025-01-16T00:00:00"/>
    <x v="11"/>
  </r>
  <r>
    <n v="2180"/>
    <n v="16502"/>
    <x v="1"/>
    <n v="175141.5"/>
    <x v="0"/>
    <n v="14"/>
    <x v="1"/>
    <d v="2024-10-16T00:00:00"/>
    <d v="2024-10-30T00:00:00"/>
    <x v="6"/>
  </r>
  <r>
    <n v="2181"/>
    <n v="10799"/>
    <x v="3"/>
    <n v="107317.97"/>
    <x v="0"/>
    <n v="43"/>
    <x v="1"/>
    <d v="2024-10-18T00:00:00"/>
    <d v="2024-11-30T00:00:00"/>
    <x v="6"/>
  </r>
  <r>
    <n v="2182"/>
    <n v="13822"/>
    <x v="3"/>
    <n v="9338.82"/>
    <x v="0"/>
    <n v="6"/>
    <x v="2"/>
    <d v="2024-12-20T00:00:00"/>
    <d v="2024-12-26T00:00:00"/>
    <x v="11"/>
  </r>
  <r>
    <n v="2183"/>
    <n v="15611"/>
    <x v="2"/>
    <n v="144759.15"/>
    <x v="0"/>
    <n v="24"/>
    <x v="0"/>
    <d v="2024-08-18T00:00:00"/>
    <d v="2024-09-11T00:00:00"/>
    <x v="8"/>
  </r>
  <r>
    <n v="2184"/>
    <n v="16009"/>
    <x v="3"/>
    <n v="26495.42"/>
    <x v="1"/>
    <n v="2"/>
    <x v="3"/>
    <d v="2024-03-20T00:00:00"/>
    <d v="2024-03-22T00:00:00"/>
    <x v="5"/>
  </r>
  <r>
    <n v="2185"/>
    <n v="19487"/>
    <x v="1"/>
    <n v="158929.03"/>
    <x v="0"/>
    <n v="11"/>
    <x v="2"/>
    <d v="2024-03-06T00:00:00"/>
    <d v="2024-03-17T00:00:00"/>
    <x v="5"/>
  </r>
  <r>
    <n v="2186"/>
    <n v="15263"/>
    <x v="3"/>
    <n v="37780"/>
    <x v="0"/>
    <n v="28"/>
    <x v="0"/>
    <d v="2024-05-15T00:00:00"/>
    <d v="2024-06-12T00:00:00"/>
    <x v="3"/>
  </r>
  <r>
    <n v="2187"/>
    <n v="18626"/>
    <x v="3"/>
    <n v="72362.05"/>
    <x v="0"/>
    <n v="9"/>
    <x v="2"/>
    <d v="2024-07-09T00:00:00"/>
    <d v="2024-07-18T00:00:00"/>
    <x v="2"/>
  </r>
  <r>
    <n v="2188"/>
    <n v="15570"/>
    <x v="3"/>
    <n v="153447.93"/>
    <x v="0"/>
    <n v="4"/>
    <x v="3"/>
    <d v="2024-12-12T00:00:00"/>
    <d v="2024-12-16T00:00:00"/>
    <x v="11"/>
  </r>
  <r>
    <n v="2189"/>
    <n v="19107"/>
    <x v="1"/>
    <n v="191075.11"/>
    <x v="0"/>
    <n v="20"/>
    <x v="3"/>
    <d v="2024-12-01T00:00:00"/>
    <d v="2024-12-21T00:00:00"/>
    <x v="11"/>
  </r>
  <r>
    <n v="2190"/>
    <n v="14640"/>
    <x v="2"/>
    <n v="77429.62"/>
    <x v="1"/>
    <n v="3"/>
    <x v="0"/>
    <d v="2024-02-28T00:00:00"/>
    <d v="2024-03-02T00:00:00"/>
    <x v="4"/>
  </r>
  <r>
    <n v="2191"/>
    <n v="15333"/>
    <x v="3"/>
    <n v="166733.04"/>
    <x v="2"/>
    <m/>
    <x v="3"/>
    <d v="2024-09-22T00:00:00"/>
    <m/>
    <x v="9"/>
  </r>
  <r>
    <n v="2192"/>
    <n v="18839"/>
    <x v="3"/>
    <n v="42204.49"/>
    <x v="0"/>
    <n v="11"/>
    <x v="2"/>
    <d v="2024-01-07T00:00:00"/>
    <d v="2024-01-18T00:00:00"/>
    <x v="0"/>
  </r>
  <r>
    <n v="2193"/>
    <n v="12295"/>
    <x v="3"/>
    <n v="162400.06"/>
    <x v="0"/>
    <n v="17"/>
    <x v="3"/>
    <d v="2024-07-20T00:00:00"/>
    <d v="2024-08-06T00:00:00"/>
    <x v="2"/>
  </r>
  <r>
    <n v="2194"/>
    <n v="11431"/>
    <x v="1"/>
    <n v="133211.34"/>
    <x v="1"/>
    <n v="38"/>
    <x v="2"/>
    <d v="2024-11-27T00:00:00"/>
    <d v="2025-01-04T00:00:00"/>
    <x v="1"/>
  </r>
  <r>
    <n v="2195"/>
    <n v="15172"/>
    <x v="3"/>
    <n v="42584.98"/>
    <x v="0"/>
    <n v="21"/>
    <x v="2"/>
    <d v="2024-08-24T00:00:00"/>
    <d v="2024-09-14T00:00:00"/>
    <x v="8"/>
  </r>
  <r>
    <n v="2196"/>
    <n v="12361"/>
    <x v="0"/>
    <n v="63988.27"/>
    <x v="0"/>
    <n v="4"/>
    <x v="3"/>
    <d v="2024-09-24T00:00:00"/>
    <d v="2024-09-28T00:00:00"/>
    <x v="9"/>
  </r>
  <r>
    <n v="2197"/>
    <n v="17541"/>
    <x v="1"/>
    <n v="30695.32"/>
    <x v="0"/>
    <n v="36"/>
    <x v="0"/>
    <d v="2024-03-19T00:00:00"/>
    <d v="2024-04-24T00:00:00"/>
    <x v="5"/>
  </r>
  <r>
    <n v="2198"/>
    <n v="10723"/>
    <x v="1"/>
    <n v="79678.570000000007"/>
    <x v="1"/>
    <n v="35"/>
    <x v="1"/>
    <d v="2024-02-15T00:00:00"/>
    <d v="2024-03-21T00:00:00"/>
    <x v="4"/>
  </r>
  <r>
    <n v="2199"/>
    <n v="11547"/>
    <x v="3"/>
    <n v="44711.49"/>
    <x v="0"/>
    <n v="22"/>
    <x v="3"/>
    <d v="2024-08-30T00:00:00"/>
    <d v="2024-09-21T00:00:00"/>
    <x v="8"/>
  </r>
  <r>
    <n v="2200"/>
    <n v="19171"/>
    <x v="2"/>
    <n v="130579.6"/>
    <x v="1"/>
    <n v="37"/>
    <x v="2"/>
    <d v="2024-10-14T00:00:00"/>
    <d v="2024-11-20T00:00:00"/>
    <x v="6"/>
  </r>
  <r>
    <n v="2201"/>
    <n v="18275"/>
    <x v="3"/>
    <n v="198928.5"/>
    <x v="1"/>
    <n v="33"/>
    <x v="2"/>
    <d v="2024-06-08T00:00:00"/>
    <d v="2024-07-11T00:00:00"/>
    <x v="7"/>
  </r>
  <r>
    <n v="2202"/>
    <n v="11365"/>
    <x v="3"/>
    <n v="7341.79"/>
    <x v="0"/>
    <n v="19"/>
    <x v="3"/>
    <d v="2024-04-24T00:00:00"/>
    <d v="2024-05-13T00:00:00"/>
    <x v="10"/>
  </r>
  <r>
    <n v="2203"/>
    <n v="18741"/>
    <x v="1"/>
    <n v="110479.36"/>
    <x v="1"/>
    <n v="35"/>
    <x v="0"/>
    <d v="2024-04-23T00:00:00"/>
    <d v="2024-05-28T00:00:00"/>
    <x v="10"/>
  </r>
  <r>
    <n v="2204"/>
    <n v="13853"/>
    <x v="1"/>
    <n v="116864.99"/>
    <x v="1"/>
    <n v="39"/>
    <x v="0"/>
    <d v="2024-05-05T00:00:00"/>
    <d v="2024-06-13T00:00:00"/>
    <x v="3"/>
  </r>
  <r>
    <n v="2205"/>
    <n v="14682"/>
    <x v="3"/>
    <n v="183270.71"/>
    <x v="0"/>
    <n v="4"/>
    <x v="2"/>
    <d v="2024-03-30T00:00:00"/>
    <d v="2024-04-03T00:00:00"/>
    <x v="5"/>
  </r>
  <r>
    <n v="2206"/>
    <n v="15960"/>
    <x v="3"/>
    <n v="103671.03999999999"/>
    <x v="0"/>
    <n v="4"/>
    <x v="2"/>
    <d v="2024-03-01T00:00:00"/>
    <d v="2024-03-05T00:00:00"/>
    <x v="5"/>
  </r>
  <r>
    <n v="2207"/>
    <n v="18343"/>
    <x v="1"/>
    <n v="111021.78"/>
    <x v="0"/>
    <n v="28"/>
    <x v="0"/>
    <d v="2024-11-12T00:00:00"/>
    <d v="2024-12-10T00:00:00"/>
    <x v="1"/>
  </r>
  <r>
    <n v="2208"/>
    <n v="17689"/>
    <x v="3"/>
    <n v="96972.3"/>
    <x v="0"/>
    <n v="3"/>
    <x v="1"/>
    <d v="2024-04-11T00:00:00"/>
    <d v="2024-04-14T00:00:00"/>
    <x v="10"/>
  </r>
  <r>
    <n v="2209"/>
    <n v="15157"/>
    <x v="0"/>
    <n v="57436.34"/>
    <x v="0"/>
    <n v="4"/>
    <x v="3"/>
    <d v="2024-04-23T00:00:00"/>
    <d v="2024-04-27T00:00:00"/>
    <x v="10"/>
  </r>
  <r>
    <n v="2210"/>
    <n v="13498"/>
    <x v="1"/>
    <n v="15925.68"/>
    <x v="0"/>
    <n v="18"/>
    <x v="2"/>
    <d v="2024-06-22T00:00:00"/>
    <d v="2024-07-10T00:00:00"/>
    <x v="7"/>
  </r>
  <r>
    <n v="2211"/>
    <n v="12985"/>
    <x v="3"/>
    <n v="84688.25"/>
    <x v="0"/>
    <n v="40"/>
    <x v="2"/>
    <d v="2024-04-01T00:00:00"/>
    <d v="2024-05-11T00:00:00"/>
    <x v="10"/>
  </r>
  <r>
    <n v="2212"/>
    <n v="11567"/>
    <x v="3"/>
    <n v="15255.34"/>
    <x v="1"/>
    <n v="39"/>
    <x v="0"/>
    <d v="2024-07-01T00:00:00"/>
    <d v="2024-08-09T00:00:00"/>
    <x v="2"/>
  </r>
  <r>
    <n v="2213"/>
    <n v="18403"/>
    <x v="3"/>
    <n v="112346.03"/>
    <x v="0"/>
    <n v="41"/>
    <x v="3"/>
    <d v="2024-07-23T00:00:00"/>
    <d v="2024-09-02T00:00:00"/>
    <x v="2"/>
  </r>
  <r>
    <n v="2214"/>
    <n v="16669"/>
    <x v="1"/>
    <n v="64922.26"/>
    <x v="0"/>
    <n v="20"/>
    <x v="0"/>
    <d v="2024-12-28T00:00:00"/>
    <d v="2025-01-17T00:00:00"/>
    <x v="11"/>
  </r>
  <r>
    <n v="2215"/>
    <n v="14191"/>
    <x v="1"/>
    <n v="109052.47"/>
    <x v="0"/>
    <n v="20"/>
    <x v="3"/>
    <d v="2024-07-13T00:00:00"/>
    <d v="2024-08-02T00:00:00"/>
    <x v="2"/>
  </r>
  <r>
    <n v="2216"/>
    <n v="19718"/>
    <x v="3"/>
    <n v="31187.91"/>
    <x v="0"/>
    <n v="6"/>
    <x v="3"/>
    <d v="2024-10-31T00:00:00"/>
    <d v="2024-11-06T00:00:00"/>
    <x v="6"/>
  </r>
  <r>
    <n v="2217"/>
    <n v="17156"/>
    <x v="1"/>
    <n v="186862.84"/>
    <x v="0"/>
    <n v="6"/>
    <x v="3"/>
    <d v="2024-01-25T00:00:00"/>
    <d v="2024-01-31T00:00:00"/>
    <x v="0"/>
  </r>
  <r>
    <n v="2218"/>
    <n v="18713"/>
    <x v="2"/>
    <n v="179431.64"/>
    <x v="0"/>
    <n v="15"/>
    <x v="2"/>
    <d v="2024-08-21T00:00:00"/>
    <d v="2024-09-05T00:00:00"/>
    <x v="8"/>
  </r>
  <r>
    <n v="2219"/>
    <n v="16517"/>
    <x v="3"/>
    <n v="42049.32"/>
    <x v="0"/>
    <n v="28"/>
    <x v="1"/>
    <d v="2024-01-16T00:00:00"/>
    <d v="2024-02-13T00:00:00"/>
    <x v="0"/>
  </r>
  <r>
    <n v="2220"/>
    <n v="15135"/>
    <x v="2"/>
    <n v="71971.64"/>
    <x v="1"/>
    <n v="37"/>
    <x v="0"/>
    <d v="2024-05-20T00:00:00"/>
    <d v="2024-06-26T00:00:00"/>
    <x v="3"/>
  </r>
  <r>
    <n v="2221"/>
    <n v="19894"/>
    <x v="3"/>
    <n v="124631.09"/>
    <x v="1"/>
    <n v="41"/>
    <x v="1"/>
    <d v="2024-04-17T00:00:00"/>
    <d v="2024-05-28T00:00:00"/>
    <x v="10"/>
  </r>
  <r>
    <n v="2222"/>
    <n v="16751"/>
    <x v="3"/>
    <n v="23658.81"/>
    <x v="0"/>
    <n v="36"/>
    <x v="0"/>
    <d v="2024-10-26T00:00:00"/>
    <d v="2024-12-01T00:00:00"/>
    <x v="6"/>
  </r>
  <r>
    <n v="2223"/>
    <n v="18209"/>
    <x v="3"/>
    <n v="74140.73"/>
    <x v="1"/>
    <n v="22"/>
    <x v="3"/>
    <d v="2024-12-04T00:00:00"/>
    <d v="2024-12-26T00:00:00"/>
    <x v="11"/>
  </r>
  <r>
    <n v="2224"/>
    <n v="17174"/>
    <x v="3"/>
    <n v="53966.9"/>
    <x v="1"/>
    <n v="6"/>
    <x v="2"/>
    <d v="2024-10-29T00:00:00"/>
    <d v="2024-11-04T00:00:00"/>
    <x v="6"/>
  </r>
  <r>
    <n v="2225"/>
    <n v="11719"/>
    <x v="3"/>
    <n v="183525.76000000001"/>
    <x v="0"/>
    <n v="25"/>
    <x v="1"/>
    <d v="2024-03-20T00:00:00"/>
    <d v="2024-04-14T00:00:00"/>
    <x v="5"/>
  </r>
  <r>
    <n v="2226"/>
    <n v="18061"/>
    <x v="3"/>
    <n v="171239.57"/>
    <x v="2"/>
    <m/>
    <x v="2"/>
    <d v="2024-03-16T00:00:00"/>
    <m/>
    <x v="5"/>
  </r>
  <r>
    <n v="2227"/>
    <n v="14014"/>
    <x v="2"/>
    <n v="118067.38"/>
    <x v="1"/>
    <n v="25"/>
    <x v="0"/>
    <d v="2024-10-02T00:00:00"/>
    <d v="2024-10-27T00:00:00"/>
    <x v="6"/>
  </r>
  <r>
    <n v="2228"/>
    <n v="10878"/>
    <x v="0"/>
    <n v="106467.54"/>
    <x v="0"/>
    <n v="41"/>
    <x v="2"/>
    <d v="2024-09-24T00:00:00"/>
    <d v="2024-11-04T00:00:00"/>
    <x v="9"/>
  </r>
  <r>
    <n v="2229"/>
    <n v="18785"/>
    <x v="1"/>
    <n v="186491.53"/>
    <x v="0"/>
    <n v="44"/>
    <x v="2"/>
    <d v="2024-04-21T00:00:00"/>
    <d v="2024-06-04T00:00:00"/>
    <x v="10"/>
  </r>
  <r>
    <n v="2230"/>
    <n v="16272"/>
    <x v="3"/>
    <n v="186823.42"/>
    <x v="0"/>
    <n v="14"/>
    <x v="1"/>
    <d v="2024-11-11T00:00:00"/>
    <d v="2024-11-25T00:00:00"/>
    <x v="1"/>
  </r>
  <r>
    <n v="2231"/>
    <n v="11609"/>
    <x v="3"/>
    <n v="194019.37"/>
    <x v="0"/>
    <n v="39"/>
    <x v="3"/>
    <d v="2024-03-15T00:00:00"/>
    <d v="2024-04-23T00:00:00"/>
    <x v="5"/>
  </r>
  <r>
    <n v="2232"/>
    <n v="19067"/>
    <x v="3"/>
    <n v="29448.880000000001"/>
    <x v="1"/>
    <n v="2"/>
    <x v="2"/>
    <d v="2024-08-01T00:00:00"/>
    <d v="2024-08-03T00:00:00"/>
    <x v="8"/>
  </r>
  <r>
    <n v="2233"/>
    <n v="16714"/>
    <x v="1"/>
    <n v="36308.769999999997"/>
    <x v="0"/>
    <n v="44"/>
    <x v="3"/>
    <d v="2024-02-03T00:00:00"/>
    <d v="2024-03-18T00:00:00"/>
    <x v="4"/>
  </r>
  <r>
    <n v="2234"/>
    <n v="15109"/>
    <x v="2"/>
    <n v="136963.66"/>
    <x v="1"/>
    <n v="40"/>
    <x v="0"/>
    <d v="2024-05-20T00:00:00"/>
    <d v="2024-06-29T00:00:00"/>
    <x v="3"/>
  </r>
  <r>
    <n v="2235"/>
    <n v="12448"/>
    <x v="3"/>
    <n v="110579.72"/>
    <x v="1"/>
    <n v="11"/>
    <x v="2"/>
    <d v="2024-06-14T00:00:00"/>
    <d v="2024-06-25T00:00:00"/>
    <x v="7"/>
  </r>
  <r>
    <n v="2236"/>
    <n v="12136"/>
    <x v="3"/>
    <n v="8600.85"/>
    <x v="0"/>
    <n v="3"/>
    <x v="1"/>
    <d v="2024-08-18T00:00:00"/>
    <d v="2024-08-21T00:00:00"/>
    <x v="8"/>
  </r>
  <r>
    <n v="2237"/>
    <n v="16966"/>
    <x v="1"/>
    <n v="17085.13"/>
    <x v="0"/>
    <n v="17"/>
    <x v="0"/>
    <d v="2024-10-18T00:00:00"/>
    <d v="2024-11-04T00:00:00"/>
    <x v="6"/>
  </r>
  <r>
    <n v="2238"/>
    <n v="12053"/>
    <x v="3"/>
    <n v="178175.67"/>
    <x v="0"/>
    <n v="38"/>
    <x v="0"/>
    <d v="2024-01-28T00:00:00"/>
    <d v="2024-03-06T00:00:00"/>
    <x v="0"/>
  </r>
  <r>
    <n v="2239"/>
    <n v="17763"/>
    <x v="3"/>
    <n v="174429.81"/>
    <x v="0"/>
    <n v="17"/>
    <x v="1"/>
    <d v="2024-10-21T00:00:00"/>
    <d v="2024-11-07T00:00:00"/>
    <x v="6"/>
  </r>
  <r>
    <n v="2240"/>
    <n v="10083"/>
    <x v="1"/>
    <n v="74667.83"/>
    <x v="0"/>
    <n v="24"/>
    <x v="2"/>
    <d v="2024-11-28T00:00:00"/>
    <d v="2024-12-22T00:00:00"/>
    <x v="1"/>
  </r>
  <r>
    <n v="2241"/>
    <n v="19631"/>
    <x v="1"/>
    <n v="178754.87"/>
    <x v="0"/>
    <n v="27"/>
    <x v="2"/>
    <d v="2024-12-25T00:00:00"/>
    <d v="2025-01-21T00:00:00"/>
    <x v="11"/>
  </r>
  <r>
    <n v="2242"/>
    <n v="12668"/>
    <x v="3"/>
    <n v="120766.64"/>
    <x v="0"/>
    <n v="17"/>
    <x v="0"/>
    <d v="2024-03-31T00:00:00"/>
    <d v="2024-04-17T00:00:00"/>
    <x v="5"/>
  </r>
  <r>
    <n v="2243"/>
    <n v="15231"/>
    <x v="3"/>
    <n v="162151.6"/>
    <x v="1"/>
    <n v="28"/>
    <x v="2"/>
    <d v="2024-04-24T00:00:00"/>
    <d v="2024-05-22T00:00:00"/>
    <x v="10"/>
  </r>
  <r>
    <n v="2244"/>
    <n v="18890"/>
    <x v="2"/>
    <n v="88349.06"/>
    <x v="0"/>
    <n v="42"/>
    <x v="3"/>
    <d v="2024-06-07T00:00:00"/>
    <d v="2024-07-19T00:00:00"/>
    <x v="7"/>
  </r>
  <r>
    <n v="2245"/>
    <n v="11820"/>
    <x v="3"/>
    <n v="27112.67"/>
    <x v="0"/>
    <n v="31"/>
    <x v="1"/>
    <d v="2024-09-14T00:00:00"/>
    <d v="2024-10-15T00:00:00"/>
    <x v="9"/>
  </r>
  <r>
    <n v="2246"/>
    <n v="14414"/>
    <x v="3"/>
    <n v="89576.78"/>
    <x v="0"/>
    <n v="34"/>
    <x v="3"/>
    <d v="2024-12-03T00:00:00"/>
    <d v="2025-01-06T00:00:00"/>
    <x v="11"/>
  </r>
  <r>
    <n v="2247"/>
    <n v="17249"/>
    <x v="3"/>
    <n v="94173.46"/>
    <x v="1"/>
    <n v="33"/>
    <x v="2"/>
    <d v="2024-03-30T00:00:00"/>
    <d v="2024-05-02T00:00:00"/>
    <x v="5"/>
  </r>
  <r>
    <n v="2248"/>
    <n v="19290"/>
    <x v="3"/>
    <n v="112434.12"/>
    <x v="0"/>
    <n v="10"/>
    <x v="0"/>
    <d v="2024-09-01T00:00:00"/>
    <d v="2024-09-11T00:00:00"/>
    <x v="9"/>
  </r>
  <r>
    <n v="2249"/>
    <n v="16572"/>
    <x v="3"/>
    <n v="25588.63"/>
    <x v="0"/>
    <n v="12"/>
    <x v="1"/>
    <d v="2024-10-24T00:00:00"/>
    <d v="2024-11-05T00:00:00"/>
    <x v="6"/>
  </r>
  <r>
    <n v="2250"/>
    <n v="17627"/>
    <x v="0"/>
    <n v="198323.36"/>
    <x v="2"/>
    <m/>
    <x v="2"/>
    <d v="2024-01-31T00:00:00"/>
    <m/>
    <x v="0"/>
  </r>
  <r>
    <n v="2251"/>
    <n v="12894"/>
    <x v="3"/>
    <n v="52606.68"/>
    <x v="0"/>
    <n v="7"/>
    <x v="2"/>
    <d v="2024-11-12T00:00:00"/>
    <d v="2024-11-19T00:00:00"/>
    <x v="1"/>
  </r>
  <r>
    <n v="2252"/>
    <n v="13417"/>
    <x v="3"/>
    <n v="43717.72"/>
    <x v="0"/>
    <n v="31"/>
    <x v="0"/>
    <d v="2024-12-23T00:00:00"/>
    <d v="2025-01-23T00:00:00"/>
    <x v="11"/>
  </r>
  <r>
    <n v="2253"/>
    <n v="10248"/>
    <x v="1"/>
    <n v="107726.57"/>
    <x v="0"/>
    <n v="41"/>
    <x v="0"/>
    <d v="2024-11-07T00:00:00"/>
    <d v="2024-12-18T00:00:00"/>
    <x v="1"/>
  </r>
  <r>
    <n v="2254"/>
    <n v="17810"/>
    <x v="1"/>
    <n v="109755.59"/>
    <x v="1"/>
    <n v="16"/>
    <x v="3"/>
    <d v="2024-08-15T00:00:00"/>
    <d v="2024-08-31T00:00:00"/>
    <x v="8"/>
  </r>
  <r>
    <n v="2255"/>
    <n v="11890"/>
    <x v="0"/>
    <n v="90765.04"/>
    <x v="0"/>
    <n v="31"/>
    <x v="1"/>
    <d v="2024-12-04T00:00:00"/>
    <d v="2025-01-04T00:00:00"/>
    <x v="11"/>
  </r>
  <r>
    <n v="2256"/>
    <n v="17880"/>
    <x v="0"/>
    <n v="155518.97"/>
    <x v="0"/>
    <n v="19"/>
    <x v="1"/>
    <d v="2024-05-07T00:00:00"/>
    <d v="2024-05-26T00:00:00"/>
    <x v="3"/>
  </r>
  <r>
    <n v="2257"/>
    <n v="12115"/>
    <x v="3"/>
    <n v="105747.61"/>
    <x v="0"/>
    <n v="13"/>
    <x v="0"/>
    <d v="2024-09-26T00:00:00"/>
    <d v="2024-10-09T00:00:00"/>
    <x v="9"/>
  </r>
  <r>
    <n v="2258"/>
    <n v="16581"/>
    <x v="1"/>
    <n v="123890.61"/>
    <x v="2"/>
    <m/>
    <x v="3"/>
    <d v="2024-09-26T00:00:00"/>
    <m/>
    <x v="9"/>
  </r>
  <r>
    <n v="2259"/>
    <n v="13063"/>
    <x v="3"/>
    <n v="146130.54999999999"/>
    <x v="0"/>
    <n v="17"/>
    <x v="1"/>
    <d v="2024-07-27T00:00:00"/>
    <d v="2024-08-13T00:00:00"/>
    <x v="2"/>
  </r>
  <r>
    <n v="2260"/>
    <n v="15651"/>
    <x v="2"/>
    <n v="9879.89"/>
    <x v="0"/>
    <n v="24"/>
    <x v="0"/>
    <d v="2024-06-26T00:00:00"/>
    <d v="2024-07-20T00:00:00"/>
    <x v="7"/>
  </r>
  <r>
    <n v="2261"/>
    <n v="11806"/>
    <x v="3"/>
    <n v="116275.62"/>
    <x v="2"/>
    <m/>
    <x v="2"/>
    <d v="2024-11-01T00:00:00"/>
    <m/>
    <x v="1"/>
  </r>
  <r>
    <n v="2262"/>
    <n v="17300"/>
    <x v="2"/>
    <n v="177417.92"/>
    <x v="0"/>
    <n v="25"/>
    <x v="1"/>
    <d v="2024-07-09T00:00:00"/>
    <d v="2024-08-03T00:00:00"/>
    <x v="2"/>
  </r>
  <r>
    <n v="2263"/>
    <n v="18487"/>
    <x v="1"/>
    <n v="8390.7999999999993"/>
    <x v="2"/>
    <m/>
    <x v="3"/>
    <d v="2024-12-22T00:00:00"/>
    <m/>
    <x v="11"/>
  </r>
  <r>
    <n v="2264"/>
    <n v="12694"/>
    <x v="3"/>
    <n v="84010.51"/>
    <x v="2"/>
    <m/>
    <x v="3"/>
    <d v="2024-03-08T00:00:00"/>
    <m/>
    <x v="5"/>
  </r>
  <r>
    <n v="2265"/>
    <n v="15493"/>
    <x v="1"/>
    <n v="185614.35"/>
    <x v="1"/>
    <n v="16"/>
    <x v="3"/>
    <d v="2024-11-22T00:00:00"/>
    <d v="2024-12-08T00:00:00"/>
    <x v="1"/>
  </r>
  <r>
    <n v="2266"/>
    <n v="18223"/>
    <x v="2"/>
    <n v="73865.11"/>
    <x v="0"/>
    <n v="16"/>
    <x v="2"/>
    <d v="2024-09-23T00:00:00"/>
    <d v="2024-10-09T00:00:00"/>
    <x v="9"/>
  </r>
  <r>
    <n v="2267"/>
    <n v="14650"/>
    <x v="0"/>
    <n v="94452.12"/>
    <x v="0"/>
    <n v="11"/>
    <x v="1"/>
    <d v="2024-09-26T00:00:00"/>
    <d v="2024-10-07T00:00:00"/>
    <x v="9"/>
  </r>
  <r>
    <n v="2268"/>
    <n v="18126"/>
    <x v="3"/>
    <n v="196400.57"/>
    <x v="1"/>
    <n v="29"/>
    <x v="1"/>
    <d v="2024-12-27T00:00:00"/>
    <d v="2025-01-25T00:00:00"/>
    <x v="11"/>
  </r>
  <r>
    <n v="2269"/>
    <n v="10792"/>
    <x v="1"/>
    <n v="43868.15"/>
    <x v="2"/>
    <m/>
    <x v="2"/>
    <d v="2024-12-25T00:00:00"/>
    <m/>
    <x v="11"/>
  </r>
  <r>
    <n v="2270"/>
    <n v="14191"/>
    <x v="3"/>
    <n v="17724.759999999998"/>
    <x v="0"/>
    <n v="18"/>
    <x v="1"/>
    <d v="2024-05-07T00:00:00"/>
    <d v="2024-05-25T00:00:00"/>
    <x v="3"/>
  </r>
  <r>
    <n v="2271"/>
    <n v="11089"/>
    <x v="3"/>
    <n v="172587.41"/>
    <x v="1"/>
    <n v="37"/>
    <x v="2"/>
    <d v="2024-09-20T00:00:00"/>
    <d v="2024-10-27T00:00:00"/>
    <x v="9"/>
  </r>
  <r>
    <n v="2272"/>
    <n v="18421"/>
    <x v="3"/>
    <n v="174350.74"/>
    <x v="0"/>
    <n v="23"/>
    <x v="2"/>
    <d v="2024-08-08T00:00:00"/>
    <d v="2024-08-31T00:00:00"/>
    <x v="8"/>
  </r>
  <r>
    <n v="2273"/>
    <n v="12780"/>
    <x v="3"/>
    <n v="97055.18"/>
    <x v="0"/>
    <n v="24"/>
    <x v="2"/>
    <d v="2024-08-29T00:00:00"/>
    <d v="2024-09-22T00:00:00"/>
    <x v="8"/>
  </r>
  <r>
    <n v="2274"/>
    <n v="14497"/>
    <x v="0"/>
    <n v="105270.39999999999"/>
    <x v="0"/>
    <n v="30"/>
    <x v="3"/>
    <d v="2024-08-31T00:00:00"/>
    <d v="2024-09-30T00:00:00"/>
    <x v="8"/>
  </r>
  <r>
    <n v="2275"/>
    <n v="10789"/>
    <x v="3"/>
    <n v="167982.24"/>
    <x v="1"/>
    <n v="23"/>
    <x v="1"/>
    <d v="2024-01-19T00:00:00"/>
    <d v="2024-02-11T00:00:00"/>
    <x v="0"/>
  </r>
  <r>
    <n v="2276"/>
    <n v="14194"/>
    <x v="0"/>
    <n v="149019.1"/>
    <x v="0"/>
    <n v="12"/>
    <x v="2"/>
    <d v="2024-06-03T00:00:00"/>
    <d v="2024-06-15T00:00:00"/>
    <x v="7"/>
  </r>
  <r>
    <n v="2277"/>
    <n v="19990"/>
    <x v="3"/>
    <n v="56704.06"/>
    <x v="0"/>
    <n v="37"/>
    <x v="1"/>
    <d v="2024-08-16T00:00:00"/>
    <d v="2024-09-22T00:00:00"/>
    <x v="8"/>
  </r>
  <r>
    <n v="2278"/>
    <n v="14457"/>
    <x v="3"/>
    <n v="8294.2000000000007"/>
    <x v="2"/>
    <m/>
    <x v="3"/>
    <d v="2024-02-27T00:00:00"/>
    <m/>
    <x v="4"/>
  </r>
  <r>
    <n v="2279"/>
    <n v="16671"/>
    <x v="3"/>
    <n v="98541.53"/>
    <x v="0"/>
    <n v="43"/>
    <x v="2"/>
    <d v="2024-10-07T00:00:00"/>
    <d v="2024-11-19T00:00:00"/>
    <x v="6"/>
  </r>
  <r>
    <n v="2280"/>
    <n v="14635"/>
    <x v="3"/>
    <n v="172487.9"/>
    <x v="0"/>
    <n v="33"/>
    <x v="0"/>
    <d v="2024-02-14T00:00:00"/>
    <d v="2024-03-18T00:00:00"/>
    <x v="4"/>
  </r>
  <r>
    <n v="2281"/>
    <n v="15961"/>
    <x v="3"/>
    <n v="179687.76"/>
    <x v="0"/>
    <n v="15"/>
    <x v="3"/>
    <d v="2024-04-11T00:00:00"/>
    <d v="2024-04-26T00:00:00"/>
    <x v="10"/>
  </r>
  <r>
    <n v="2282"/>
    <n v="16738"/>
    <x v="3"/>
    <n v="191464.11"/>
    <x v="0"/>
    <n v="19"/>
    <x v="0"/>
    <d v="2024-02-17T00:00:00"/>
    <d v="2024-03-07T00:00:00"/>
    <x v="4"/>
  </r>
  <r>
    <n v="2283"/>
    <n v="15155"/>
    <x v="1"/>
    <n v="176514.83"/>
    <x v="0"/>
    <n v="39"/>
    <x v="1"/>
    <d v="2024-02-19T00:00:00"/>
    <d v="2024-03-29T00:00:00"/>
    <x v="4"/>
  </r>
  <r>
    <n v="2284"/>
    <n v="10313"/>
    <x v="3"/>
    <n v="118108.49"/>
    <x v="2"/>
    <m/>
    <x v="1"/>
    <d v="2024-03-21T00:00:00"/>
    <m/>
    <x v="5"/>
  </r>
  <r>
    <n v="2285"/>
    <n v="16633"/>
    <x v="3"/>
    <n v="91698.09"/>
    <x v="0"/>
    <n v="35"/>
    <x v="3"/>
    <d v="2024-10-26T00:00:00"/>
    <d v="2024-11-30T00:00:00"/>
    <x v="6"/>
  </r>
  <r>
    <n v="2286"/>
    <n v="10232"/>
    <x v="3"/>
    <n v="156095.72"/>
    <x v="1"/>
    <n v="24"/>
    <x v="1"/>
    <d v="2024-02-28T00:00:00"/>
    <d v="2024-03-23T00:00:00"/>
    <x v="4"/>
  </r>
  <r>
    <n v="2287"/>
    <n v="15735"/>
    <x v="0"/>
    <n v="149265.22"/>
    <x v="0"/>
    <n v="33"/>
    <x v="0"/>
    <d v="2024-06-09T00:00:00"/>
    <d v="2024-07-12T00:00:00"/>
    <x v="7"/>
  </r>
  <r>
    <n v="2288"/>
    <n v="19221"/>
    <x v="2"/>
    <n v="109937.97"/>
    <x v="0"/>
    <n v="4"/>
    <x v="2"/>
    <d v="2024-04-12T00:00:00"/>
    <d v="2024-04-16T00:00:00"/>
    <x v="10"/>
  </r>
  <r>
    <n v="2289"/>
    <n v="17849"/>
    <x v="3"/>
    <n v="22028.84"/>
    <x v="0"/>
    <n v="44"/>
    <x v="2"/>
    <d v="2024-11-29T00:00:00"/>
    <d v="2025-01-12T00:00:00"/>
    <x v="1"/>
  </r>
  <r>
    <n v="2290"/>
    <n v="12711"/>
    <x v="3"/>
    <n v="185585.86"/>
    <x v="0"/>
    <n v="23"/>
    <x v="2"/>
    <d v="2024-09-30T00:00:00"/>
    <d v="2024-10-23T00:00:00"/>
    <x v="9"/>
  </r>
  <r>
    <n v="2291"/>
    <n v="17940"/>
    <x v="3"/>
    <n v="93842.49"/>
    <x v="0"/>
    <n v="24"/>
    <x v="3"/>
    <d v="2024-07-01T00:00:00"/>
    <d v="2024-07-25T00:00:00"/>
    <x v="2"/>
  </r>
  <r>
    <n v="2292"/>
    <n v="13344"/>
    <x v="2"/>
    <n v="75850.09"/>
    <x v="0"/>
    <n v="5"/>
    <x v="1"/>
    <d v="2024-04-25T00:00:00"/>
    <d v="2024-04-30T00:00:00"/>
    <x v="10"/>
  </r>
  <r>
    <n v="2293"/>
    <n v="12122"/>
    <x v="3"/>
    <n v="127765.64"/>
    <x v="0"/>
    <n v="14"/>
    <x v="0"/>
    <d v="2024-12-27T00:00:00"/>
    <d v="2025-01-10T00:00:00"/>
    <x v="11"/>
  </r>
  <r>
    <n v="2294"/>
    <n v="13779"/>
    <x v="3"/>
    <n v="136398.39999999999"/>
    <x v="0"/>
    <n v="33"/>
    <x v="1"/>
    <d v="2024-09-23T00:00:00"/>
    <d v="2024-10-26T00:00:00"/>
    <x v="9"/>
  </r>
  <r>
    <n v="2295"/>
    <n v="15654"/>
    <x v="3"/>
    <n v="46084.14"/>
    <x v="0"/>
    <n v="30"/>
    <x v="1"/>
    <d v="2024-06-12T00:00:00"/>
    <d v="2024-07-12T00:00:00"/>
    <x v="7"/>
  </r>
  <r>
    <n v="2296"/>
    <n v="19072"/>
    <x v="3"/>
    <n v="168203.07"/>
    <x v="0"/>
    <n v="41"/>
    <x v="1"/>
    <d v="2024-05-22T00:00:00"/>
    <d v="2024-07-02T00:00:00"/>
    <x v="3"/>
  </r>
  <r>
    <n v="2297"/>
    <n v="11172"/>
    <x v="3"/>
    <n v="61537.73"/>
    <x v="2"/>
    <m/>
    <x v="2"/>
    <d v="2024-11-13T00:00:00"/>
    <m/>
    <x v="1"/>
  </r>
  <r>
    <n v="2298"/>
    <n v="17317"/>
    <x v="1"/>
    <n v="41403.370000000003"/>
    <x v="0"/>
    <n v="11"/>
    <x v="0"/>
    <d v="2024-10-30T00:00:00"/>
    <d v="2024-11-10T00:00:00"/>
    <x v="6"/>
  </r>
  <r>
    <n v="2299"/>
    <n v="17744"/>
    <x v="3"/>
    <n v="84247.97"/>
    <x v="0"/>
    <n v="14"/>
    <x v="0"/>
    <d v="2024-04-03T00:00:00"/>
    <d v="2024-04-17T00:00:00"/>
    <x v="10"/>
  </r>
  <r>
    <n v="2300"/>
    <n v="10159"/>
    <x v="1"/>
    <n v="147459.22"/>
    <x v="2"/>
    <m/>
    <x v="1"/>
    <d v="2024-09-06T00:00:00"/>
    <m/>
    <x v="9"/>
  </r>
  <r>
    <n v="2301"/>
    <n v="17963"/>
    <x v="3"/>
    <n v="193264.34"/>
    <x v="1"/>
    <n v="39"/>
    <x v="2"/>
    <d v="2024-12-08T00:00:00"/>
    <d v="2025-01-16T00:00:00"/>
    <x v="11"/>
  </r>
  <r>
    <n v="2302"/>
    <n v="12129"/>
    <x v="3"/>
    <n v="162809.85"/>
    <x v="0"/>
    <n v="3"/>
    <x v="2"/>
    <d v="2024-11-01T00:00:00"/>
    <d v="2024-11-04T00:00:00"/>
    <x v="1"/>
  </r>
  <r>
    <n v="2303"/>
    <n v="13078"/>
    <x v="2"/>
    <n v="188367.93"/>
    <x v="0"/>
    <n v="18"/>
    <x v="0"/>
    <d v="2024-11-11T00:00:00"/>
    <d v="2024-11-29T00:00:00"/>
    <x v="1"/>
  </r>
  <r>
    <n v="2304"/>
    <n v="12229"/>
    <x v="3"/>
    <n v="32418.13"/>
    <x v="0"/>
    <n v="27"/>
    <x v="2"/>
    <d v="2024-08-27T00:00:00"/>
    <d v="2024-09-23T00:00:00"/>
    <x v="8"/>
  </r>
  <r>
    <n v="2305"/>
    <n v="12917"/>
    <x v="0"/>
    <n v="18879.48"/>
    <x v="0"/>
    <n v="39"/>
    <x v="2"/>
    <d v="2024-02-28T00:00:00"/>
    <d v="2024-04-07T00:00:00"/>
    <x v="4"/>
  </r>
  <r>
    <n v="2306"/>
    <n v="13013"/>
    <x v="1"/>
    <n v="113752.43"/>
    <x v="1"/>
    <n v="38"/>
    <x v="2"/>
    <d v="2024-01-15T00:00:00"/>
    <d v="2024-02-22T00:00:00"/>
    <x v="0"/>
  </r>
  <r>
    <n v="2307"/>
    <n v="19741"/>
    <x v="3"/>
    <n v="61608.01"/>
    <x v="1"/>
    <n v="6"/>
    <x v="3"/>
    <d v="2024-10-11T00:00:00"/>
    <d v="2024-10-17T00:00:00"/>
    <x v="6"/>
  </r>
  <r>
    <n v="2308"/>
    <n v="16326"/>
    <x v="2"/>
    <n v="166470.72"/>
    <x v="0"/>
    <n v="26"/>
    <x v="1"/>
    <d v="2024-07-21T00:00:00"/>
    <d v="2024-08-16T00:00:00"/>
    <x v="2"/>
  </r>
  <r>
    <n v="2309"/>
    <n v="11579"/>
    <x v="3"/>
    <n v="136037.63"/>
    <x v="2"/>
    <m/>
    <x v="0"/>
    <d v="2024-08-24T00:00:00"/>
    <m/>
    <x v="8"/>
  </r>
  <r>
    <n v="2310"/>
    <n v="11960"/>
    <x v="0"/>
    <n v="194291.99"/>
    <x v="0"/>
    <n v="29"/>
    <x v="0"/>
    <d v="2024-10-22T00:00:00"/>
    <d v="2024-11-20T00:00:00"/>
    <x v="6"/>
  </r>
  <r>
    <n v="2311"/>
    <n v="17902"/>
    <x v="3"/>
    <n v="54684.51"/>
    <x v="0"/>
    <n v="23"/>
    <x v="3"/>
    <d v="2024-10-13T00:00:00"/>
    <d v="2024-11-05T00:00:00"/>
    <x v="6"/>
  </r>
  <r>
    <n v="2312"/>
    <n v="16657"/>
    <x v="0"/>
    <n v="99727.9"/>
    <x v="1"/>
    <n v="30"/>
    <x v="1"/>
    <d v="2024-03-13T00:00:00"/>
    <d v="2024-04-12T00:00:00"/>
    <x v="5"/>
  </r>
  <r>
    <n v="2313"/>
    <n v="13844"/>
    <x v="3"/>
    <n v="102741.89"/>
    <x v="0"/>
    <n v="36"/>
    <x v="0"/>
    <d v="2024-08-01T00:00:00"/>
    <d v="2024-09-06T00:00:00"/>
    <x v="8"/>
  </r>
  <r>
    <n v="2314"/>
    <n v="14697"/>
    <x v="1"/>
    <n v="51639.47"/>
    <x v="1"/>
    <n v="21"/>
    <x v="2"/>
    <d v="2024-01-11T00:00:00"/>
    <d v="2024-02-01T00:00:00"/>
    <x v="0"/>
  </r>
  <r>
    <n v="2315"/>
    <n v="12390"/>
    <x v="1"/>
    <n v="120068.21"/>
    <x v="2"/>
    <m/>
    <x v="0"/>
    <d v="2024-12-02T00:00:00"/>
    <m/>
    <x v="11"/>
  </r>
  <r>
    <n v="2316"/>
    <n v="11419"/>
    <x v="2"/>
    <n v="91440.77"/>
    <x v="0"/>
    <n v="40"/>
    <x v="2"/>
    <d v="2024-08-12T00:00:00"/>
    <d v="2024-09-21T00:00:00"/>
    <x v="8"/>
  </r>
  <r>
    <n v="2317"/>
    <n v="13917"/>
    <x v="2"/>
    <n v="92110.7"/>
    <x v="0"/>
    <n v="33"/>
    <x v="3"/>
    <d v="2024-11-13T00:00:00"/>
    <d v="2024-12-16T00:00:00"/>
    <x v="1"/>
  </r>
  <r>
    <n v="2318"/>
    <n v="14942"/>
    <x v="0"/>
    <n v="75733.649999999994"/>
    <x v="0"/>
    <n v="40"/>
    <x v="2"/>
    <d v="2024-07-21T00:00:00"/>
    <d v="2024-08-30T00:00:00"/>
    <x v="2"/>
  </r>
  <r>
    <n v="2319"/>
    <n v="18354"/>
    <x v="0"/>
    <n v="8301.2199999999993"/>
    <x v="0"/>
    <n v="11"/>
    <x v="0"/>
    <d v="2024-08-18T00:00:00"/>
    <d v="2024-08-29T00:00:00"/>
    <x v="8"/>
  </r>
  <r>
    <n v="2320"/>
    <n v="18307"/>
    <x v="3"/>
    <n v="106808.57"/>
    <x v="0"/>
    <n v="41"/>
    <x v="0"/>
    <d v="2024-02-20T00:00:00"/>
    <d v="2024-04-01T00:00:00"/>
    <x v="4"/>
  </r>
  <r>
    <n v="2321"/>
    <n v="17570"/>
    <x v="3"/>
    <n v="70373.33"/>
    <x v="0"/>
    <n v="18"/>
    <x v="0"/>
    <d v="2024-02-26T00:00:00"/>
    <d v="2024-03-15T00:00:00"/>
    <x v="4"/>
  </r>
  <r>
    <n v="2322"/>
    <n v="15198"/>
    <x v="3"/>
    <n v="5257.37"/>
    <x v="1"/>
    <n v="38"/>
    <x v="3"/>
    <d v="2024-05-11T00:00:00"/>
    <d v="2024-06-18T00:00:00"/>
    <x v="3"/>
  </r>
  <r>
    <n v="2323"/>
    <n v="19662"/>
    <x v="3"/>
    <n v="65049.02"/>
    <x v="0"/>
    <n v="16"/>
    <x v="3"/>
    <d v="2024-10-06T00:00:00"/>
    <d v="2024-10-22T00:00:00"/>
    <x v="6"/>
  </r>
  <r>
    <n v="2324"/>
    <n v="16002"/>
    <x v="3"/>
    <n v="59332.52"/>
    <x v="0"/>
    <n v="10"/>
    <x v="1"/>
    <d v="2024-10-23T00:00:00"/>
    <d v="2024-11-02T00:00:00"/>
    <x v="6"/>
  </r>
  <r>
    <n v="2325"/>
    <n v="15142"/>
    <x v="1"/>
    <n v="81722.39"/>
    <x v="0"/>
    <n v="33"/>
    <x v="0"/>
    <d v="2024-10-31T00:00:00"/>
    <d v="2024-12-03T00:00:00"/>
    <x v="6"/>
  </r>
  <r>
    <n v="2326"/>
    <n v="13852"/>
    <x v="3"/>
    <n v="30711.14"/>
    <x v="1"/>
    <n v="24"/>
    <x v="2"/>
    <d v="2024-08-12T00:00:00"/>
    <d v="2024-09-05T00:00:00"/>
    <x v="8"/>
  </r>
  <r>
    <n v="2327"/>
    <n v="10542"/>
    <x v="1"/>
    <n v="103998.35"/>
    <x v="0"/>
    <n v="12"/>
    <x v="3"/>
    <d v="2024-06-22T00:00:00"/>
    <d v="2024-07-04T00:00:00"/>
    <x v="7"/>
  </r>
  <r>
    <n v="2328"/>
    <n v="18605"/>
    <x v="3"/>
    <n v="140025.87"/>
    <x v="0"/>
    <n v="14"/>
    <x v="0"/>
    <d v="2024-10-18T00:00:00"/>
    <d v="2024-11-01T00:00:00"/>
    <x v="6"/>
  </r>
  <r>
    <n v="2329"/>
    <n v="18873"/>
    <x v="3"/>
    <n v="127886.19"/>
    <x v="1"/>
    <n v="19"/>
    <x v="0"/>
    <d v="2024-09-22T00:00:00"/>
    <d v="2024-10-11T00:00:00"/>
    <x v="9"/>
  </r>
  <r>
    <n v="2330"/>
    <n v="18833"/>
    <x v="1"/>
    <n v="161732.21"/>
    <x v="0"/>
    <n v="10"/>
    <x v="3"/>
    <d v="2024-09-03T00:00:00"/>
    <d v="2024-09-13T00:00:00"/>
    <x v="9"/>
  </r>
  <r>
    <n v="2331"/>
    <n v="13978"/>
    <x v="1"/>
    <n v="93141.62"/>
    <x v="0"/>
    <n v="43"/>
    <x v="1"/>
    <d v="2024-03-18T00:00:00"/>
    <d v="2024-04-30T00:00:00"/>
    <x v="5"/>
  </r>
  <r>
    <n v="2332"/>
    <n v="11432"/>
    <x v="1"/>
    <n v="106222.89"/>
    <x v="1"/>
    <n v="6"/>
    <x v="3"/>
    <d v="2024-05-14T00:00:00"/>
    <d v="2024-05-20T00:00:00"/>
    <x v="3"/>
  </r>
  <r>
    <n v="2333"/>
    <n v="18860"/>
    <x v="1"/>
    <n v="163028.38"/>
    <x v="0"/>
    <n v="44"/>
    <x v="3"/>
    <d v="2024-05-19T00:00:00"/>
    <d v="2024-07-02T00:00:00"/>
    <x v="3"/>
  </r>
  <r>
    <n v="2334"/>
    <n v="17805"/>
    <x v="3"/>
    <n v="88401.73"/>
    <x v="2"/>
    <m/>
    <x v="2"/>
    <d v="2024-12-07T00:00:00"/>
    <m/>
    <x v="11"/>
  </r>
  <r>
    <n v="2335"/>
    <n v="10968"/>
    <x v="1"/>
    <n v="141811.87"/>
    <x v="0"/>
    <n v="33"/>
    <x v="2"/>
    <d v="2024-09-09T00:00:00"/>
    <d v="2024-10-12T00:00:00"/>
    <x v="9"/>
  </r>
  <r>
    <n v="2336"/>
    <n v="15800"/>
    <x v="3"/>
    <n v="89747.46"/>
    <x v="0"/>
    <n v="3"/>
    <x v="1"/>
    <d v="2024-06-24T00:00:00"/>
    <d v="2024-06-27T00:00:00"/>
    <x v="7"/>
  </r>
  <r>
    <n v="2337"/>
    <n v="17845"/>
    <x v="3"/>
    <n v="86458.559999999998"/>
    <x v="1"/>
    <n v="22"/>
    <x v="0"/>
    <d v="2024-02-29T00:00:00"/>
    <d v="2024-03-22T00:00:00"/>
    <x v="4"/>
  </r>
  <r>
    <n v="2338"/>
    <n v="19372"/>
    <x v="3"/>
    <n v="153240.1"/>
    <x v="0"/>
    <n v="29"/>
    <x v="3"/>
    <d v="2024-12-17T00:00:00"/>
    <d v="2025-01-15T00:00:00"/>
    <x v="11"/>
  </r>
  <r>
    <n v="2339"/>
    <n v="15591"/>
    <x v="3"/>
    <n v="39093.199999999997"/>
    <x v="1"/>
    <n v="25"/>
    <x v="1"/>
    <d v="2024-09-10T00:00:00"/>
    <d v="2024-10-05T00:00:00"/>
    <x v="9"/>
  </r>
  <r>
    <n v="2340"/>
    <n v="15383"/>
    <x v="3"/>
    <n v="71024.259999999995"/>
    <x v="1"/>
    <n v="25"/>
    <x v="2"/>
    <d v="2024-01-08T00:00:00"/>
    <d v="2024-02-02T00:00:00"/>
    <x v="0"/>
  </r>
  <r>
    <n v="2341"/>
    <n v="17470"/>
    <x v="2"/>
    <n v="48713.59"/>
    <x v="1"/>
    <n v="15"/>
    <x v="3"/>
    <d v="2024-04-16T00:00:00"/>
    <d v="2024-05-01T00:00:00"/>
    <x v="10"/>
  </r>
  <r>
    <n v="2342"/>
    <n v="14819"/>
    <x v="2"/>
    <n v="75026.44"/>
    <x v="2"/>
    <m/>
    <x v="0"/>
    <d v="2024-06-19T00:00:00"/>
    <m/>
    <x v="7"/>
  </r>
  <r>
    <n v="2343"/>
    <n v="17632"/>
    <x v="3"/>
    <n v="49923.09"/>
    <x v="0"/>
    <n v="28"/>
    <x v="2"/>
    <d v="2024-02-27T00:00:00"/>
    <d v="2024-03-26T00:00:00"/>
    <x v="4"/>
  </r>
  <r>
    <n v="2344"/>
    <n v="13235"/>
    <x v="3"/>
    <n v="117984.1"/>
    <x v="1"/>
    <n v="25"/>
    <x v="2"/>
    <d v="2024-12-02T00:00:00"/>
    <d v="2024-12-27T00:00:00"/>
    <x v="11"/>
  </r>
  <r>
    <n v="2345"/>
    <n v="15255"/>
    <x v="3"/>
    <n v="160643.31"/>
    <x v="0"/>
    <n v="7"/>
    <x v="2"/>
    <d v="2024-12-07T00:00:00"/>
    <d v="2024-12-14T00:00:00"/>
    <x v="11"/>
  </r>
  <r>
    <n v="2346"/>
    <n v="10251"/>
    <x v="3"/>
    <n v="158389.54999999999"/>
    <x v="0"/>
    <n v="27"/>
    <x v="1"/>
    <d v="2024-10-16T00:00:00"/>
    <d v="2024-11-12T00:00:00"/>
    <x v="6"/>
  </r>
  <r>
    <n v="2347"/>
    <n v="14300"/>
    <x v="2"/>
    <n v="76077.69"/>
    <x v="1"/>
    <n v="16"/>
    <x v="0"/>
    <d v="2024-03-24T00:00:00"/>
    <d v="2024-04-09T00:00:00"/>
    <x v="5"/>
  </r>
  <r>
    <n v="2348"/>
    <n v="17409"/>
    <x v="3"/>
    <n v="197808.28"/>
    <x v="0"/>
    <n v="30"/>
    <x v="3"/>
    <d v="2024-04-26T00:00:00"/>
    <d v="2024-05-26T00:00:00"/>
    <x v="10"/>
  </r>
  <r>
    <n v="2349"/>
    <n v="13998"/>
    <x v="1"/>
    <n v="120801.60000000001"/>
    <x v="0"/>
    <n v="37"/>
    <x v="1"/>
    <d v="2024-07-18T00:00:00"/>
    <d v="2024-08-24T00:00:00"/>
    <x v="2"/>
  </r>
  <r>
    <n v="2350"/>
    <n v="18982"/>
    <x v="3"/>
    <n v="82883.06"/>
    <x v="0"/>
    <n v="11"/>
    <x v="1"/>
    <d v="2024-01-22T00:00:00"/>
    <d v="2024-02-02T00:00:00"/>
    <x v="0"/>
  </r>
  <r>
    <n v="2351"/>
    <n v="15180"/>
    <x v="2"/>
    <n v="167930.16"/>
    <x v="0"/>
    <n v="29"/>
    <x v="1"/>
    <d v="2024-08-06T00:00:00"/>
    <d v="2024-09-04T00:00:00"/>
    <x v="8"/>
  </r>
  <r>
    <n v="2352"/>
    <n v="15421"/>
    <x v="3"/>
    <n v="147325.43"/>
    <x v="2"/>
    <m/>
    <x v="2"/>
    <d v="2024-08-13T00:00:00"/>
    <m/>
    <x v="8"/>
  </r>
  <r>
    <n v="2353"/>
    <n v="11495"/>
    <x v="1"/>
    <n v="151108.69"/>
    <x v="0"/>
    <n v="22"/>
    <x v="0"/>
    <d v="2024-09-27T00:00:00"/>
    <d v="2024-10-19T00:00:00"/>
    <x v="9"/>
  </r>
  <r>
    <n v="2354"/>
    <n v="17978"/>
    <x v="3"/>
    <n v="43247.17"/>
    <x v="0"/>
    <n v="11"/>
    <x v="1"/>
    <d v="2024-04-11T00:00:00"/>
    <d v="2024-04-22T00:00:00"/>
    <x v="10"/>
  </r>
  <r>
    <n v="2355"/>
    <n v="18141"/>
    <x v="1"/>
    <n v="96323.24"/>
    <x v="1"/>
    <n v="5"/>
    <x v="3"/>
    <d v="2024-05-24T00:00:00"/>
    <d v="2024-05-29T00:00:00"/>
    <x v="3"/>
  </r>
  <r>
    <n v="2356"/>
    <n v="15378"/>
    <x v="3"/>
    <n v="173056.49"/>
    <x v="0"/>
    <n v="5"/>
    <x v="0"/>
    <d v="2024-05-26T00:00:00"/>
    <d v="2024-05-31T00:00:00"/>
    <x v="3"/>
  </r>
  <r>
    <n v="2357"/>
    <n v="12577"/>
    <x v="3"/>
    <n v="103287.41"/>
    <x v="0"/>
    <n v="7"/>
    <x v="3"/>
    <d v="2024-09-17T00:00:00"/>
    <d v="2024-09-24T00:00:00"/>
    <x v="9"/>
  </r>
  <r>
    <n v="2358"/>
    <n v="15306"/>
    <x v="2"/>
    <n v="138273.28"/>
    <x v="0"/>
    <n v="27"/>
    <x v="0"/>
    <d v="2024-10-05T00:00:00"/>
    <d v="2024-11-01T00:00:00"/>
    <x v="6"/>
  </r>
  <r>
    <n v="2359"/>
    <n v="18133"/>
    <x v="2"/>
    <n v="119647.08"/>
    <x v="0"/>
    <n v="41"/>
    <x v="3"/>
    <d v="2024-12-04T00:00:00"/>
    <d v="2025-01-14T00:00:00"/>
    <x v="11"/>
  </r>
  <r>
    <n v="2360"/>
    <n v="11235"/>
    <x v="0"/>
    <n v="169259.57"/>
    <x v="0"/>
    <n v="17"/>
    <x v="2"/>
    <d v="2024-01-14T00:00:00"/>
    <d v="2024-01-31T00:00:00"/>
    <x v="0"/>
  </r>
  <r>
    <n v="2361"/>
    <n v="11058"/>
    <x v="1"/>
    <n v="60489.36"/>
    <x v="1"/>
    <n v="9"/>
    <x v="1"/>
    <d v="2024-09-22T00:00:00"/>
    <d v="2024-10-01T00:00:00"/>
    <x v="9"/>
  </r>
  <r>
    <n v="2362"/>
    <n v="19362"/>
    <x v="0"/>
    <n v="117217.68"/>
    <x v="0"/>
    <n v="29"/>
    <x v="3"/>
    <d v="2024-10-13T00:00:00"/>
    <d v="2024-11-11T00:00:00"/>
    <x v="6"/>
  </r>
  <r>
    <n v="2363"/>
    <n v="13659"/>
    <x v="3"/>
    <n v="29030.76"/>
    <x v="2"/>
    <m/>
    <x v="0"/>
    <d v="2024-05-20T00:00:00"/>
    <m/>
    <x v="3"/>
  </r>
  <r>
    <n v="2364"/>
    <n v="15368"/>
    <x v="3"/>
    <n v="139591.1"/>
    <x v="1"/>
    <n v="39"/>
    <x v="1"/>
    <d v="2024-10-19T00:00:00"/>
    <d v="2024-11-27T00:00:00"/>
    <x v="6"/>
  </r>
  <r>
    <n v="2365"/>
    <n v="10056"/>
    <x v="3"/>
    <n v="147733.73000000001"/>
    <x v="0"/>
    <n v="2"/>
    <x v="1"/>
    <d v="2024-01-31T00:00:00"/>
    <d v="2024-02-02T00:00:00"/>
    <x v="0"/>
  </r>
  <r>
    <n v="2366"/>
    <n v="17472"/>
    <x v="1"/>
    <n v="13353.28"/>
    <x v="0"/>
    <n v="20"/>
    <x v="0"/>
    <d v="2024-06-19T00:00:00"/>
    <d v="2024-07-09T00:00:00"/>
    <x v="7"/>
  </r>
  <r>
    <n v="2367"/>
    <n v="12569"/>
    <x v="3"/>
    <n v="136779.24"/>
    <x v="0"/>
    <n v="18"/>
    <x v="3"/>
    <d v="2024-12-20T00:00:00"/>
    <d v="2025-01-07T00:00:00"/>
    <x v="11"/>
  </r>
  <r>
    <n v="2368"/>
    <n v="14080"/>
    <x v="3"/>
    <n v="85864.58"/>
    <x v="0"/>
    <n v="29"/>
    <x v="2"/>
    <d v="2024-07-23T00:00:00"/>
    <d v="2024-08-21T00:00:00"/>
    <x v="2"/>
  </r>
  <r>
    <n v="2369"/>
    <n v="16377"/>
    <x v="1"/>
    <n v="29198.89"/>
    <x v="2"/>
    <m/>
    <x v="2"/>
    <d v="2024-10-17T00:00:00"/>
    <m/>
    <x v="6"/>
  </r>
  <r>
    <n v="2370"/>
    <n v="11948"/>
    <x v="0"/>
    <n v="86881.97"/>
    <x v="0"/>
    <n v="7"/>
    <x v="3"/>
    <d v="2024-04-20T00:00:00"/>
    <d v="2024-04-27T00:00:00"/>
    <x v="10"/>
  </r>
  <r>
    <n v="2371"/>
    <n v="10222"/>
    <x v="3"/>
    <n v="42875.42"/>
    <x v="0"/>
    <n v="8"/>
    <x v="1"/>
    <d v="2024-03-08T00:00:00"/>
    <d v="2024-03-16T00:00:00"/>
    <x v="5"/>
  </r>
  <r>
    <n v="2372"/>
    <n v="19831"/>
    <x v="3"/>
    <n v="86034.11"/>
    <x v="0"/>
    <n v="9"/>
    <x v="1"/>
    <d v="2024-07-01T00:00:00"/>
    <d v="2024-07-10T00:00:00"/>
    <x v="2"/>
  </r>
  <r>
    <n v="2373"/>
    <n v="15217"/>
    <x v="3"/>
    <n v="79946.11"/>
    <x v="0"/>
    <n v="4"/>
    <x v="1"/>
    <d v="2024-07-14T00:00:00"/>
    <d v="2024-07-18T00:00:00"/>
    <x v="2"/>
  </r>
  <r>
    <n v="2374"/>
    <n v="19949"/>
    <x v="3"/>
    <n v="148986.37"/>
    <x v="0"/>
    <n v="22"/>
    <x v="1"/>
    <d v="2024-05-05T00:00:00"/>
    <d v="2024-05-27T00:00:00"/>
    <x v="3"/>
  </r>
  <r>
    <n v="2375"/>
    <n v="19027"/>
    <x v="3"/>
    <n v="155972.03"/>
    <x v="0"/>
    <n v="9"/>
    <x v="3"/>
    <d v="2024-06-23T00:00:00"/>
    <d v="2024-07-02T00:00:00"/>
    <x v="7"/>
  </r>
  <r>
    <n v="2376"/>
    <n v="12536"/>
    <x v="1"/>
    <n v="123370.59"/>
    <x v="0"/>
    <n v="29"/>
    <x v="1"/>
    <d v="2024-09-18T00:00:00"/>
    <d v="2024-10-17T00:00:00"/>
    <x v="9"/>
  </r>
  <r>
    <n v="2377"/>
    <n v="12525"/>
    <x v="1"/>
    <n v="9423.93"/>
    <x v="0"/>
    <n v="31"/>
    <x v="0"/>
    <d v="2024-10-12T00:00:00"/>
    <d v="2024-11-12T00:00:00"/>
    <x v="6"/>
  </r>
  <r>
    <n v="2378"/>
    <n v="19176"/>
    <x v="1"/>
    <n v="186549.34"/>
    <x v="0"/>
    <n v="33"/>
    <x v="1"/>
    <d v="2024-06-03T00:00:00"/>
    <d v="2024-07-06T00:00:00"/>
    <x v="7"/>
  </r>
  <r>
    <n v="2379"/>
    <n v="11357"/>
    <x v="3"/>
    <n v="138815.49"/>
    <x v="1"/>
    <n v="12"/>
    <x v="2"/>
    <d v="2024-03-09T00:00:00"/>
    <d v="2024-03-21T00:00:00"/>
    <x v="5"/>
  </r>
  <r>
    <n v="2380"/>
    <n v="14887"/>
    <x v="0"/>
    <n v="11668.11"/>
    <x v="0"/>
    <n v="21"/>
    <x v="1"/>
    <d v="2024-04-17T00:00:00"/>
    <d v="2024-05-08T00:00:00"/>
    <x v="10"/>
  </r>
  <r>
    <n v="2381"/>
    <n v="17722"/>
    <x v="3"/>
    <n v="164672.42000000001"/>
    <x v="0"/>
    <n v="17"/>
    <x v="3"/>
    <d v="2024-02-04T00:00:00"/>
    <d v="2024-02-21T00:00:00"/>
    <x v="4"/>
  </r>
  <r>
    <n v="2382"/>
    <n v="15982"/>
    <x v="3"/>
    <n v="44051.9"/>
    <x v="0"/>
    <n v="26"/>
    <x v="2"/>
    <d v="2024-12-24T00:00:00"/>
    <d v="2025-01-19T00:00:00"/>
    <x v="11"/>
  </r>
  <r>
    <n v="2383"/>
    <n v="14477"/>
    <x v="0"/>
    <n v="117948.13"/>
    <x v="0"/>
    <n v="10"/>
    <x v="3"/>
    <d v="2024-02-13T00:00:00"/>
    <d v="2024-02-23T00:00:00"/>
    <x v="4"/>
  </r>
  <r>
    <n v="2384"/>
    <n v="19638"/>
    <x v="3"/>
    <n v="95993.7"/>
    <x v="2"/>
    <m/>
    <x v="3"/>
    <d v="2024-05-22T00:00:00"/>
    <m/>
    <x v="3"/>
  </r>
  <r>
    <n v="2385"/>
    <n v="11371"/>
    <x v="3"/>
    <n v="86868.56"/>
    <x v="0"/>
    <n v="41"/>
    <x v="2"/>
    <d v="2024-07-29T00:00:00"/>
    <d v="2024-09-08T00:00:00"/>
    <x v="2"/>
  </r>
  <r>
    <n v="2386"/>
    <n v="13224"/>
    <x v="0"/>
    <n v="178494.18"/>
    <x v="0"/>
    <n v="41"/>
    <x v="3"/>
    <d v="2024-10-11T00:00:00"/>
    <d v="2024-11-21T00:00:00"/>
    <x v="6"/>
  </r>
  <r>
    <n v="2387"/>
    <n v="11874"/>
    <x v="3"/>
    <n v="90285.45"/>
    <x v="1"/>
    <n v="4"/>
    <x v="3"/>
    <d v="2024-01-06T00:00:00"/>
    <d v="2024-01-10T00:00:00"/>
    <x v="0"/>
  </r>
  <r>
    <n v="2388"/>
    <n v="13361"/>
    <x v="1"/>
    <n v="19692.099999999999"/>
    <x v="1"/>
    <n v="17"/>
    <x v="1"/>
    <d v="2024-08-05T00:00:00"/>
    <d v="2024-08-22T00:00:00"/>
    <x v="8"/>
  </r>
  <r>
    <n v="2389"/>
    <n v="16104"/>
    <x v="3"/>
    <n v="189594.55"/>
    <x v="0"/>
    <n v="13"/>
    <x v="0"/>
    <d v="2024-01-27T00:00:00"/>
    <d v="2024-02-09T00:00:00"/>
    <x v="0"/>
  </r>
  <r>
    <n v="2390"/>
    <n v="11142"/>
    <x v="1"/>
    <n v="184504.37"/>
    <x v="0"/>
    <n v="16"/>
    <x v="3"/>
    <d v="2024-08-14T00:00:00"/>
    <d v="2024-08-30T00:00:00"/>
    <x v="8"/>
  </r>
  <r>
    <n v="2391"/>
    <n v="14309"/>
    <x v="3"/>
    <n v="138464.37"/>
    <x v="1"/>
    <n v="5"/>
    <x v="3"/>
    <d v="2024-10-10T00:00:00"/>
    <d v="2024-10-15T00:00:00"/>
    <x v="6"/>
  </r>
  <r>
    <n v="2392"/>
    <n v="18756"/>
    <x v="3"/>
    <n v="96239.039999999994"/>
    <x v="0"/>
    <n v="24"/>
    <x v="3"/>
    <d v="2024-02-25T00:00:00"/>
    <d v="2024-03-20T00:00:00"/>
    <x v="4"/>
  </r>
  <r>
    <n v="2393"/>
    <n v="16898"/>
    <x v="1"/>
    <n v="23107.599999999999"/>
    <x v="1"/>
    <n v="28"/>
    <x v="1"/>
    <d v="2024-11-05T00:00:00"/>
    <d v="2024-12-03T00:00:00"/>
    <x v="1"/>
  </r>
  <r>
    <n v="2394"/>
    <n v="11588"/>
    <x v="3"/>
    <n v="159195.88"/>
    <x v="1"/>
    <n v="40"/>
    <x v="0"/>
    <d v="2024-12-01T00:00:00"/>
    <d v="2025-01-10T00:00:00"/>
    <x v="11"/>
  </r>
  <r>
    <n v="2395"/>
    <n v="14998"/>
    <x v="3"/>
    <n v="19718.189999999999"/>
    <x v="1"/>
    <n v="44"/>
    <x v="2"/>
    <d v="2024-04-14T00:00:00"/>
    <d v="2024-05-28T00:00:00"/>
    <x v="10"/>
  </r>
  <r>
    <n v="2396"/>
    <n v="19662"/>
    <x v="3"/>
    <n v="18377.189999999999"/>
    <x v="0"/>
    <n v="38"/>
    <x v="1"/>
    <d v="2024-01-18T00:00:00"/>
    <d v="2024-02-25T00:00:00"/>
    <x v="0"/>
  </r>
  <r>
    <n v="2397"/>
    <n v="14342"/>
    <x v="3"/>
    <n v="109789.85"/>
    <x v="1"/>
    <n v="14"/>
    <x v="1"/>
    <d v="2024-07-23T00:00:00"/>
    <d v="2024-08-06T00:00:00"/>
    <x v="2"/>
  </r>
  <r>
    <n v="2398"/>
    <n v="13362"/>
    <x v="3"/>
    <n v="36225.01"/>
    <x v="0"/>
    <n v="44"/>
    <x v="0"/>
    <d v="2024-02-12T00:00:00"/>
    <d v="2024-03-27T00:00:00"/>
    <x v="4"/>
  </r>
  <r>
    <n v="2399"/>
    <n v="11636"/>
    <x v="3"/>
    <n v="6507.4"/>
    <x v="1"/>
    <n v="38"/>
    <x v="0"/>
    <d v="2024-03-29T00:00:00"/>
    <d v="2024-05-06T00:00:00"/>
    <x v="5"/>
  </r>
  <r>
    <n v="2400"/>
    <n v="19664"/>
    <x v="2"/>
    <n v="87507.12"/>
    <x v="0"/>
    <n v="41"/>
    <x v="1"/>
    <d v="2024-03-14T00:00:00"/>
    <d v="2024-04-24T00:00:00"/>
    <x v="5"/>
  </r>
  <r>
    <n v="2401"/>
    <n v="16227"/>
    <x v="3"/>
    <n v="31757.360000000001"/>
    <x v="0"/>
    <n v="22"/>
    <x v="2"/>
    <d v="2024-06-05T00:00:00"/>
    <d v="2024-06-27T00:00:00"/>
    <x v="7"/>
  </r>
  <r>
    <n v="2402"/>
    <n v="11244"/>
    <x v="3"/>
    <n v="36300.51"/>
    <x v="0"/>
    <n v="30"/>
    <x v="1"/>
    <d v="2024-09-22T00:00:00"/>
    <d v="2024-10-22T00:00:00"/>
    <x v="9"/>
  </r>
  <r>
    <n v="2403"/>
    <n v="16914"/>
    <x v="3"/>
    <n v="19997.57"/>
    <x v="0"/>
    <n v="30"/>
    <x v="0"/>
    <d v="2024-05-13T00:00:00"/>
    <d v="2024-06-12T00:00:00"/>
    <x v="3"/>
  </r>
  <r>
    <n v="2404"/>
    <n v="15306"/>
    <x v="3"/>
    <n v="44993.279999999999"/>
    <x v="0"/>
    <n v="12"/>
    <x v="2"/>
    <d v="2024-03-29T00:00:00"/>
    <d v="2024-04-10T00:00:00"/>
    <x v="5"/>
  </r>
  <r>
    <n v="2405"/>
    <n v="14514"/>
    <x v="2"/>
    <n v="144519.42000000001"/>
    <x v="2"/>
    <m/>
    <x v="0"/>
    <d v="2024-08-23T00:00:00"/>
    <m/>
    <x v="8"/>
  </r>
  <r>
    <n v="2406"/>
    <n v="18450"/>
    <x v="3"/>
    <n v="162740.82"/>
    <x v="0"/>
    <n v="11"/>
    <x v="2"/>
    <d v="2024-05-11T00:00:00"/>
    <d v="2024-05-22T00:00:00"/>
    <x v="3"/>
  </r>
  <r>
    <n v="2407"/>
    <n v="12358"/>
    <x v="2"/>
    <n v="93244.06"/>
    <x v="1"/>
    <n v="6"/>
    <x v="3"/>
    <d v="2024-08-16T00:00:00"/>
    <d v="2024-08-22T00:00:00"/>
    <x v="8"/>
  </r>
  <r>
    <n v="2408"/>
    <n v="15615"/>
    <x v="3"/>
    <n v="103777.99"/>
    <x v="0"/>
    <n v="26"/>
    <x v="0"/>
    <d v="2024-02-03T00:00:00"/>
    <d v="2024-02-29T00:00:00"/>
    <x v="4"/>
  </r>
  <r>
    <n v="2409"/>
    <n v="11268"/>
    <x v="1"/>
    <n v="11367.73"/>
    <x v="0"/>
    <n v="34"/>
    <x v="0"/>
    <d v="2024-03-23T00:00:00"/>
    <d v="2024-04-26T00:00:00"/>
    <x v="5"/>
  </r>
  <r>
    <n v="2410"/>
    <n v="19131"/>
    <x v="1"/>
    <n v="18516.669999999998"/>
    <x v="0"/>
    <n v="18"/>
    <x v="1"/>
    <d v="2024-05-11T00:00:00"/>
    <d v="2024-05-29T00:00:00"/>
    <x v="3"/>
  </r>
  <r>
    <n v="2411"/>
    <n v="12376"/>
    <x v="0"/>
    <n v="55225.71"/>
    <x v="0"/>
    <n v="34"/>
    <x v="0"/>
    <d v="2024-12-19T00:00:00"/>
    <d v="2025-01-22T00:00:00"/>
    <x v="11"/>
  </r>
  <r>
    <n v="2412"/>
    <n v="18387"/>
    <x v="1"/>
    <n v="111060.19"/>
    <x v="2"/>
    <m/>
    <x v="0"/>
    <d v="2024-07-22T00:00:00"/>
    <m/>
    <x v="2"/>
  </r>
  <r>
    <n v="2413"/>
    <n v="13096"/>
    <x v="1"/>
    <n v="149212.47"/>
    <x v="0"/>
    <n v="34"/>
    <x v="3"/>
    <d v="2024-10-13T00:00:00"/>
    <d v="2024-11-16T00:00:00"/>
    <x v="6"/>
  </r>
  <r>
    <n v="2414"/>
    <n v="13635"/>
    <x v="3"/>
    <n v="122975.6"/>
    <x v="0"/>
    <n v="10"/>
    <x v="0"/>
    <d v="2024-12-01T00:00:00"/>
    <d v="2024-12-11T00:00:00"/>
    <x v="11"/>
  </r>
  <r>
    <n v="2415"/>
    <n v="10561"/>
    <x v="3"/>
    <n v="81464.929999999993"/>
    <x v="0"/>
    <n v="28"/>
    <x v="3"/>
    <d v="2024-11-11T00:00:00"/>
    <d v="2024-12-09T00:00:00"/>
    <x v="1"/>
  </r>
  <r>
    <n v="2416"/>
    <n v="18231"/>
    <x v="2"/>
    <n v="28073.19"/>
    <x v="2"/>
    <m/>
    <x v="3"/>
    <d v="2024-09-14T00:00:00"/>
    <m/>
    <x v="9"/>
  </r>
  <r>
    <n v="2417"/>
    <n v="19959"/>
    <x v="3"/>
    <n v="157250.78"/>
    <x v="0"/>
    <n v="5"/>
    <x v="3"/>
    <d v="2024-10-18T00:00:00"/>
    <d v="2024-10-23T00:00:00"/>
    <x v="6"/>
  </r>
  <r>
    <n v="2418"/>
    <n v="17739"/>
    <x v="3"/>
    <n v="75938.28"/>
    <x v="0"/>
    <n v="10"/>
    <x v="3"/>
    <d v="2024-05-04T00:00:00"/>
    <d v="2024-05-14T00:00:00"/>
    <x v="3"/>
  </r>
  <r>
    <n v="2419"/>
    <n v="16871"/>
    <x v="1"/>
    <n v="148530.53"/>
    <x v="0"/>
    <n v="16"/>
    <x v="2"/>
    <d v="2024-05-30T00:00:00"/>
    <d v="2024-06-15T00:00:00"/>
    <x v="3"/>
  </r>
  <r>
    <n v="2420"/>
    <n v="12504"/>
    <x v="3"/>
    <n v="105030.87"/>
    <x v="0"/>
    <n v="17"/>
    <x v="1"/>
    <d v="2024-12-24T00:00:00"/>
    <d v="2025-01-10T00:00:00"/>
    <x v="11"/>
  </r>
  <r>
    <n v="2421"/>
    <n v="17021"/>
    <x v="2"/>
    <n v="149039.1"/>
    <x v="0"/>
    <n v="17"/>
    <x v="2"/>
    <d v="2024-09-03T00:00:00"/>
    <d v="2024-09-20T00:00:00"/>
    <x v="9"/>
  </r>
  <r>
    <n v="2422"/>
    <n v="15971"/>
    <x v="1"/>
    <n v="181921.46"/>
    <x v="1"/>
    <n v="14"/>
    <x v="0"/>
    <d v="2024-06-23T00:00:00"/>
    <d v="2024-07-07T00:00:00"/>
    <x v="7"/>
  </r>
  <r>
    <n v="2423"/>
    <n v="17876"/>
    <x v="1"/>
    <n v="184600.76"/>
    <x v="0"/>
    <n v="15"/>
    <x v="2"/>
    <d v="2024-12-22T00:00:00"/>
    <d v="2025-01-06T00:00:00"/>
    <x v="11"/>
  </r>
  <r>
    <n v="2424"/>
    <n v="18979"/>
    <x v="0"/>
    <n v="109345.82"/>
    <x v="0"/>
    <n v="23"/>
    <x v="2"/>
    <d v="2024-10-28T00:00:00"/>
    <d v="2024-11-20T00:00:00"/>
    <x v="6"/>
  </r>
  <r>
    <n v="2425"/>
    <n v="14097"/>
    <x v="3"/>
    <n v="104744.13"/>
    <x v="0"/>
    <n v="22"/>
    <x v="0"/>
    <d v="2024-03-20T00:00:00"/>
    <d v="2024-04-11T00:00:00"/>
    <x v="5"/>
  </r>
  <r>
    <n v="2426"/>
    <n v="19684"/>
    <x v="3"/>
    <n v="56807.3"/>
    <x v="0"/>
    <n v="10"/>
    <x v="0"/>
    <d v="2024-04-16T00:00:00"/>
    <d v="2024-04-26T00:00:00"/>
    <x v="10"/>
  </r>
  <r>
    <n v="2427"/>
    <n v="19321"/>
    <x v="3"/>
    <n v="187480.97"/>
    <x v="0"/>
    <n v="42"/>
    <x v="0"/>
    <d v="2024-10-26T00:00:00"/>
    <d v="2024-12-07T00:00:00"/>
    <x v="6"/>
  </r>
  <r>
    <n v="2428"/>
    <n v="16822"/>
    <x v="3"/>
    <n v="94294.24"/>
    <x v="2"/>
    <m/>
    <x v="2"/>
    <d v="2024-10-31T00:00:00"/>
    <m/>
    <x v="6"/>
  </r>
  <r>
    <n v="2429"/>
    <n v="15878"/>
    <x v="1"/>
    <n v="29880.29"/>
    <x v="1"/>
    <n v="11"/>
    <x v="2"/>
    <d v="2024-12-09T00:00:00"/>
    <d v="2024-12-20T00:00:00"/>
    <x v="11"/>
  </r>
  <r>
    <n v="2430"/>
    <n v="14509"/>
    <x v="2"/>
    <n v="89377.46"/>
    <x v="1"/>
    <n v="36"/>
    <x v="0"/>
    <d v="2024-02-27T00:00:00"/>
    <d v="2024-04-03T00:00:00"/>
    <x v="4"/>
  </r>
  <r>
    <n v="2431"/>
    <n v="16186"/>
    <x v="3"/>
    <n v="29775.38"/>
    <x v="1"/>
    <n v="10"/>
    <x v="1"/>
    <d v="2024-03-31T00:00:00"/>
    <d v="2024-04-10T00:00:00"/>
    <x v="5"/>
  </r>
  <r>
    <n v="2432"/>
    <n v="19836"/>
    <x v="3"/>
    <n v="102993.68"/>
    <x v="0"/>
    <n v="17"/>
    <x v="1"/>
    <d v="2024-05-14T00:00:00"/>
    <d v="2024-05-31T00:00:00"/>
    <x v="3"/>
  </r>
  <r>
    <n v="2433"/>
    <n v="13560"/>
    <x v="2"/>
    <n v="114448.73"/>
    <x v="0"/>
    <n v="19"/>
    <x v="3"/>
    <d v="2024-12-15T00:00:00"/>
    <d v="2025-01-03T00:00:00"/>
    <x v="11"/>
  </r>
  <r>
    <n v="2434"/>
    <n v="15679"/>
    <x v="3"/>
    <n v="70862.37"/>
    <x v="0"/>
    <n v="11"/>
    <x v="0"/>
    <d v="2024-06-17T00:00:00"/>
    <d v="2024-06-28T00:00:00"/>
    <x v="7"/>
  </r>
  <r>
    <n v="2435"/>
    <n v="12685"/>
    <x v="3"/>
    <n v="18971.87"/>
    <x v="0"/>
    <n v="22"/>
    <x v="3"/>
    <d v="2024-11-29T00:00:00"/>
    <d v="2024-12-21T00:00:00"/>
    <x v="1"/>
  </r>
  <r>
    <n v="2436"/>
    <n v="16612"/>
    <x v="3"/>
    <n v="188983.19"/>
    <x v="0"/>
    <n v="16"/>
    <x v="1"/>
    <d v="2024-05-01T00:00:00"/>
    <d v="2024-05-17T00:00:00"/>
    <x v="3"/>
  </r>
  <r>
    <n v="2437"/>
    <n v="14821"/>
    <x v="2"/>
    <n v="155803.85999999999"/>
    <x v="0"/>
    <n v="16"/>
    <x v="3"/>
    <d v="2024-08-23T00:00:00"/>
    <d v="2024-09-08T00:00:00"/>
    <x v="8"/>
  </r>
  <r>
    <n v="2438"/>
    <n v="17807"/>
    <x v="1"/>
    <n v="168581.81"/>
    <x v="0"/>
    <n v="12"/>
    <x v="0"/>
    <d v="2024-03-16T00:00:00"/>
    <d v="2024-03-28T00:00:00"/>
    <x v="5"/>
  </r>
  <r>
    <n v="2439"/>
    <n v="11412"/>
    <x v="1"/>
    <n v="76539.34"/>
    <x v="1"/>
    <n v="41"/>
    <x v="0"/>
    <d v="2024-11-04T00:00:00"/>
    <d v="2024-12-15T00:00:00"/>
    <x v="1"/>
  </r>
  <r>
    <n v="2440"/>
    <n v="11221"/>
    <x v="0"/>
    <n v="153362.04999999999"/>
    <x v="1"/>
    <n v="43"/>
    <x v="0"/>
    <d v="2024-01-23T00:00:00"/>
    <d v="2024-03-06T00:00:00"/>
    <x v="0"/>
  </r>
  <r>
    <n v="2441"/>
    <n v="12249"/>
    <x v="3"/>
    <n v="99647.71"/>
    <x v="2"/>
    <m/>
    <x v="2"/>
    <d v="2024-11-28T00:00:00"/>
    <m/>
    <x v="1"/>
  </r>
  <r>
    <n v="2442"/>
    <n v="12239"/>
    <x v="3"/>
    <n v="44211.28"/>
    <x v="0"/>
    <n v="38"/>
    <x v="3"/>
    <d v="2024-03-13T00:00:00"/>
    <d v="2024-04-20T00:00:00"/>
    <x v="5"/>
  </r>
  <r>
    <n v="2443"/>
    <n v="14202"/>
    <x v="0"/>
    <n v="29262.560000000001"/>
    <x v="0"/>
    <n v="21"/>
    <x v="1"/>
    <d v="2024-03-28T00:00:00"/>
    <d v="2024-04-18T00:00:00"/>
    <x v="5"/>
  </r>
  <r>
    <n v="2444"/>
    <n v="17873"/>
    <x v="3"/>
    <n v="72284.92"/>
    <x v="0"/>
    <n v="35"/>
    <x v="1"/>
    <d v="2024-04-12T00:00:00"/>
    <d v="2024-05-17T00:00:00"/>
    <x v="10"/>
  </r>
  <r>
    <n v="2445"/>
    <n v="16893"/>
    <x v="1"/>
    <n v="31822.66"/>
    <x v="0"/>
    <n v="23"/>
    <x v="1"/>
    <d v="2024-04-03T00:00:00"/>
    <d v="2024-04-26T00:00:00"/>
    <x v="10"/>
  </r>
  <r>
    <n v="2446"/>
    <n v="18835"/>
    <x v="2"/>
    <n v="199662.45"/>
    <x v="0"/>
    <n v="19"/>
    <x v="2"/>
    <d v="2024-11-11T00:00:00"/>
    <d v="2024-11-30T00:00:00"/>
    <x v="1"/>
  </r>
  <r>
    <n v="2447"/>
    <n v="15403"/>
    <x v="1"/>
    <n v="14591.85"/>
    <x v="0"/>
    <n v="17"/>
    <x v="2"/>
    <d v="2024-09-22T00:00:00"/>
    <d v="2024-10-09T00:00:00"/>
    <x v="9"/>
  </r>
  <r>
    <n v="2448"/>
    <n v="15185"/>
    <x v="1"/>
    <n v="91023"/>
    <x v="0"/>
    <n v="6"/>
    <x v="0"/>
    <d v="2024-09-09T00:00:00"/>
    <d v="2024-09-15T00:00:00"/>
    <x v="9"/>
  </r>
  <r>
    <n v="2449"/>
    <n v="14290"/>
    <x v="0"/>
    <n v="93158.24"/>
    <x v="0"/>
    <n v="2"/>
    <x v="1"/>
    <d v="2024-12-23T00:00:00"/>
    <d v="2024-12-25T00:00:00"/>
    <x v="11"/>
  </r>
  <r>
    <n v="2450"/>
    <n v="14142"/>
    <x v="0"/>
    <n v="63623.23"/>
    <x v="0"/>
    <n v="20"/>
    <x v="2"/>
    <d v="2024-02-27T00:00:00"/>
    <d v="2024-03-18T00:00:00"/>
    <x v="4"/>
  </r>
  <r>
    <n v="2451"/>
    <n v="19577"/>
    <x v="3"/>
    <n v="116413.56"/>
    <x v="0"/>
    <n v="11"/>
    <x v="0"/>
    <d v="2024-01-09T00:00:00"/>
    <d v="2024-01-20T00:00:00"/>
    <x v="0"/>
  </r>
  <r>
    <n v="2452"/>
    <n v="17152"/>
    <x v="3"/>
    <n v="34245.519999999997"/>
    <x v="0"/>
    <n v="22"/>
    <x v="1"/>
    <d v="2024-01-13T00:00:00"/>
    <d v="2024-02-04T00:00:00"/>
    <x v="0"/>
  </r>
  <r>
    <n v="2453"/>
    <n v="12584"/>
    <x v="3"/>
    <n v="157862.91"/>
    <x v="0"/>
    <n v="14"/>
    <x v="3"/>
    <d v="2024-05-10T00:00:00"/>
    <d v="2024-05-24T00:00:00"/>
    <x v="3"/>
  </r>
  <r>
    <n v="2454"/>
    <n v="11601"/>
    <x v="1"/>
    <n v="69827.31"/>
    <x v="0"/>
    <n v="25"/>
    <x v="0"/>
    <d v="2024-08-09T00:00:00"/>
    <d v="2024-09-03T00:00:00"/>
    <x v="8"/>
  </r>
  <r>
    <n v="2455"/>
    <n v="14942"/>
    <x v="3"/>
    <n v="120311.81"/>
    <x v="0"/>
    <n v="24"/>
    <x v="2"/>
    <d v="2024-11-24T00:00:00"/>
    <d v="2024-12-18T00:00:00"/>
    <x v="1"/>
  </r>
  <r>
    <n v="2456"/>
    <n v="15698"/>
    <x v="1"/>
    <n v="144549.65"/>
    <x v="0"/>
    <n v="24"/>
    <x v="2"/>
    <d v="2024-06-01T00:00:00"/>
    <d v="2024-06-25T00:00:00"/>
    <x v="7"/>
  </r>
  <r>
    <n v="2457"/>
    <n v="10807"/>
    <x v="3"/>
    <n v="178363.21"/>
    <x v="1"/>
    <n v="12"/>
    <x v="0"/>
    <d v="2024-03-11T00:00:00"/>
    <d v="2024-03-23T00:00:00"/>
    <x v="5"/>
  </r>
  <r>
    <n v="2458"/>
    <n v="17345"/>
    <x v="1"/>
    <n v="167978.55"/>
    <x v="1"/>
    <n v="3"/>
    <x v="0"/>
    <d v="2024-12-10T00:00:00"/>
    <d v="2024-12-13T00:00:00"/>
    <x v="11"/>
  </r>
  <r>
    <n v="2459"/>
    <n v="18306"/>
    <x v="3"/>
    <n v="123620.26"/>
    <x v="0"/>
    <n v="7"/>
    <x v="2"/>
    <d v="2024-01-20T00:00:00"/>
    <d v="2024-01-27T00:00:00"/>
    <x v="0"/>
  </r>
  <r>
    <n v="2460"/>
    <n v="12727"/>
    <x v="1"/>
    <n v="80736.67"/>
    <x v="0"/>
    <n v="12"/>
    <x v="3"/>
    <d v="2024-03-21T00:00:00"/>
    <d v="2024-04-02T00:00:00"/>
    <x v="5"/>
  </r>
  <r>
    <n v="2461"/>
    <n v="18165"/>
    <x v="1"/>
    <n v="103124.91"/>
    <x v="0"/>
    <n v="16"/>
    <x v="1"/>
    <d v="2024-08-15T00:00:00"/>
    <d v="2024-08-31T00:00:00"/>
    <x v="8"/>
  </r>
  <r>
    <n v="2462"/>
    <n v="14171"/>
    <x v="3"/>
    <n v="154903.28"/>
    <x v="0"/>
    <n v="10"/>
    <x v="3"/>
    <d v="2024-12-11T00:00:00"/>
    <d v="2024-12-21T00:00:00"/>
    <x v="11"/>
  </r>
  <r>
    <n v="2463"/>
    <n v="19641"/>
    <x v="3"/>
    <n v="176121.38"/>
    <x v="0"/>
    <n v="13"/>
    <x v="0"/>
    <d v="2024-01-19T00:00:00"/>
    <d v="2024-02-01T00:00:00"/>
    <x v="0"/>
  </r>
  <r>
    <n v="2464"/>
    <n v="11568"/>
    <x v="1"/>
    <n v="25237.48"/>
    <x v="0"/>
    <n v="37"/>
    <x v="3"/>
    <d v="2024-06-13T00:00:00"/>
    <d v="2024-07-20T00:00:00"/>
    <x v="7"/>
  </r>
  <r>
    <n v="2465"/>
    <n v="19514"/>
    <x v="3"/>
    <n v="80046.97"/>
    <x v="0"/>
    <n v="29"/>
    <x v="2"/>
    <d v="2024-04-16T00:00:00"/>
    <d v="2024-05-15T00:00:00"/>
    <x v="10"/>
  </r>
  <r>
    <n v="2466"/>
    <n v="19052"/>
    <x v="3"/>
    <n v="156342.74"/>
    <x v="0"/>
    <n v="24"/>
    <x v="0"/>
    <d v="2024-12-13T00:00:00"/>
    <d v="2025-01-06T00:00:00"/>
    <x v="11"/>
  </r>
  <r>
    <n v="2467"/>
    <n v="10741"/>
    <x v="2"/>
    <n v="89172.09"/>
    <x v="1"/>
    <n v="28"/>
    <x v="1"/>
    <d v="2024-08-01T00:00:00"/>
    <d v="2024-08-29T00:00:00"/>
    <x v="8"/>
  </r>
  <r>
    <n v="2468"/>
    <n v="19922"/>
    <x v="1"/>
    <n v="69784.41"/>
    <x v="0"/>
    <n v="25"/>
    <x v="2"/>
    <d v="2024-08-26T00:00:00"/>
    <d v="2024-09-20T00:00:00"/>
    <x v="8"/>
  </r>
  <r>
    <n v="2469"/>
    <n v="16437"/>
    <x v="2"/>
    <n v="85207.93"/>
    <x v="1"/>
    <n v="15"/>
    <x v="2"/>
    <d v="2024-05-26T00:00:00"/>
    <d v="2024-06-10T00:00:00"/>
    <x v="3"/>
  </r>
  <r>
    <n v="2470"/>
    <n v="14904"/>
    <x v="3"/>
    <n v="122554.73"/>
    <x v="0"/>
    <n v="36"/>
    <x v="1"/>
    <d v="2024-06-29T00:00:00"/>
    <d v="2024-08-04T00:00:00"/>
    <x v="7"/>
  </r>
  <r>
    <n v="2471"/>
    <n v="12933"/>
    <x v="3"/>
    <n v="199962"/>
    <x v="0"/>
    <n v="28"/>
    <x v="1"/>
    <d v="2024-12-01T00:00:00"/>
    <d v="2024-12-29T00:00:00"/>
    <x v="11"/>
  </r>
  <r>
    <n v="2472"/>
    <n v="14509"/>
    <x v="0"/>
    <n v="101133.52"/>
    <x v="2"/>
    <m/>
    <x v="3"/>
    <d v="2024-07-16T00:00:00"/>
    <m/>
    <x v="2"/>
  </r>
  <r>
    <n v="2473"/>
    <n v="14526"/>
    <x v="1"/>
    <n v="45656.42"/>
    <x v="2"/>
    <m/>
    <x v="0"/>
    <d v="2024-10-13T00:00:00"/>
    <m/>
    <x v="6"/>
  </r>
  <r>
    <n v="2474"/>
    <n v="15909"/>
    <x v="1"/>
    <n v="36755.08"/>
    <x v="0"/>
    <n v="9"/>
    <x v="1"/>
    <d v="2024-02-22T00:00:00"/>
    <d v="2024-03-02T00:00:00"/>
    <x v="4"/>
  </r>
  <r>
    <n v="2475"/>
    <n v="15349"/>
    <x v="3"/>
    <n v="13258.2"/>
    <x v="0"/>
    <n v="35"/>
    <x v="1"/>
    <d v="2024-08-27T00:00:00"/>
    <d v="2024-10-01T00:00:00"/>
    <x v="8"/>
  </r>
  <r>
    <n v="2476"/>
    <n v="13167"/>
    <x v="3"/>
    <n v="113969.36"/>
    <x v="0"/>
    <n v="43"/>
    <x v="0"/>
    <d v="2024-10-16T00:00:00"/>
    <d v="2024-11-28T00:00:00"/>
    <x v="6"/>
  </r>
  <r>
    <n v="2477"/>
    <n v="17606"/>
    <x v="3"/>
    <n v="111191.56"/>
    <x v="0"/>
    <n v="24"/>
    <x v="1"/>
    <d v="2024-10-13T00:00:00"/>
    <d v="2024-11-06T00:00:00"/>
    <x v="6"/>
  </r>
  <r>
    <n v="2478"/>
    <n v="12218"/>
    <x v="3"/>
    <n v="45020.62"/>
    <x v="1"/>
    <n v="10"/>
    <x v="1"/>
    <d v="2024-07-06T00:00:00"/>
    <d v="2024-07-16T00:00:00"/>
    <x v="2"/>
  </r>
  <r>
    <n v="2479"/>
    <n v="11340"/>
    <x v="3"/>
    <n v="140589.23000000001"/>
    <x v="2"/>
    <m/>
    <x v="3"/>
    <d v="2024-01-06T00:00:00"/>
    <m/>
    <x v="0"/>
  </r>
  <r>
    <n v="2480"/>
    <n v="18009"/>
    <x v="3"/>
    <n v="149515.87"/>
    <x v="0"/>
    <n v="37"/>
    <x v="2"/>
    <d v="2024-10-09T00:00:00"/>
    <d v="2024-11-15T00:00:00"/>
    <x v="6"/>
  </r>
  <r>
    <n v="2481"/>
    <n v="14639"/>
    <x v="2"/>
    <n v="55524.15"/>
    <x v="0"/>
    <n v="17"/>
    <x v="2"/>
    <d v="2024-09-19T00:00:00"/>
    <d v="2024-10-06T00:00:00"/>
    <x v="9"/>
  </r>
  <r>
    <n v="2482"/>
    <n v="11514"/>
    <x v="3"/>
    <n v="72099.45"/>
    <x v="0"/>
    <n v="26"/>
    <x v="2"/>
    <d v="2024-02-18T00:00:00"/>
    <d v="2024-03-15T00:00:00"/>
    <x v="4"/>
  </r>
  <r>
    <n v="2483"/>
    <n v="11411"/>
    <x v="1"/>
    <n v="198141.98"/>
    <x v="0"/>
    <n v="19"/>
    <x v="2"/>
    <d v="2024-12-17T00:00:00"/>
    <d v="2025-01-05T00:00:00"/>
    <x v="11"/>
  </r>
  <r>
    <n v="2484"/>
    <n v="17724"/>
    <x v="0"/>
    <n v="77981.570000000007"/>
    <x v="2"/>
    <m/>
    <x v="1"/>
    <d v="2024-07-18T00:00:00"/>
    <m/>
    <x v="2"/>
  </r>
  <r>
    <n v="2485"/>
    <n v="14167"/>
    <x v="1"/>
    <n v="153356.32999999999"/>
    <x v="1"/>
    <n v="39"/>
    <x v="0"/>
    <d v="2024-02-29T00:00:00"/>
    <d v="2024-04-08T00:00:00"/>
    <x v="4"/>
  </r>
  <r>
    <n v="2486"/>
    <n v="11022"/>
    <x v="3"/>
    <n v="93281.46"/>
    <x v="0"/>
    <n v="4"/>
    <x v="0"/>
    <d v="2024-02-02T00:00:00"/>
    <d v="2024-02-06T00:00:00"/>
    <x v="4"/>
  </r>
  <r>
    <n v="2487"/>
    <n v="12758"/>
    <x v="1"/>
    <n v="159702.24"/>
    <x v="0"/>
    <n v="21"/>
    <x v="3"/>
    <d v="2024-10-29T00:00:00"/>
    <d v="2024-11-19T00:00:00"/>
    <x v="6"/>
  </r>
  <r>
    <n v="2488"/>
    <n v="19304"/>
    <x v="1"/>
    <n v="154959.53"/>
    <x v="0"/>
    <n v="20"/>
    <x v="3"/>
    <d v="2024-08-31T00:00:00"/>
    <d v="2024-09-20T00:00:00"/>
    <x v="8"/>
  </r>
  <r>
    <n v="2489"/>
    <n v="14808"/>
    <x v="1"/>
    <n v="135212.42000000001"/>
    <x v="0"/>
    <n v="14"/>
    <x v="1"/>
    <d v="2024-06-20T00:00:00"/>
    <d v="2024-07-04T00:00:00"/>
    <x v="7"/>
  </r>
  <r>
    <n v="2490"/>
    <n v="19750"/>
    <x v="1"/>
    <n v="171681.78"/>
    <x v="1"/>
    <n v="18"/>
    <x v="0"/>
    <d v="2024-07-25T00:00:00"/>
    <d v="2024-08-12T00:00:00"/>
    <x v="2"/>
  </r>
  <r>
    <n v="2491"/>
    <n v="18833"/>
    <x v="2"/>
    <n v="188147.61"/>
    <x v="0"/>
    <n v="15"/>
    <x v="0"/>
    <d v="2024-10-09T00:00:00"/>
    <d v="2024-10-24T00:00:00"/>
    <x v="6"/>
  </r>
  <r>
    <n v="2492"/>
    <n v="16733"/>
    <x v="1"/>
    <n v="118096.75"/>
    <x v="0"/>
    <n v="31"/>
    <x v="2"/>
    <d v="2024-01-22T00:00:00"/>
    <d v="2024-02-22T00:00:00"/>
    <x v="0"/>
  </r>
  <r>
    <n v="2493"/>
    <n v="14907"/>
    <x v="3"/>
    <n v="51306.44"/>
    <x v="0"/>
    <n v="23"/>
    <x v="1"/>
    <d v="2024-02-16T00:00:00"/>
    <d v="2024-03-10T00:00:00"/>
    <x v="4"/>
  </r>
  <r>
    <n v="2494"/>
    <n v="13225"/>
    <x v="1"/>
    <n v="82732.649999999994"/>
    <x v="1"/>
    <n v="44"/>
    <x v="1"/>
    <d v="2024-12-14T00:00:00"/>
    <d v="2025-01-27T00:00:00"/>
    <x v="11"/>
  </r>
  <r>
    <n v="2495"/>
    <n v="11014"/>
    <x v="3"/>
    <n v="152869.60999999999"/>
    <x v="0"/>
    <n v="44"/>
    <x v="2"/>
    <d v="2024-06-06T00:00:00"/>
    <d v="2024-07-20T00:00:00"/>
    <x v="7"/>
  </r>
  <r>
    <n v="2496"/>
    <n v="16768"/>
    <x v="0"/>
    <n v="131922.28"/>
    <x v="1"/>
    <n v="30"/>
    <x v="1"/>
    <d v="2024-09-14T00:00:00"/>
    <d v="2024-10-14T00:00:00"/>
    <x v="9"/>
  </r>
  <r>
    <n v="2497"/>
    <n v="15458"/>
    <x v="3"/>
    <n v="39670.68"/>
    <x v="1"/>
    <n v="3"/>
    <x v="1"/>
    <d v="2024-05-22T00:00:00"/>
    <d v="2024-05-25T00:00:00"/>
    <x v="3"/>
  </r>
  <r>
    <n v="2498"/>
    <n v="12021"/>
    <x v="3"/>
    <n v="14991.71"/>
    <x v="2"/>
    <m/>
    <x v="3"/>
    <d v="2024-02-16T00:00:00"/>
    <m/>
    <x v="4"/>
  </r>
  <r>
    <n v="2499"/>
    <n v="12676"/>
    <x v="0"/>
    <n v="138177.51"/>
    <x v="0"/>
    <n v="15"/>
    <x v="0"/>
    <d v="2024-01-27T00:00:00"/>
    <d v="2024-02-11T00:00:00"/>
    <x v="0"/>
  </r>
  <r>
    <n v="2500"/>
    <n v="19732"/>
    <x v="1"/>
    <n v="53960.41"/>
    <x v="0"/>
    <n v="35"/>
    <x v="1"/>
    <d v="2024-01-27T00:00:00"/>
    <d v="2024-03-02T00:00:00"/>
    <x v="0"/>
  </r>
  <r>
    <n v="2501"/>
    <n v="13106"/>
    <x v="3"/>
    <n v="102435.7"/>
    <x v="0"/>
    <n v="14"/>
    <x v="3"/>
    <d v="2024-05-24T00:00:00"/>
    <d v="2024-06-07T00:00:00"/>
    <x v="3"/>
  </r>
  <r>
    <n v="2502"/>
    <n v="18975"/>
    <x v="3"/>
    <n v="150615.62"/>
    <x v="0"/>
    <n v="11"/>
    <x v="0"/>
    <d v="2024-03-15T00:00:00"/>
    <d v="2024-03-26T00:00:00"/>
    <x v="5"/>
  </r>
  <r>
    <n v="2503"/>
    <n v="18862"/>
    <x v="0"/>
    <n v="114720.02"/>
    <x v="0"/>
    <n v="9"/>
    <x v="2"/>
    <d v="2024-07-05T00:00:00"/>
    <d v="2024-07-14T00:00:00"/>
    <x v="2"/>
  </r>
  <r>
    <n v="2504"/>
    <n v="12584"/>
    <x v="3"/>
    <n v="21244"/>
    <x v="0"/>
    <n v="8"/>
    <x v="3"/>
    <d v="2024-01-10T00:00:00"/>
    <d v="2024-01-18T00:00:00"/>
    <x v="0"/>
  </r>
  <r>
    <n v="2505"/>
    <n v="14942"/>
    <x v="0"/>
    <n v="41188.15"/>
    <x v="0"/>
    <n v="14"/>
    <x v="3"/>
    <d v="2024-04-30T00:00:00"/>
    <d v="2024-05-14T00:00:00"/>
    <x v="10"/>
  </r>
  <r>
    <n v="2506"/>
    <n v="11277"/>
    <x v="3"/>
    <n v="47769"/>
    <x v="1"/>
    <n v="27"/>
    <x v="0"/>
    <d v="2024-10-15T00:00:00"/>
    <d v="2024-11-11T00:00:00"/>
    <x v="6"/>
  </r>
  <r>
    <n v="2507"/>
    <n v="13043"/>
    <x v="1"/>
    <n v="55283.53"/>
    <x v="0"/>
    <n v="33"/>
    <x v="2"/>
    <d v="2024-06-13T00:00:00"/>
    <d v="2024-07-16T00:00:00"/>
    <x v="7"/>
  </r>
  <r>
    <n v="2508"/>
    <n v="17370"/>
    <x v="0"/>
    <n v="115253.66"/>
    <x v="0"/>
    <n v="20"/>
    <x v="3"/>
    <d v="2024-09-20T00:00:00"/>
    <d v="2024-10-10T00:00:00"/>
    <x v="9"/>
  </r>
  <r>
    <n v="2509"/>
    <n v="15860"/>
    <x v="3"/>
    <n v="103273.33"/>
    <x v="1"/>
    <n v="16"/>
    <x v="1"/>
    <d v="2024-06-09T00:00:00"/>
    <d v="2024-06-25T00:00:00"/>
    <x v="7"/>
  </r>
  <r>
    <n v="2510"/>
    <n v="13782"/>
    <x v="3"/>
    <n v="44616.21"/>
    <x v="1"/>
    <n v="3"/>
    <x v="1"/>
    <d v="2024-11-22T00:00:00"/>
    <d v="2024-11-25T00:00:00"/>
    <x v="1"/>
  </r>
  <r>
    <n v="2511"/>
    <n v="17057"/>
    <x v="3"/>
    <n v="18173.189999999999"/>
    <x v="1"/>
    <n v="38"/>
    <x v="1"/>
    <d v="2024-10-23T00:00:00"/>
    <d v="2024-11-30T00:00:00"/>
    <x v="6"/>
  </r>
  <r>
    <n v="2512"/>
    <n v="18369"/>
    <x v="1"/>
    <n v="38429.279999999999"/>
    <x v="1"/>
    <n v="20"/>
    <x v="2"/>
    <d v="2024-04-27T00:00:00"/>
    <d v="2024-05-17T00:00:00"/>
    <x v="10"/>
  </r>
  <r>
    <n v="2513"/>
    <n v="18467"/>
    <x v="1"/>
    <n v="196954.36"/>
    <x v="2"/>
    <m/>
    <x v="3"/>
    <d v="2024-11-06T00:00:00"/>
    <m/>
    <x v="1"/>
  </r>
  <r>
    <n v="2514"/>
    <n v="13481"/>
    <x v="1"/>
    <n v="96366.66"/>
    <x v="0"/>
    <n v="40"/>
    <x v="1"/>
    <d v="2024-09-19T00:00:00"/>
    <d v="2024-10-29T00:00:00"/>
    <x v="9"/>
  </r>
  <r>
    <n v="2515"/>
    <n v="15772"/>
    <x v="3"/>
    <n v="174132.37"/>
    <x v="0"/>
    <n v="34"/>
    <x v="2"/>
    <d v="2024-03-24T00:00:00"/>
    <d v="2024-04-27T00:00:00"/>
    <x v="5"/>
  </r>
  <r>
    <n v="2516"/>
    <n v="19616"/>
    <x v="3"/>
    <n v="170506.73"/>
    <x v="0"/>
    <n v="2"/>
    <x v="1"/>
    <d v="2024-05-25T00:00:00"/>
    <d v="2024-05-27T00:00:00"/>
    <x v="3"/>
  </r>
  <r>
    <n v="2517"/>
    <n v="15336"/>
    <x v="3"/>
    <n v="104746.31"/>
    <x v="0"/>
    <n v="40"/>
    <x v="0"/>
    <d v="2024-06-19T00:00:00"/>
    <d v="2024-07-29T00:00:00"/>
    <x v="7"/>
  </r>
  <r>
    <n v="2518"/>
    <n v="14122"/>
    <x v="3"/>
    <n v="142804.1"/>
    <x v="0"/>
    <n v="29"/>
    <x v="3"/>
    <d v="2024-11-29T00:00:00"/>
    <d v="2024-12-28T00:00:00"/>
    <x v="1"/>
  </r>
  <r>
    <n v="2519"/>
    <n v="12960"/>
    <x v="1"/>
    <n v="42586.64"/>
    <x v="0"/>
    <n v="18"/>
    <x v="3"/>
    <d v="2024-11-04T00:00:00"/>
    <d v="2024-11-22T00:00:00"/>
    <x v="1"/>
  </r>
  <r>
    <n v="2520"/>
    <n v="17897"/>
    <x v="0"/>
    <n v="139237.35999999999"/>
    <x v="0"/>
    <n v="7"/>
    <x v="2"/>
    <d v="2024-01-14T00:00:00"/>
    <d v="2024-01-21T00:00:00"/>
    <x v="0"/>
  </r>
  <r>
    <n v="2521"/>
    <n v="12469"/>
    <x v="1"/>
    <n v="58114.99"/>
    <x v="0"/>
    <n v="21"/>
    <x v="2"/>
    <d v="2024-05-28T00:00:00"/>
    <d v="2024-06-18T00:00:00"/>
    <x v="3"/>
  </r>
  <r>
    <n v="2522"/>
    <n v="17051"/>
    <x v="3"/>
    <n v="167252.10999999999"/>
    <x v="0"/>
    <n v="14"/>
    <x v="3"/>
    <d v="2024-09-07T00:00:00"/>
    <d v="2024-09-21T00:00:00"/>
    <x v="9"/>
  </r>
  <r>
    <n v="2523"/>
    <n v="14068"/>
    <x v="2"/>
    <n v="21326.21"/>
    <x v="2"/>
    <m/>
    <x v="1"/>
    <d v="2024-02-26T00:00:00"/>
    <m/>
    <x v="4"/>
  </r>
  <r>
    <n v="2524"/>
    <n v="15443"/>
    <x v="1"/>
    <n v="155762.04"/>
    <x v="0"/>
    <n v="31"/>
    <x v="1"/>
    <d v="2024-12-12T00:00:00"/>
    <d v="2025-01-12T00:00:00"/>
    <x v="11"/>
  </r>
  <r>
    <n v="2525"/>
    <n v="19782"/>
    <x v="2"/>
    <n v="24487.7"/>
    <x v="1"/>
    <n v="22"/>
    <x v="0"/>
    <d v="2024-10-28T00:00:00"/>
    <d v="2024-11-19T00:00:00"/>
    <x v="6"/>
  </r>
  <r>
    <n v="2526"/>
    <n v="14380"/>
    <x v="1"/>
    <n v="176831.9"/>
    <x v="0"/>
    <n v="3"/>
    <x v="1"/>
    <d v="2024-12-12T00:00:00"/>
    <d v="2024-12-15T00:00:00"/>
    <x v="11"/>
  </r>
  <r>
    <n v="2527"/>
    <n v="19304"/>
    <x v="3"/>
    <n v="64319.88"/>
    <x v="2"/>
    <m/>
    <x v="2"/>
    <d v="2024-05-12T00:00:00"/>
    <m/>
    <x v="3"/>
  </r>
  <r>
    <n v="2528"/>
    <n v="19260"/>
    <x v="3"/>
    <n v="132606.71"/>
    <x v="1"/>
    <n v="29"/>
    <x v="2"/>
    <d v="2024-06-18T00:00:00"/>
    <d v="2024-07-17T00:00:00"/>
    <x v="7"/>
  </r>
  <r>
    <n v="2529"/>
    <n v="12545"/>
    <x v="1"/>
    <n v="100062.94"/>
    <x v="0"/>
    <n v="5"/>
    <x v="1"/>
    <d v="2024-04-11T00:00:00"/>
    <d v="2024-04-16T00:00:00"/>
    <x v="10"/>
  </r>
  <r>
    <n v="2530"/>
    <n v="17665"/>
    <x v="3"/>
    <n v="76429.11"/>
    <x v="0"/>
    <n v="43"/>
    <x v="2"/>
    <d v="2024-04-15T00:00:00"/>
    <d v="2024-05-28T00:00:00"/>
    <x v="10"/>
  </r>
  <r>
    <n v="2531"/>
    <n v="13649"/>
    <x v="3"/>
    <n v="130861.16"/>
    <x v="0"/>
    <n v="44"/>
    <x v="3"/>
    <d v="2024-06-19T00:00:00"/>
    <d v="2024-08-02T00:00:00"/>
    <x v="7"/>
  </r>
  <r>
    <n v="2532"/>
    <n v="11814"/>
    <x v="1"/>
    <n v="189766.98"/>
    <x v="2"/>
    <m/>
    <x v="3"/>
    <d v="2024-05-07T00:00:00"/>
    <m/>
    <x v="3"/>
  </r>
  <r>
    <n v="2533"/>
    <n v="13907"/>
    <x v="1"/>
    <n v="13047.6"/>
    <x v="1"/>
    <n v="39"/>
    <x v="1"/>
    <d v="2024-09-06T00:00:00"/>
    <d v="2024-10-15T00:00:00"/>
    <x v="9"/>
  </r>
  <r>
    <n v="2534"/>
    <n v="13731"/>
    <x v="1"/>
    <n v="184176.31"/>
    <x v="1"/>
    <n v="10"/>
    <x v="3"/>
    <d v="2024-02-01T00:00:00"/>
    <d v="2024-02-11T00:00:00"/>
    <x v="4"/>
  </r>
  <r>
    <n v="2535"/>
    <n v="17685"/>
    <x v="3"/>
    <n v="123770.92"/>
    <x v="0"/>
    <n v="21"/>
    <x v="3"/>
    <d v="2024-08-03T00:00:00"/>
    <d v="2024-08-24T00:00:00"/>
    <x v="8"/>
  </r>
  <r>
    <n v="2536"/>
    <n v="18273"/>
    <x v="3"/>
    <n v="162426.29"/>
    <x v="0"/>
    <n v="31"/>
    <x v="0"/>
    <d v="2024-09-18T00:00:00"/>
    <d v="2024-10-19T00:00:00"/>
    <x v="9"/>
  </r>
  <r>
    <n v="2537"/>
    <n v="15869"/>
    <x v="1"/>
    <n v="79855.62"/>
    <x v="1"/>
    <n v="38"/>
    <x v="0"/>
    <d v="2024-11-25T00:00:00"/>
    <d v="2025-01-02T00:00:00"/>
    <x v="1"/>
  </r>
  <r>
    <n v="2538"/>
    <n v="18273"/>
    <x v="2"/>
    <n v="97009.38"/>
    <x v="0"/>
    <n v="39"/>
    <x v="3"/>
    <d v="2024-08-31T00:00:00"/>
    <d v="2024-10-09T00:00:00"/>
    <x v="8"/>
  </r>
  <r>
    <n v="2539"/>
    <n v="10093"/>
    <x v="1"/>
    <n v="174425.9"/>
    <x v="0"/>
    <n v="5"/>
    <x v="1"/>
    <d v="2024-10-11T00:00:00"/>
    <d v="2024-10-16T00:00:00"/>
    <x v="6"/>
  </r>
  <r>
    <n v="2540"/>
    <n v="18186"/>
    <x v="2"/>
    <n v="85895.35"/>
    <x v="0"/>
    <n v="39"/>
    <x v="0"/>
    <d v="2024-10-16T00:00:00"/>
    <d v="2024-11-24T00:00:00"/>
    <x v="6"/>
  </r>
  <r>
    <n v="2541"/>
    <n v="10342"/>
    <x v="1"/>
    <n v="109258.62"/>
    <x v="2"/>
    <m/>
    <x v="2"/>
    <d v="2024-09-19T00:00:00"/>
    <m/>
    <x v="9"/>
  </r>
  <r>
    <n v="2542"/>
    <n v="16940"/>
    <x v="1"/>
    <n v="8938.01"/>
    <x v="0"/>
    <n v="36"/>
    <x v="2"/>
    <d v="2024-12-02T00:00:00"/>
    <d v="2025-01-07T00:00:00"/>
    <x v="11"/>
  </r>
  <r>
    <n v="2543"/>
    <n v="12408"/>
    <x v="3"/>
    <n v="35926.61"/>
    <x v="0"/>
    <n v="31"/>
    <x v="2"/>
    <d v="2024-11-28T00:00:00"/>
    <d v="2024-12-29T00:00:00"/>
    <x v="1"/>
  </r>
  <r>
    <n v="2544"/>
    <n v="19281"/>
    <x v="1"/>
    <n v="130128.87"/>
    <x v="0"/>
    <n v="43"/>
    <x v="1"/>
    <d v="2024-11-09T00:00:00"/>
    <d v="2024-12-22T00:00:00"/>
    <x v="1"/>
  </r>
  <r>
    <n v="2545"/>
    <n v="10623"/>
    <x v="1"/>
    <n v="144810.5"/>
    <x v="1"/>
    <n v="5"/>
    <x v="3"/>
    <d v="2024-03-25T00:00:00"/>
    <d v="2024-03-30T00:00:00"/>
    <x v="5"/>
  </r>
  <r>
    <n v="2546"/>
    <n v="10867"/>
    <x v="1"/>
    <n v="118607.18"/>
    <x v="0"/>
    <n v="26"/>
    <x v="2"/>
    <d v="2024-11-24T00:00:00"/>
    <d v="2024-12-20T00:00:00"/>
    <x v="1"/>
  </r>
  <r>
    <n v="2547"/>
    <n v="13472"/>
    <x v="3"/>
    <n v="32945.46"/>
    <x v="0"/>
    <n v="32"/>
    <x v="1"/>
    <d v="2024-02-14T00:00:00"/>
    <d v="2024-03-17T00:00:00"/>
    <x v="4"/>
  </r>
  <r>
    <n v="2548"/>
    <n v="10170"/>
    <x v="1"/>
    <n v="91854.06"/>
    <x v="0"/>
    <n v="13"/>
    <x v="0"/>
    <d v="2024-10-29T00:00:00"/>
    <d v="2024-11-11T00:00:00"/>
    <x v="6"/>
  </r>
  <r>
    <n v="2549"/>
    <n v="19974"/>
    <x v="3"/>
    <n v="74243.48"/>
    <x v="1"/>
    <n v="16"/>
    <x v="3"/>
    <d v="2024-11-28T00:00:00"/>
    <d v="2024-12-14T00:00:00"/>
    <x v="1"/>
  </r>
  <r>
    <n v="2550"/>
    <n v="18769"/>
    <x v="1"/>
    <n v="101653.96"/>
    <x v="2"/>
    <m/>
    <x v="0"/>
    <d v="2024-07-18T00:00:00"/>
    <m/>
    <x v="2"/>
  </r>
  <r>
    <n v="2551"/>
    <n v="18259"/>
    <x v="3"/>
    <n v="174714.16"/>
    <x v="1"/>
    <n v="11"/>
    <x v="1"/>
    <d v="2024-07-19T00:00:00"/>
    <d v="2024-07-30T00:00:00"/>
    <x v="2"/>
  </r>
  <r>
    <n v="2552"/>
    <n v="11515"/>
    <x v="0"/>
    <n v="156292.98000000001"/>
    <x v="0"/>
    <n v="13"/>
    <x v="2"/>
    <d v="2024-11-24T00:00:00"/>
    <d v="2024-12-07T00:00:00"/>
    <x v="1"/>
  </r>
  <r>
    <n v="2553"/>
    <n v="18192"/>
    <x v="3"/>
    <n v="21377.95"/>
    <x v="2"/>
    <m/>
    <x v="2"/>
    <d v="2024-06-16T00:00:00"/>
    <m/>
    <x v="7"/>
  </r>
  <r>
    <n v="2554"/>
    <n v="12198"/>
    <x v="3"/>
    <n v="178610.29"/>
    <x v="0"/>
    <n v="41"/>
    <x v="1"/>
    <d v="2024-08-27T00:00:00"/>
    <d v="2024-10-07T00:00:00"/>
    <x v="8"/>
  </r>
  <r>
    <n v="2555"/>
    <n v="10901"/>
    <x v="3"/>
    <n v="96994.59"/>
    <x v="0"/>
    <n v="22"/>
    <x v="2"/>
    <d v="2024-10-12T00:00:00"/>
    <d v="2024-11-03T00:00:00"/>
    <x v="6"/>
  </r>
  <r>
    <n v="2556"/>
    <n v="15903"/>
    <x v="1"/>
    <n v="150053.12"/>
    <x v="0"/>
    <n v="36"/>
    <x v="3"/>
    <d v="2024-07-08T00:00:00"/>
    <d v="2024-08-13T00:00:00"/>
    <x v="2"/>
  </r>
  <r>
    <n v="2557"/>
    <n v="17755"/>
    <x v="3"/>
    <n v="32307.65"/>
    <x v="0"/>
    <n v="8"/>
    <x v="1"/>
    <d v="2024-03-11T00:00:00"/>
    <d v="2024-03-19T00:00:00"/>
    <x v="5"/>
  </r>
  <r>
    <n v="2558"/>
    <n v="18986"/>
    <x v="3"/>
    <n v="135790.31"/>
    <x v="1"/>
    <n v="19"/>
    <x v="0"/>
    <d v="2024-05-24T00:00:00"/>
    <d v="2024-06-12T00:00:00"/>
    <x v="3"/>
  </r>
  <r>
    <n v="2559"/>
    <n v="12066"/>
    <x v="1"/>
    <n v="51083.57"/>
    <x v="0"/>
    <n v="28"/>
    <x v="1"/>
    <d v="2024-12-24T00:00:00"/>
    <d v="2025-01-21T00:00:00"/>
    <x v="11"/>
  </r>
  <r>
    <n v="2560"/>
    <n v="18562"/>
    <x v="3"/>
    <n v="90484.27"/>
    <x v="0"/>
    <n v="36"/>
    <x v="3"/>
    <d v="2024-07-27T00:00:00"/>
    <d v="2024-09-01T00:00:00"/>
    <x v="2"/>
  </r>
  <r>
    <n v="2561"/>
    <n v="12538"/>
    <x v="2"/>
    <n v="8288.26"/>
    <x v="0"/>
    <n v="3"/>
    <x v="3"/>
    <d v="2024-12-25T00:00:00"/>
    <d v="2024-12-28T00:00:00"/>
    <x v="11"/>
  </r>
  <r>
    <n v="2562"/>
    <n v="13907"/>
    <x v="2"/>
    <n v="34564.07"/>
    <x v="0"/>
    <n v="33"/>
    <x v="1"/>
    <d v="2024-07-26T00:00:00"/>
    <d v="2024-08-28T00:00:00"/>
    <x v="2"/>
  </r>
  <r>
    <n v="2563"/>
    <n v="16960"/>
    <x v="1"/>
    <n v="22955.7"/>
    <x v="0"/>
    <n v="16"/>
    <x v="1"/>
    <d v="2024-08-09T00:00:00"/>
    <d v="2024-08-25T00:00:00"/>
    <x v="8"/>
  </r>
  <r>
    <n v="2564"/>
    <n v="12596"/>
    <x v="3"/>
    <n v="51750.11"/>
    <x v="0"/>
    <n v="25"/>
    <x v="2"/>
    <d v="2024-10-13T00:00:00"/>
    <d v="2024-11-07T00:00:00"/>
    <x v="6"/>
  </r>
  <r>
    <n v="2565"/>
    <n v="19880"/>
    <x v="1"/>
    <n v="24503.53"/>
    <x v="0"/>
    <n v="21"/>
    <x v="3"/>
    <d v="2024-06-11T00:00:00"/>
    <d v="2024-07-02T00:00:00"/>
    <x v="7"/>
  </r>
  <r>
    <n v="2566"/>
    <n v="13321"/>
    <x v="3"/>
    <n v="139922.46"/>
    <x v="0"/>
    <n v="11"/>
    <x v="1"/>
    <d v="2024-12-30T00:00:00"/>
    <d v="2025-01-10T00:00:00"/>
    <x v="11"/>
  </r>
  <r>
    <n v="2567"/>
    <n v="19330"/>
    <x v="3"/>
    <n v="10662.78"/>
    <x v="0"/>
    <n v="25"/>
    <x v="1"/>
    <d v="2024-03-12T00:00:00"/>
    <d v="2024-04-06T00:00:00"/>
    <x v="5"/>
  </r>
  <r>
    <n v="2568"/>
    <n v="17720"/>
    <x v="3"/>
    <n v="125459.4"/>
    <x v="1"/>
    <n v="25"/>
    <x v="3"/>
    <d v="2024-08-27T00:00:00"/>
    <d v="2024-09-21T00:00:00"/>
    <x v="8"/>
  </r>
  <r>
    <n v="2569"/>
    <n v="12621"/>
    <x v="2"/>
    <n v="32438.03"/>
    <x v="0"/>
    <n v="25"/>
    <x v="1"/>
    <d v="2024-05-06T00:00:00"/>
    <d v="2024-05-31T00:00:00"/>
    <x v="3"/>
  </r>
  <r>
    <n v="2570"/>
    <n v="19357"/>
    <x v="3"/>
    <n v="189306.48"/>
    <x v="1"/>
    <n v="41"/>
    <x v="2"/>
    <d v="2024-03-25T00:00:00"/>
    <d v="2024-05-05T00:00:00"/>
    <x v="5"/>
  </r>
  <r>
    <n v="2571"/>
    <n v="19700"/>
    <x v="1"/>
    <n v="186953.34"/>
    <x v="2"/>
    <m/>
    <x v="3"/>
    <d v="2024-01-15T00:00:00"/>
    <m/>
    <x v="0"/>
  </r>
  <r>
    <n v="2572"/>
    <n v="13841"/>
    <x v="1"/>
    <n v="48973.1"/>
    <x v="1"/>
    <n v="42"/>
    <x v="2"/>
    <d v="2024-09-04T00:00:00"/>
    <d v="2024-10-16T00:00:00"/>
    <x v="9"/>
  </r>
  <r>
    <n v="2573"/>
    <n v="14558"/>
    <x v="3"/>
    <n v="124812.15"/>
    <x v="0"/>
    <n v="41"/>
    <x v="2"/>
    <d v="2024-11-07T00:00:00"/>
    <d v="2024-12-18T00:00:00"/>
    <x v="1"/>
  </r>
  <r>
    <n v="2574"/>
    <n v="14918"/>
    <x v="3"/>
    <n v="10461.040000000001"/>
    <x v="0"/>
    <n v="12"/>
    <x v="2"/>
    <d v="2024-10-09T00:00:00"/>
    <d v="2024-10-21T00:00:00"/>
    <x v="6"/>
  </r>
  <r>
    <n v="2575"/>
    <n v="18715"/>
    <x v="2"/>
    <n v="186698.77"/>
    <x v="2"/>
    <m/>
    <x v="2"/>
    <d v="2024-01-02T00:00:00"/>
    <m/>
    <x v="0"/>
  </r>
  <r>
    <n v="2576"/>
    <n v="14339"/>
    <x v="1"/>
    <n v="106982.53"/>
    <x v="0"/>
    <n v="2"/>
    <x v="3"/>
    <d v="2024-03-14T00:00:00"/>
    <d v="2024-03-16T00:00:00"/>
    <x v="5"/>
  </r>
  <r>
    <n v="2577"/>
    <n v="10238"/>
    <x v="1"/>
    <n v="13428.51"/>
    <x v="0"/>
    <n v="31"/>
    <x v="2"/>
    <d v="2024-03-04T00:00:00"/>
    <d v="2024-04-04T00:00:00"/>
    <x v="5"/>
  </r>
  <r>
    <n v="2578"/>
    <n v="11220"/>
    <x v="3"/>
    <n v="71787.5"/>
    <x v="0"/>
    <n v="44"/>
    <x v="2"/>
    <d v="2024-09-17T00:00:00"/>
    <d v="2024-10-31T00:00:00"/>
    <x v="9"/>
  </r>
  <r>
    <n v="2579"/>
    <n v="10768"/>
    <x v="3"/>
    <n v="19985.650000000001"/>
    <x v="0"/>
    <n v="19"/>
    <x v="1"/>
    <d v="2024-12-12T00:00:00"/>
    <d v="2024-12-31T00:00:00"/>
    <x v="11"/>
  </r>
  <r>
    <n v="2580"/>
    <n v="18426"/>
    <x v="3"/>
    <n v="81624.17"/>
    <x v="2"/>
    <m/>
    <x v="3"/>
    <d v="2024-11-19T00:00:00"/>
    <m/>
    <x v="1"/>
  </r>
  <r>
    <n v="2581"/>
    <n v="16330"/>
    <x v="3"/>
    <n v="135635.64000000001"/>
    <x v="0"/>
    <n v="10"/>
    <x v="3"/>
    <d v="2024-08-26T00:00:00"/>
    <d v="2024-09-05T00:00:00"/>
    <x v="8"/>
  </r>
  <r>
    <n v="2582"/>
    <n v="17388"/>
    <x v="3"/>
    <n v="96628.53"/>
    <x v="0"/>
    <n v="10"/>
    <x v="0"/>
    <d v="2024-12-02T00:00:00"/>
    <d v="2024-12-12T00:00:00"/>
    <x v="11"/>
  </r>
  <r>
    <n v="2583"/>
    <n v="14592"/>
    <x v="0"/>
    <n v="79825.820000000007"/>
    <x v="0"/>
    <n v="2"/>
    <x v="3"/>
    <d v="2024-12-06T00:00:00"/>
    <d v="2024-12-08T00:00:00"/>
    <x v="11"/>
  </r>
  <r>
    <n v="2584"/>
    <n v="19711"/>
    <x v="3"/>
    <n v="28235.62"/>
    <x v="0"/>
    <n v="8"/>
    <x v="3"/>
    <d v="2024-10-05T00:00:00"/>
    <d v="2024-10-13T00:00:00"/>
    <x v="6"/>
  </r>
  <r>
    <n v="2585"/>
    <n v="17617"/>
    <x v="3"/>
    <n v="52763.11"/>
    <x v="0"/>
    <n v="43"/>
    <x v="0"/>
    <d v="2024-12-18T00:00:00"/>
    <d v="2025-01-30T00:00:00"/>
    <x v="11"/>
  </r>
  <r>
    <n v="2586"/>
    <n v="18082"/>
    <x v="1"/>
    <n v="24527.94"/>
    <x v="0"/>
    <n v="17"/>
    <x v="3"/>
    <d v="2024-07-19T00:00:00"/>
    <d v="2024-08-05T00:00:00"/>
    <x v="2"/>
  </r>
  <r>
    <n v="2587"/>
    <n v="17579"/>
    <x v="1"/>
    <n v="162462.25"/>
    <x v="1"/>
    <n v="39"/>
    <x v="3"/>
    <d v="2024-10-19T00:00:00"/>
    <d v="2024-11-27T00:00:00"/>
    <x v="6"/>
  </r>
  <r>
    <n v="2588"/>
    <n v="19127"/>
    <x v="3"/>
    <n v="31371.77"/>
    <x v="0"/>
    <n v="12"/>
    <x v="3"/>
    <d v="2024-10-12T00:00:00"/>
    <d v="2024-10-24T00:00:00"/>
    <x v="6"/>
  </r>
  <r>
    <n v="2589"/>
    <n v="19460"/>
    <x v="1"/>
    <n v="121097.81"/>
    <x v="1"/>
    <n v="26"/>
    <x v="3"/>
    <d v="2024-08-08T00:00:00"/>
    <d v="2024-09-03T00:00:00"/>
    <x v="8"/>
  </r>
  <r>
    <n v="2590"/>
    <n v="16456"/>
    <x v="3"/>
    <n v="71834.38"/>
    <x v="0"/>
    <n v="30"/>
    <x v="0"/>
    <d v="2024-06-10T00:00:00"/>
    <d v="2024-07-10T00:00:00"/>
    <x v="7"/>
  </r>
  <r>
    <n v="2591"/>
    <n v="19010"/>
    <x v="3"/>
    <n v="49065.79"/>
    <x v="0"/>
    <n v="20"/>
    <x v="3"/>
    <d v="2024-07-01T00:00:00"/>
    <d v="2024-07-21T00:00:00"/>
    <x v="2"/>
  </r>
  <r>
    <n v="2592"/>
    <n v="14117"/>
    <x v="3"/>
    <n v="129696.35"/>
    <x v="0"/>
    <n v="19"/>
    <x v="3"/>
    <d v="2024-09-21T00:00:00"/>
    <d v="2024-10-10T00:00:00"/>
    <x v="9"/>
  </r>
  <r>
    <n v="2593"/>
    <n v="12439"/>
    <x v="0"/>
    <n v="94115.45"/>
    <x v="0"/>
    <n v="30"/>
    <x v="0"/>
    <d v="2024-05-11T00:00:00"/>
    <d v="2024-06-10T00:00:00"/>
    <x v="3"/>
  </r>
  <r>
    <n v="2594"/>
    <n v="19280"/>
    <x v="3"/>
    <n v="83028.37"/>
    <x v="1"/>
    <n v="17"/>
    <x v="1"/>
    <d v="2024-11-17T00:00:00"/>
    <d v="2024-12-04T00:00:00"/>
    <x v="1"/>
  </r>
  <r>
    <n v="2595"/>
    <n v="16086"/>
    <x v="3"/>
    <n v="120606.14"/>
    <x v="1"/>
    <n v="41"/>
    <x v="2"/>
    <d v="2024-04-29T00:00:00"/>
    <d v="2024-06-09T00:00:00"/>
    <x v="10"/>
  </r>
  <r>
    <n v="2596"/>
    <n v="14824"/>
    <x v="3"/>
    <n v="100797.19"/>
    <x v="0"/>
    <n v="9"/>
    <x v="1"/>
    <d v="2024-08-06T00:00:00"/>
    <d v="2024-08-15T00:00:00"/>
    <x v="8"/>
  </r>
  <r>
    <n v="2597"/>
    <n v="19965"/>
    <x v="0"/>
    <n v="64179.42"/>
    <x v="0"/>
    <n v="35"/>
    <x v="0"/>
    <d v="2024-06-08T00:00:00"/>
    <d v="2024-07-13T00:00:00"/>
    <x v="7"/>
  </r>
  <r>
    <n v="2598"/>
    <n v="18391"/>
    <x v="3"/>
    <n v="114016.95"/>
    <x v="1"/>
    <n v="7"/>
    <x v="2"/>
    <d v="2024-10-26T00:00:00"/>
    <d v="2024-11-02T00:00:00"/>
    <x v="6"/>
  </r>
  <r>
    <n v="2599"/>
    <n v="18369"/>
    <x v="3"/>
    <n v="135552.22"/>
    <x v="0"/>
    <n v="31"/>
    <x v="0"/>
    <d v="2024-04-18T00:00:00"/>
    <d v="2024-05-19T00:00:00"/>
    <x v="10"/>
  </r>
  <r>
    <n v="2600"/>
    <n v="15542"/>
    <x v="3"/>
    <n v="10205.17"/>
    <x v="0"/>
    <n v="35"/>
    <x v="0"/>
    <d v="2024-08-25T00:00:00"/>
    <d v="2024-09-29T00:00:00"/>
    <x v="8"/>
  </r>
  <r>
    <n v="2601"/>
    <n v="19122"/>
    <x v="3"/>
    <n v="95844.99"/>
    <x v="2"/>
    <m/>
    <x v="3"/>
    <d v="2024-10-19T00:00:00"/>
    <m/>
    <x v="6"/>
  </r>
  <r>
    <n v="2602"/>
    <n v="12036"/>
    <x v="1"/>
    <n v="16248.24"/>
    <x v="0"/>
    <n v="13"/>
    <x v="2"/>
    <d v="2024-03-07T00:00:00"/>
    <d v="2024-03-20T00:00:00"/>
    <x v="5"/>
  </r>
  <r>
    <n v="2603"/>
    <n v="19677"/>
    <x v="1"/>
    <n v="41349.06"/>
    <x v="2"/>
    <m/>
    <x v="3"/>
    <d v="2024-11-11T00:00:00"/>
    <m/>
    <x v="1"/>
  </r>
  <r>
    <n v="2604"/>
    <n v="12091"/>
    <x v="3"/>
    <n v="114299.2"/>
    <x v="0"/>
    <n v="40"/>
    <x v="2"/>
    <d v="2024-07-05T00:00:00"/>
    <d v="2024-08-14T00:00:00"/>
    <x v="2"/>
  </r>
  <r>
    <n v="2605"/>
    <n v="15550"/>
    <x v="3"/>
    <n v="173906.84"/>
    <x v="1"/>
    <n v="7"/>
    <x v="0"/>
    <d v="2024-02-05T00:00:00"/>
    <d v="2024-02-12T00:00:00"/>
    <x v="4"/>
  </r>
  <r>
    <n v="2606"/>
    <n v="14263"/>
    <x v="3"/>
    <n v="177147.11"/>
    <x v="0"/>
    <n v="5"/>
    <x v="0"/>
    <d v="2024-02-18T00:00:00"/>
    <d v="2024-02-23T00:00:00"/>
    <x v="4"/>
  </r>
  <r>
    <n v="2607"/>
    <n v="16430"/>
    <x v="3"/>
    <n v="18639.080000000002"/>
    <x v="0"/>
    <n v="10"/>
    <x v="1"/>
    <d v="2024-09-12T00:00:00"/>
    <d v="2024-09-22T00:00:00"/>
    <x v="9"/>
  </r>
  <r>
    <n v="2608"/>
    <n v="12384"/>
    <x v="3"/>
    <n v="86725.49"/>
    <x v="0"/>
    <n v="6"/>
    <x v="2"/>
    <d v="2024-04-16T00:00:00"/>
    <d v="2024-04-22T00:00:00"/>
    <x v="10"/>
  </r>
  <r>
    <n v="2609"/>
    <n v="16326"/>
    <x v="1"/>
    <n v="118686.26"/>
    <x v="0"/>
    <n v="11"/>
    <x v="3"/>
    <d v="2024-01-08T00:00:00"/>
    <d v="2024-01-19T00:00:00"/>
    <x v="0"/>
  </r>
  <r>
    <n v="2610"/>
    <n v="18207"/>
    <x v="2"/>
    <n v="33678.629999999997"/>
    <x v="0"/>
    <n v="9"/>
    <x v="1"/>
    <d v="2024-08-23T00:00:00"/>
    <d v="2024-09-01T00:00:00"/>
    <x v="8"/>
  </r>
  <r>
    <n v="2611"/>
    <n v="17663"/>
    <x v="2"/>
    <n v="154259.28"/>
    <x v="0"/>
    <n v="24"/>
    <x v="1"/>
    <d v="2024-06-26T00:00:00"/>
    <d v="2024-07-20T00:00:00"/>
    <x v="7"/>
  </r>
  <r>
    <n v="2612"/>
    <n v="19028"/>
    <x v="0"/>
    <n v="150125.88"/>
    <x v="0"/>
    <n v="5"/>
    <x v="1"/>
    <d v="2024-08-29T00:00:00"/>
    <d v="2024-09-03T00:00:00"/>
    <x v="8"/>
  </r>
  <r>
    <n v="2613"/>
    <n v="17721"/>
    <x v="1"/>
    <n v="181151.5"/>
    <x v="1"/>
    <n v="38"/>
    <x v="3"/>
    <d v="2024-02-10T00:00:00"/>
    <d v="2024-03-19T00:00:00"/>
    <x v="4"/>
  </r>
  <r>
    <n v="2614"/>
    <n v="12157"/>
    <x v="1"/>
    <n v="6654.77"/>
    <x v="0"/>
    <n v="8"/>
    <x v="1"/>
    <d v="2024-12-22T00:00:00"/>
    <d v="2024-12-30T00:00:00"/>
    <x v="11"/>
  </r>
  <r>
    <n v="2615"/>
    <n v="19768"/>
    <x v="3"/>
    <n v="47253.43"/>
    <x v="0"/>
    <n v="7"/>
    <x v="3"/>
    <d v="2024-09-01T00:00:00"/>
    <d v="2024-09-08T00:00:00"/>
    <x v="9"/>
  </r>
  <r>
    <n v="2616"/>
    <n v="10305"/>
    <x v="1"/>
    <n v="166301.41"/>
    <x v="0"/>
    <n v="43"/>
    <x v="1"/>
    <d v="2024-04-22T00:00:00"/>
    <d v="2024-06-04T00:00:00"/>
    <x v="10"/>
  </r>
  <r>
    <n v="2617"/>
    <n v="17123"/>
    <x v="3"/>
    <n v="135763.10999999999"/>
    <x v="0"/>
    <n v="16"/>
    <x v="3"/>
    <d v="2024-12-30T00:00:00"/>
    <d v="2025-01-15T00:00:00"/>
    <x v="11"/>
  </r>
  <r>
    <n v="2618"/>
    <n v="12053"/>
    <x v="3"/>
    <n v="179406.02"/>
    <x v="0"/>
    <n v="36"/>
    <x v="0"/>
    <d v="2024-09-12T00:00:00"/>
    <d v="2024-10-18T00:00:00"/>
    <x v="9"/>
  </r>
  <r>
    <n v="2619"/>
    <n v="15812"/>
    <x v="1"/>
    <n v="16150.03"/>
    <x v="0"/>
    <n v="33"/>
    <x v="0"/>
    <d v="2024-06-14T00:00:00"/>
    <d v="2024-07-17T00:00:00"/>
    <x v="7"/>
  </r>
  <r>
    <n v="2620"/>
    <n v="13344"/>
    <x v="3"/>
    <n v="121407.97"/>
    <x v="1"/>
    <n v="15"/>
    <x v="0"/>
    <d v="2024-12-07T00:00:00"/>
    <d v="2024-12-22T00:00:00"/>
    <x v="11"/>
  </r>
  <r>
    <n v="2621"/>
    <n v="14456"/>
    <x v="3"/>
    <n v="115964.08"/>
    <x v="0"/>
    <n v="36"/>
    <x v="0"/>
    <d v="2024-03-18T00:00:00"/>
    <d v="2024-04-23T00:00:00"/>
    <x v="5"/>
  </r>
  <r>
    <n v="2622"/>
    <n v="11208"/>
    <x v="2"/>
    <n v="11956.51"/>
    <x v="0"/>
    <n v="12"/>
    <x v="0"/>
    <d v="2024-07-25T00:00:00"/>
    <d v="2024-08-06T00:00:00"/>
    <x v="2"/>
  </r>
  <r>
    <n v="2623"/>
    <n v="11858"/>
    <x v="3"/>
    <n v="105136.8"/>
    <x v="1"/>
    <n v="11"/>
    <x v="1"/>
    <d v="2024-11-06T00:00:00"/>
    <d v="2024-11-17T00:00:00"/>
    <x v="1"/>
  </r>
  <r>
    <n v="2624"/>
    <n v="12703"/>
    <x v="3"/>
    <n v="123856.46"/>
    <x v="1"/>
    <n v="18"/>
    <x v="1"/>
    <d v="2024-07-14T00:00:00"/>
    <d v="2024-08-01T00:00:00"/>
    <x v="2"/>
  </r>
  <r>
    <n v="2625"/>
    <n v="11971"/>
    <x v="2"/>
    <n v="42302.17"/>
    <x v="0"/>
    <n v="14"/>
    <x v="1"/>
    <d v="2024-11-16T00:00:00"/>
    <d v="2024-11-30T00:00:00"/>
    <x v="1"/>
  </r>
  <r>
    <n v="2626"/>
    <n v="11113"/>
    <x v="1"/>
    <n v="58299.27"/>
    <x v="1"/>
    <n v="35"/>
    <x v="3"/>
    <d v="2024-03-04T00:00:00"/>
    <d v="2024-04-08T00:00:00"/>
    <x v="5"/>
  </r>
  <r>
    <n v="2627"/>
    <n v="10983"/>
    <x v="1"/>
    <n v="129867.73"/>
    <x v="0"/>
    <n v="6"/>
    <x v="3"/>
    <d v="2024-05-19T00:00:00"/>
    <d v="2024-05-25T00:00:00"/>
    <x v="3"/>
  </r>
  <r>
    <n v="2628"/>
    <n v="12127"/>
    <x v="3"/>
    <n v="96318.68"/>
    <x v="1"/>
    <n v="11"/>
    <x v="3"/>
    <d v="2024-02-11T00:00:00"/>
    <d v="2024-02-22T00:00:00"/>
    <x v="4"/>
  </r>
  <r>
    <n v="2629"/>
    <n v="13639"/>
    <x v="3"/>
    <n v="172312.66"/>
    <x v="0"/>
    <n v="33"/>
    <x v="3"/>
    <d v="2024-11-01T00:00:00"/>
    <d v="2024-12-04T00:00:00"/>
    <x v="1"/>
  </r>
  <r>
    <n v="2630"/>
    <n v="17476"/>
    <x v="0"/>
    <n v="71764.44"/>
    <x v="0"/>
    <n v="13"/>
    <x v="0"/>
    <d v="2024-07-27T00:00:00"/>
    <d v="2024-08-09T00:00:00"/>
    <x v="2"/>
  </r>
  <r>
    <n v="2631"/>
    <n v="10560"/>
    <x v="1"/>
    <n v="56998.63"/>
    <x v="2"/>
    <m/>
    <x v="0"/>
    <d v="2024-10-30T00:00:00"/>
    <m/>
    <x v="6"/>
  </r>
  <r>
    <n v="2632"/>
    <n v="16652"/>
    <x v="1"/>
    <n v="197048.86"/>
    <x v="0"/>
    <n v="22"/>
    <x v="0"/>
    <d v="2024-03-13T00:00:00"/>
    <d v="2024-04-04T00:00:00"/>
    <x v="5"/>
  </r>
  <r>
    <n v="2633"/>
    <n v="14387"/>
    <x v="3"/>
    <n v="182671.48"/>
    <x v="0"/>
    <n v="34"/>
    <x v="2"/>
    <d v="2024-06-01T00:00:00"/>
    <d v="2024-07-05T00:00:00"/>
    <x v="7"/>
  </r>
  <r>
    <n v="2634"/>
    <n v="12932"/>
    <x v="3"/>
    <n v="10653.59"/>
    <x v="0"/>
    <n v="42"/>
    <x v="1"/>
    <d v="2024-05-14T00:00:00"/>
    <d v="2024-06-25T00:00:00"/>
    <x v="3"/>
  </r>
  <r>
    <n v="2635"/>
    <n v="18482"/>
    <x v="2"/>
    <n v="155292.07999999999"/>
    <x v="0"/>
    <n v="33"/>
    <x v="3"/>
    <d v="2024-12-27T00:00:00"/>
    <d v="2025-01-29T00:00:00"/>
    <x v="11"/>
  </r>
  <r>
    <n v="2636"/>
    <n v="11909"/>
    <x v="3"/>
    <n v="26515.279999999999"/>
    <x v="0"/>
    <n v="13"/>
    <x v="3"/>
    <d v="2024-09-20T00:00:00"/>
    <d v="2024-10-03T00:00:00"/>
    <x v="9"/>
  </r>
  <r>
    <n v="2637"/>
    <n v="17230"/>
    <x v="1"/>
    <n v="10359.61"/>
    <x v="0"/>
    <n v="36"/>
    <x v="0"/>
    <d v="2024-08-03T00:00:00"/>
    <d v="2024-09-08T00:00:00"/>
    <x v="8"/>
  </r>
  <r>
    <n v="2638"/>
    <n v="11428"/>
    <x v="3"/>
    <n v="58370.63"/>
    <x v="0"/>
    <n v="37"/>
    <x v="3"/>
    <d v="2024-07-27T00:00:00"/>
    <d v="2024-09-02T00:00:00"/>
    <x v="2"/>
  </r>
  <r>
    <n v="2639"/>
    <n v="10947"/>
    <x v="1"/>
    <n v="57522.45"/>
    <x v="0"/>
    <n v="39"/>
    <x v="3"/>
    <d v="2024-07-22T00:00:00"/>
    <d v="2024-08-30T00:00:00"/>
    <x v="2"/>
  </r>
  <r>
    <n v="2640"/>
    <n v="11348"/>
    <x v="2"/>
    <n v="164767.16"/>
    <x v="0"/>
    <n v="29"/>
    <x v="1"/>
    <d v="2024-04-19T00:00:00"/>
    <d v="2024-05-18T00:00:00"/>
    <x v="10"/>
  </r>
  <r>
    <n v="2641"/>
    <n v="18572"/>
    <x v="1"/>
    <n v="143580.10999999999"/>
    <x v="0"/>
    <n v="14"/>
    <x v="0"/>
    <d v="2024-01-31T00:00:00"/>
    <d v="2024-02-14T00:00:00"/>
    <x v="0"/>
  </r>
  <r>
    <n v="2642"/>
    <n v="19896"/>
    <x v="3"/>
    <n v="196413.84"/>
    <x v="0"/>
    <n v="13"/>
    <x v="1"/>
    <d v="2024-01-12T00:00:00"/>
    <d v="2024-01-25T00:00:00"/>
    <x v="0"/>
  </r>
  <r>
    <n v="2643"/>
    <n v="10309"/>
    <x v="1"/>
    <n v="143745.01999999999"/>
    <x v="2"/>
    <m/>
    <x v="2"/>
    <d v="2024-05-06T00:00:00"/>
    <m/>
    <x v="3"/>
  </r>
  <r>
    <n v="2644"/>
    <n v="13414"/>
    <x v="1"/>
    <n v="86559.83"/>
    <x v="0"/>
    <n v="3"/>
    <x v="2"/>
    <d v="2024-11-08T00:00:00"/>
    <d v="2024-11-11T00:00:00"/>
    <x v="1"/>
  </r>
  <r>
    <n v="2645"/>
    <n v="15789"/>
    <x v="3"/>
    <n v="141290.89000000001"/>
    <x v="0"/>
    <n v="30"/>
    <x v="2"/>
    <d v="2024-07-12T00:00:00"/>
    <d v="2024-08-11T00:00:00"/>
    <x v="2"/>
  </r>
  <r>
    <n v="2646"/>
    <n v="19690"/>
    <x v="0"/>
    <n v="199894.52"/>
    <x v="1"/>
    <n v="14"/>
    <x v="0"/>
    <d v="2024-05-19T00:00:00"/>
    <d v="2024-06-02T00:00:00"/>
    <x v="3"/>
  </r>
  <r>
    <n v="2647"/>
    <n v="16568"/>
    <x v="1"/>
    <n v="143477.67000000001"/>
    <x v="1"/>
    <n v="36"/>
    <x v="3"/>
    <d v="2024-01-27T00:00:00"/>
    <d v="2024-03-03T00:00:00"/>
    <x v="0"/>
  </r>
  <r>
    <n v="2648"/>
    <n v="18852"/>
    <x v="0"/>
    <n v="153527.85999999999"/>
    <x v="0"/>
    <n v="14"/>
    <x v="0"/>
    <d v="2024-02-15T00:00:00"/>
    <d v="2024-02-29T00:00:00"/>
    <x v="4"/>
  </r>
  <r>
    <n v="2649"/>
    <n v="13447"/>
    <x v="1"/>
    <n v="187981.18"/>
    <x v="1"/>
    <n v="35"/>
    <x v="0"/>
    <d v="2024-05-14T00:00:00"/>
    <d v="2024-06-18T00:00:00"/>
    <x v="3"/>
  </r>
  <r>
    <n v="2650"/>
    <n v="12273"/>
    <x v="3"/>
    <n v="27162"/>
    <x v="0"/>
    <n v="20"/>
    <x v="3"/>
    <d v="2024-11-12T00:00:00"/>
    <d v="2024-12-02T00:00:00"/>
    <x v="1"/>
  </r>
  <r>
    <n v="2651"/>
    <n v="19689"/>
    <x v="3"/>
    <n v="142432.94"/>
    <x v="1"/>
    <n v="10"/>
    <x v="1"/>
    <d v="2024-02-27T00:00:00"/>
    <d v="2024-03-08T00:00:00"/>
    <x v="4"/>
  </r>
  <r>
    <n v="2652"/>
    <n v="12142"/>
    <x v="3"/>
    <n v="170907.16"/>
    <x v="0"/>
    <n v="32"/>
    <x v="2"/>
    <d v="2024-01-13T00:00:00"/>
    <d v="2024-02-14T00:00:00"/>
    <x v="0"/>
  </r>
  <r>
    <n v="2653"/>
    <n v="19797"/>
    <x v="2"/>
    <n v="191103.83"/>
    <x v="0"/>
    <n v="34"/>
    <x v="1"/>
    <d v="2024-04-09T00:00:00"/>
    <d v="2024-05-13T00:00:00"/>
    <x v="10"/>
  </r>
  <r>
    <n v="2654"/>
    <n v="14739"/>
    <x v="1"/>
    <n v="46139.01"/>
    <x v="0"/>
    <n v="28"/>
    <x v="2"/>
    <d v="2024-02-18T00:00:00"/>
    <d v="2024-03-17T00:00:00"/>
    <x v="4"/>
  </r>
  <r>
    <n v="2655"/>
    <n v="19623"/>
    <x v="1"/>
    <n v="103266.16"/>
    <x v="1"/>
    <n v="3"/>
    <x v="0"/>
    <d v="2024-10-17T00:00:00"/>
    <d v="2024-10-20T00:00:00"/>
    <x v="6"/>
  </r>
  <r>
    <n v="2656"/>
    <n v="10458"/>
    <x v="3"/>
    <n v="137708.20000000001"/>
    <x v="0"/>
    <n v="16"/>
    <x v="2"/>
    <d v="2024-04-03T00:00:00"/>
    <d v="2024-04-19T00:00:00"/>
    <x v="10"/>
  </r>
  <r>
    <n v="2657"/>
    <n v="17580"/>
    <x v="3"/>
    <n v="53256.21"/>
    <x v="0"/>
    <n v="20"/>
    <x v="0"/>
    <d v="2024-04-04T00:00:00"/>
    <d v="2024-04-24T00:00:00"/>
    <x v="10"/>
  </r>
  <r>
    <n v="2658"/>
    <n v="10337"/>
    <x v="1"/>
    <n v="122092.21"/>
    <x v="0"/>
    <n v="32"/>
    <x v="1"/>
    <d v="2024-05-24T00:00:00"/>
    <d v="2024-06-25T00:00:00"/>
    <x v="3"/>
  </r>
  <r>
    <n v="2659"/>
    <n v="15450"/>
    <x v="3"/>
    <n v="55227.86"/>
    <x v="2"/>
    <m/>
    <x v="0"/>
    <d v="2024-03-12T00:00:00"/>
    <m/>
    <x v="5"/>
  </r>
  <r>
    <n v="2660"/>
    <n v="17380"/>
    <x v="3"/>
    <n v="70024.12"/>
    <x v="1"/>
    <n v="44"/>
    <x v="1"/>
    <d v="2024-01-10T00:00:00"/>
    <d v="2024-02-23T00:00:00"/>
    <x v="0"/>
  </r>
  <r>
    <n v="2661"/>
    <n v="14020"/>
    <x v="1"/>
    <n v="91096.15"/>
    <x v="0"/>
    <n v="16"/>
    <x v="3"/>
    <d v="2024-06-10T00:00:00"/>
    <d v="2024-06-26T00:00:00"/>
    <x v="7"/>
  </r>
  <r>
    <n v="2662"/>
    <n v="18536"/>
    <x v="3"/>
    <n v="108192.07"/>
    <x v="0"/>
    <n v="7"/>
    <x v="3"/>
    <d v="2024-08-01T00:00:00"/>
    <d v="2024-08-08T00:00:00"/>
    <x v="8"/>
  </r>
  <r>
    <n v="2663"/>
    <n v="15643"/>
    <x v="3"/>
    <n v="92626.34"/>
    <x v="0"/>
    <n v="15"/>
    <x v="3"/>
    <d v="2024-01-04T00:00:00"/>
    <d v="2024-01-19T00:00:00"/>
    <x v="0"/>
  </r>
  <r>
    <n v="2664"/>
    <n v="10942"/>
    <x v="3"/>
    <n v="101173.13"/>
    <x v="0"/>
    <n v="28"/>
    <x v="0"/>
    <d v="2024-08-11T00:00:00"/>
    <d v="2024-09-08T00:00:00"/>
    <x v="8"/>
  </r>
  <r>
    <n v="2665"/>
    <n v="10345"/>
    <x v="3"/>
    <n v="63224.81"/>
    <x v="2"/>
    <m/>
    <x v="3"/>
    <d v="2024-01-29T00:00:00"/>
    <m/>
    <x v="0"/>
  </r>
  <r>
    <n v="2666"/>
    <n v="13894"/>
    <x v="2"/>
    <n v="35998.19"/>
    <x v="0"/>
    <n v="20"/>
    <x v="2"/>
    <d v="2024-10-28T00:00:00"/>
    <d v="2024-11-17T00:00:00"/>
    <x v="6"/>
  </r>
  <r>
    <n v="2667"/>
    <n v="18516"/>
    <x v="3"/>
    <n v="14233.25"/>
    <x v="0"/>
    <n v="38"/>
    <x v="1"/>
    <d v="2024-07-21T00:00:00"/>
    <d v="2024-08-28T00:00:00"/>
    <x v="2"/>
  </r>
  <r>
    <n v="2668"/>
    <n v="16610"/>
    <x v="3"/>
    <n v="43215.85"/>
    <x v="0"/>
    <n v="44"/>
    <x v="1"/>
    <d v="2024-03-17T00:00:00"/>
    <d v="2024-04-30T00:00:00"/>
    <x v="5"/>
  </r>
  <r>
    <n v="2669"/>
    <n v="12138"/>
    <x v="3"/>
    <n v="118479.01"/>
    <x v="0"/>
    <n v="5"/>
    <x v="2"/>
    <d v="2024-02-28T00:00:00"/>
    <d v="2024-03-04T00:00:00"/>
    <x v="4"/>
  </r>
  <r>
    <n v="2670"/>
    <n v="14389"/>
    <x v="1"/>
    <n v="158292.51"/>
    <x v="0"/>
    <n v="27"/>
    <x v="0"/>
    <d v="2024-07-14T00:00:00"/>
    <d v="2024-08-10T00:00:00"/>
    <x v="2"/>
  </r>
  <r>
    <n v="2671"/>
    <n v="18715"/>
    <x v="3"/>
    <n v="38003.279999999999"/>
    <x v="0"/>
    <n v="10"/>
    <x v="0"/>
    <d v="2024-11-17T00:00:00"/>
    <d v="2024-11-27T00:00:00"/>
    <x v="1"/>
  </r>
  <r>
    <n v="2672"/>
    <n v="17826"/>
    <x v="1"/>
    <n v="26168.29"/>
    <x v="0"/>
    <n v="42"/>
    <x v="1"/>
    <d v="2024-04-16T00:00:00"/>
    <d v="2024-05-28T00:00:00"/>
    <x v="10"/>
  </r>
  <r>
    <n v="2673"/>
    <n v="17816"/>
    <x v="3"/>
    <n v="151111.62"/>
    <x v="0"/>
    <n v="41"/>
    <x v="3"/>
    <d v="2024-12-07T00:00:00"/>
    <d v="2025-01-17T00:00:00"/>
    <x v="11"/>
  </r>
  <r>
    <n v="2674"/>
    <n v="10258"/>
    <x v="3"/>
    <n v="64505.87"/>
    <x v="0"/>
    <n v="16"/>
    <x v="0"/>
    <d v="2024-01-09T00:00:00"/>
    <d v="2024-01-25T00:00:00"/>
    <x v="0"/>
  </r>
  <r>
    <n v="2675"/>
    <n v="11110"/>
    <x v="3"/>
    <n v="190542.39"/>
    <x v="0"/>
    <n v="42"/>
    <x v="0"/>
    <d v="2024-01-20T00:00:00"/>
    <d v="2024-03-02T00:00:00"/>
    <x v="0"/>
  </r>
  <r>
    <n v="2676"/>
    <n v="17325"/>
    <x v="0"/>
    <n v="144292"/>
    <x v="0"/>
    <n v="38"/>
    <x v="2"/>
    <d v="2024-05-28T00:00:00"/>
    <d v="2024-07-05T00:00:00"/>
    <x v="3"/>
  </r>
  <r>
    <n v="2677"/>
    <n v="16487"/>
    <x v="0"/>
    <n v="68717.429999999993"/>
    <x v="1"/>
    <n v="5"/>
    <x v="2"/>
    <d v="2024-01-17T00:00:00"/>
    <d v="2024-01-22T00:00:00"/>
    <x v="0"/>
  </r>
  <r>
    <n v="2678"/>
    <n v="10820"/>
    <x v="3"/>
    <n v="61460.84"/>
    <x v="0"/>
    <n v="27"/>
    <x v="3"/>
    <d v="2024-01-12T00:00:00"/>
    <d v="2024-02-08T00:00:00"/>
    <x v="0"/>
  </r>
  <r>
    <n v="2679"/>
    <n v="15988"/>
    <x v="1"/>
    <n v="107121.19"/>
    <x v="0"/>
    <n v="19"/>
    <x v="0"/>
    <d v="2024-03-22T00:00:00"/>
    <d v="2024-04-10T00:00:00"/>
    <x v="5"/>
  </r>
  <r>
    <n v="2680"/>
    <n v="15635"/>
    <x v="2"/>
    <n v="20433.21"/>
    <x v="1"/>
    <n v="42"/>
    <x v="0"/>
    <d v="2024-03-07T00:00:00"/>
    <d v="2024-04-18T00:00:00"/>
    <x v="5"/>
  </r>
  <r>
    <n v="2681"/>
    <n v="14664"/>
    <x v="3"/>
    <n v="27946.92"/>
    <x v="0"/>
    <n v="36"/>
    <x v="2"/>
    <d v="2024-05-12T00:00:00"/>
    <d v="2024-06-17T00:00:00"/>
    <x v="3"/>
  </r>
  <r>
    <n v="2682"/>
    <n v="17093"/>
    <x v="0"/>
    <n v="39292.29"/>
    <x v="0"/>
    <n v="42"/>
    <x v="0"/>
    <d v="2024-02-22T00:00:00"/>
    <d v="2024-04-04T00:00:00"/>
    <x v="4"/>
  </r>
  <r>
    <n v="2683"/>
    <n v="14604"/>
    <x v="3"/>
    <n v="156071.1"/>
    <x v="0"/>
    <n v="42"/>
    <x v="1"/>
    <d v="2024-07-24T00:00:00"/>
    <d v="2024-09-04T00:00:00"/>
    <x v="2"/>
  </r>
  <r>
    <n v="2684"/>
    <n v="11563"/>
    <x v="2"/>
    <n v="105202.19"/>
    <x v="0"/>
    <n v="30"/>
    <x v="2"/>
    <d v="2024-08-20T00:00:00"/>
    <d v="2024-09-19T00:00:00"/>
    <x v="8"/>
  </r>
  <r>
    <n v="2685"/>
    <n v="16343"/>
    <x v="1"/>
    <n v="7060.59"/>
    <x v="0"/>
    <n v="25"/>
    <x v="3"/>
    <d v="2024-02-23T00:00:00"/>
    <d v="2024-03-19T00:00:00"/>
    <x v="4"/>
  </r>
  <r>
    <n v="2686"/>
    <n v="19399"/>
    <x v="2"/>
    <n v="136335.72"/>
    <x v="0"/>
    <n v="5"/>
    <x v="2"/>
    <d v="2024-03-08T00:00:00"/>
    <d v="2024-03-13T00:00:00"/>
    <x v="5"/>
  </r>
  <r>
    <n v="2687"/>
    <n v="18500"/>
    <x v="1"/>
    <n v="87619.58"/>
    <x v="1"/>
    <n v="22"/>
    <x v="0"/>
    <d v="2024-10-17T00:00:00"/>
    <d v="2024-11-08T00:00:00"/>
    <x v="6"/>
  </r>
  <r>
    <n v="2688"/>
    <n v="11839"/>
    <x v="3"/>
    <n v="104616.21"/>
    <x v="1"/>
    <n v="40"/>
    <x v="3"/>
    <d v="2024-12-09T00:00:00"/>
    <d v="2025-01-18T00:00:00"/>
    <x v="11"/>
  </r>
  <r>
    <n v="2689"/>
    <n v="17675"/>
    <x v="2"/>
    <n v="46752.67"/>
    <x v="0"/>
    <n v="8"/>
    <x v="2"/>
    <d v="2024-06-17T00:00:00"/>
    <d v="2024-06-25T00:00:00"/>
    <x v="7"/>
  </r>
  <r>
    <n v="2690"/>
    <n v="18001"/>
    <x v="3"/>
    <n v="112597.53"/>
    <x v="0"/>
    <n v="24"/>
    <x v="1"/>
    <d v="2024-06-09T00:00:00"/>
    <d v="2024-07-03T00:00:00"/>
    <x v="7"/>
  </r>
  <r>
    <n v="2691"/>
    <n v="19575"/>
    <x v="3"/>
    <n v="195934.88"/>
    <x v="0"/>
    <n v="41"/>
    <x v="1"/>
    <d v="2024-01-15T00:00:00"/>
    <d v="2024-02-25T00:00:00"/>
    <x v="0"/>
  </r>
  <r>
    <n v="2692"/>
    <n v="12306"/>
    <x v="1"/>
    <n v="19321.71"/>
    <x v="0"/>
    <n v="22"/>
    <x v="2"/>
    <d v="2024-07-09T00:00:00"/>
    <d v="2024-07-31T00:00:00"/>
    <x v="2"/>
  </r>
  <r>
    <n v="2693"/>
    <n v="19372"/>
    <x v="1"/>
    <n v="60363.89"/>
    <x v="0"/>
    <n v="2"/>
    <x v="1"/>
    <d v="2024-01-15T00:00:00"/>
    <d v="2024-01-17T00:00:00"/>
    <x v="0"/>
  </r>
  <r>
    <n v="2694"/>
    <n v="15140"/>
    <x v="2"/>
    <n v="52384.53"/>
    <x v="1"/>
    <n v="42"/>
    <x v="1"/>
    <d v="2024-10-13T00:00:00"/>
    <d v="2024-11-24T00:00:00"/>
    <x v="6"/>
  </r>
  <r>
    <n v="2695"/>
    <n v="12686"/>
    <x v="3"/>
    <n v="53467.12"/>
    <x v="0"/>
    <n v="26"/>
    <x v="1"/>
    <d v="2024-12-28T00:00:00"/>
    <d v="2025-01-23T00:00:00"/>
    <x v="11"/>
  </r>
  <r>
    <n v="2696"/>
    <n v="10960"/>
    <x v="1"/>
    <n v="78847.740000000005"/>
    <x v="2"/>
    <m/>
    <x v="3"/>
    <d v="2024-01-10T00:00:00"/>
    <m/>
    <x v="0"/>
  </r>
  <r>
    <n v="2697"/>
    <n v="18629"/>
    <x v="1"/>
    <n v="164531.41"/>
    <x v="1"/>
    <n v="39"/>
    <x v="1"/>
    <d v="2024-02-26T00:00:00"/>
    <d v="2024-04-05T00:00:00"/>
    <x v="4"/>
  </r>
  <r>
    <n v="2698"/>
    <n v="10455"/>
    <x v="3"/>
    <n v="183007.44"/>
    <x v="1"/>
    <n v="6"/>
    <x v="1"/>
    <d v="2024-07-17T00:00:00"/>
    <d v="2024-07-23T00:00:00"/>
    <x v="2"/>
  </r>
  <r>
    <n v="2699"/>
    <n v="16767"/>
    <x v="3"/>
    <n v="44431.94"/>
    <x v="0"/>
    <n v="32"/>
    <x v="1"/>
    <d v="2024-06-09T00:00:00"/>
    <d v="2024-07-11T00:00:00"/>
    <x v="7"/>
  </r>
  <r>
    <n v="2700"/>
    <n v="13817"/>
    <x v="3"/>
    <n v="110875.24"/>
    <x v="0"/>
    <n v="2"/>
    <x v="3"/>
    <d v="2024-09-19T00:00:00"/>
    <d v="2024-09-21T00:00:00"/>
    <x v="9"/>
  </r>
  <r>
    <n v="2701"/>
    <n v="19761"/>
    <x v="3"/>
    <n v="129195.3"/>
    <x v="0"/>
    <n v="31"/>
    <x v="2"/>
    <d v="2024-09-09T00:00:00"/>
    <d v="2024-10-10T00:00:00"/>
    <x v="9"/>
  </r>
  <r>
    <n v="2702"/>
    <n v="19295"/>
    <x v="2"/>
    <n v="106756.36"/>
    <x v="0"/>
    <n v="19"/>
    <x v="0"/>
    <d v="2024-04-28T00:00:00"/>
    <d v="2024-05-17T00:00:00"/>
    <x v="10"/>
  </r>
  <r>
    <n v="2703"/>
    <n v="19810"/>
    <x v="1"/>
    <n v="89644.9"/>
    <x v="0"/>
    <n v="9"/>
    <x v="1"/>
    <d v="2024-03-20T00:00:00"/>
    <d v="2024-03-29T00:00:00"/>
    <x v="5"/>
  </r>
  <r>
    <n v="2704"/>
    <n v="11512"/>
    <x v="1"/>
    <n v="42435.22"/>
    <x v="0"/>
    <n v="27"/>
    <x v="2"/>
    <d v="2024-05-03T00:00:00"/>
    <d v="2024-05-30T00:00:00"/>
    <x v="3"/>
  </r>
  <r>
    <n v="2705"/>
    <n v="14738"/>
    <x v="2"/>
    <n v="100202.78"/>
    <x v="0"/>
    <n v="41"/>
    <x v="1"/>
    <d v="2024-11-08T00:00:00"/>
    <d v="2024-12-19T00:00:00"/>
    <x v="1"/>
  </r>
  <r>
    <n v="2706"/>
    <n v="10391"/>
    <x v="3"/>
    <n v="83236.89"/>
    <x v="0"/>
    <n v="16"/>
    <x v="3"/>
    <d v="2024-03-12T00:00:00"/>
    <d v="2024-03-28T00:00:00"/>
    <x v="5"/>
  </r>
  <r>
    <n v="2707"/>
    <n v="12621"/>
    <x v="0"/>
    <n v="160134.85999999999"/>
    <x v="1"/>
    <n v="20"/>
    <x v="2"/>
    <d v="2024-06-16T00:00:00"/>
    <d v="2024-07-06T00:00:00"/>
    <x v="7"/>
  </r>
  <r>
    <n v="2708"/>
    <n v="16176"/>
    <x v="3"/>
    <n v="153902.85"/>
    <x v="0"/>
    <n v="11"/>
    <x v="3"/>
    <d v="2024-10-10T00:00:00"/>
    <d v="2024-10-21T00:00:00"/>
    <x v="6"/>
  </r>
  <r>
    <n v="2709"/>
    <n v="19112"/>
    <x v="0"/>
    <n v="31129.74"/>
    <x v="0"/>
    <n v="25"/>
    <x v="1"/>
    <d v="2024-02-05T00:00:00"/>
    <d v="2024-03-01T00:00:00"/>
    <x v="4"/>
  </r>
  <r>
    <n v="2710"/>
    <n v="15719"/>
    <x v="3"/>
    <n v="22261.22"/>
    <x v="0"/>
    <n v="17"/>
    <x v="1"/>
    <d v="2024-11-07T00:00:00"/>
    <d v="2024-11-24T00:00:00"/>
    <x v="1"/>
  </r>
  <r>
    <n v="2711"/>
    <n v="16041"/>
    <x v="2"/>
    <n v="182090.02"/>
    <x v="2"/>
    <m/>
    <x v="3"/>
    <d v="2024-06-23T00:00:00"/>
    <m/>
    <x v="7"/>
  </r>
  <r>
    <n v="2712"/>
    <n v="13600"/>
    <x v="3"/>
    <n v="109424.14"/>
    <x v="0"/>
    <n v="32"/>
    <x v="0"/>
    <d v="2024-07-17T00:00:00"/>
    <d v="2024-08-18T00:00:00"/>
    <x v="2"/>
  </r>
  <r>
    <n v="2713"/>
    <n v="15210"/>
    <x v="3"/>
    <n v="172271.18"/>
    <x v="0"/>
    <n v="17"/>
    <x v="3"/>
    <d v="2024-04-25T00:00:00"/>
    <d v="2024-05-12T00:00:00"/>
    <x v="10"/>
  </r>
  <r>
    <n v="2714"/>
    <n v="14508"/>
    <x v="1"/>
    <n v="16339.47"/>
    <x v="0"/>
    <n v="17"/>
    <x v="1"/>
    <d v="2024-11-10T00:00:00"/>
    <d v="2024-11-27T00:00:00"/>
    <x v="1"/>
  </r>
  <r>
    <n v="2715"/>
    <n v="16442"/>
    <x v="3"/>
    <n v="107670.55"/>
    <x v="2"/>
    <m/>
    <x v="3"/>
    <d v="2024-08-07T00:00:00"/>
    <m/>
    <x v="8"/>
  </r>
  <r>
    <n v="2716"/>
    <n v="17654"/>
    <x v="1"/>
    <n v="110188.17"/>
    <x v="1"/>
    <n v="21"/>
    <x v="0"/>
    <d v="2024-03-06T00:00:00"/>
    <d v="2024-03-27T00:00:00"/>
    <x v="5"/>
  </r>
  <r>
    <n v="2717"/>
    <n v="19980"/>
    <x v="3"/>
    <n v="172836.9"/>
    <x v="0"/>
    <n v="36"/>
    <x v="3"/>
    <d v="2024-09-21T00:00:00"/>
    <d v="2024-10-27T00:00:00"/>
    <x v="9"/>
  </r>
  <r>
    <n v="2718"/>
    <n v="16216"/>
    <x v="1"/>
    <n v="24033.95"/>
    <x v="0"/>
    <n v="10"/>
    <x v="0"/>
    <d v="2024-05-13T00:00:00"/>
    <d v="2024-05-23T00:00:00"/>
    <x v="3"/>
  </r>
  <r>
    <n v="2719"/>
    <n v="17885"/>
    <x v="3"/>
    <n v="51886.879999999997"/>
    <x v="0"/>
    <n v="41"/>
    <x v="0"/>
    <d v="2024-04-28T00:00:00"/>
    <d v="2024-06-08T00:00:00"/>
    <x v="10"/>
  </r>
  <r>
    <n v="2720"/>
    <n v="10260"/>
    <x v="3"/>
    <n v="84274.97"/>
    <x v="0"/>
    <n v="11"/>
    <x v="3"/>
    <d v="2024-05-01T00:00:00"/>
    <d v="2024-05-12T00:00:00"/>
    <x v="3"/>
  </r>
  <r>
    <n v="2721"/>
    <n v="16833"/>
    <x v="3"/>
    <n v="173839.09"/>
    <x v="0"/>
    <n v="19"/>
    <x v="3"/>
    <d v="2024-11-16T00:00:00"/>
    <d v="2024-12-05T00:00:00"/>
    <x v="1"/>
  </r>
  <r>
    <n v="2722"/>
    <n v="19527"/>
    <x v="3"/>
    <n v="188082.25"/>
    <x v="1"/>
    <n v="16"/>
    <x v="2"/>
    <d v="2024-03-27T00:00:00"/>
    <d v="2024-04-12T00:00:00"/>
    <x v="5"/>
  </r>
  <r>
    <n v="2723"/>
    <n v="15944"/>
    <x v="3"/>
    <n v="198581.3"/>
    <x v="2"/>
    <m/>
    <x v="1"/>
    <d v="2024-10-15T00:00:00"/>
    <m/>
    <x v="6"/>
  </r>
  <r>
    <n v="2724"/>
    <n v="16134"/>
    <x v="3"/>
    <n v="192042.73"/>
    <x v="0"/>
    <n v="33"/>
    <x v="0"/>
    <d v="2024-05-16T00:00:00"/>
    <d v="2024-06-18T00:00:00"/>
    <x v="3"/>
  </r>
  <r>
    <n v="2725"/>
    <n v="16875"/>
    <x v="3"/>
    <n v="6158.64"/>
    <x v="0"/>
    <n v="41"/>
    <x v="2"/>
    <d v="2024-02-22T00:00:00"/>
    <d v="2024-04-03T00:00:00"/>
    <x v="4"/>
  </r>
  <r>
    <n v="2726"/>
    <n v="16828"/>
    <x v="3"/>
    <n v="14303.13"/>
    <x v="0"/>
    <n v="28"/>
    <x v="3"/>
    <d v="2024-07-23T00:00:00"/>
    <d v="2024-08-20T00:00:00"/>
    <x v="2"/>
  </r>
  <r>
    <n v="2727"/>
    <n v="10334"/>
    <x v="1"/>
    <n v="33783.33"/>
    <x v="1"/>
    <n v="28"/>
    <x v="1"/>
    <d v="2024-12-13T00:00:00"/>
    <d v="2025-01-10T00:00:00"/>
    <x v="11"/>
  </r>
  <r>
    <n v="2728"/>
    <n v="17669"/>
    <x v="0"/>
    <n v="73028.11"/>
    <x v="1"/>
    <n v="20"/>
    <x v="2"/>
    <d v="2024-02-20T00:00:00"/>
    <d v="2024-03-11T00:00:00"/>
    <x v="4"/>
  </r>
  <r>
    <n v="2729"/>
    <n v="12779"/>
    <x v="3"/>
    <n v="166834.01999999999"/>
    <x v="0"/>
    <n v="11"/>
    <x v="0"/>
    <d v="2024-11-22T00:00:00"/>
    <d v="2024-12-03T00:00:00"/>
    <x v="1"/>
  </r>
  <r>
    <n v="2730"/>
    <n v="18995"/>
    <x v="1"/>
    <n v="179067.96"/>
    <x v="0"/>
    <n v="7"/>
    <x v="2"/>
    <d v="2024-02-09T00:00:00"/>
    <d v="2024-02-16T00:00:00"/>
    <x v="4"/>
  </r>
  <r>
    <n v="2731"/>
    <n v="17328"/>
    <x v="1"/>
    <n v="41432.71"/>
    <x v="0"/>
    <n v="25"/>
    <x v="0"/>
    <d v="2024-09-06T00:00:00"/>
    <d v="2024-10-01T00:00:00"/>
    <x v="9"/>
  </r>
  <r>
    <n v="2732"/>
    <n v="12437"/>
    <x v="3"/>
    <n v="125834.51"/>
    <x v="0"/>
    <n v="10"/>
    <x v="3"/>
    <d v="2024-08-05T00:00:00"/>
    <d v="2024-08-15T00:00:00"/>
    <x v="8"/>
  </r>
  <r>
    <n v="2733"/>
    <n v="12807"/>
    <x v="1"/>
    <n v="183885.59"/>
    <x v="1"/>
    <n v="28"/>
    <x v="1"/>
    <d v="2024-06-27T00:00:00"/>
    <d v="2024-07-25T00:00:00"/>
    <x v="7"/>
  </r>
  <r>
    <n v="2734"/>
    <n v="15190"/>
    <x v="3"/>
    <n v="95427.69"/>
    <x v="0"/>
    <n v="8"/>
    <x v="1"/>
    <d v="2024-02-08T00:00:00"/>
    <d v="2024-02-16T00:00:00"/>
    <x v="4"/>
  </r>
  <r>
    <n v="2735"/>
    <n v="19132"/>
    <x v="1"/>
    <n v="25191"/>
    <x v="1"/>
    <n v="7"/>
    <x v="1"/>
    <d v="2024-07-01T00:00:00"/>
    <d v="2024-07-08T00:00:00"/>
    <x v="2"/>
  </r>
  <r>
    <n v="2736"/>
    <n v="13163"/>
    <x v="3"/>
    <n v="94273.66"/>
    <x v="0"/>
    <n v="34"/>
    <x v="3"/>
    <d v="2024-08-11T00:00:00"/>
    <d v="2024-09-14T00:00:00"/>
    <x v="8"/>
  </r>
  <r>
    <n v="2737"/>
    <n v="19094"/>
    <x v="1"/>
    <n v="78280.009999999995"/>
    <x v="1"/>
    <n v="22"/>
    <x v="0"/>
    <d v="2024-06-12T00:00:00"/>
    <d v="2024-07-04T00:00:00"/>
    <x v="7"/>
  </r>
  <r>
    <n v="2738"/>
    <n v="17488"/>
    <x v="1"/>
    <n v="117643.31"/>
    <x v="0"/>
    <n v="39"/>
    <x v="3"/>
    <d v="2024-08-21T00:00:00"/>
    <d v="2024-09-29T00:00:00"/>
    <x v="8"/>
  </r>
  <r>
    <n v="2739"/>
    <n v="19460"/>
    <x v="3"/>
    <n v="90538.44"/>
    <x v="1"/>
    <n v="18"/>
    <x v="1"/>
    <d v="2024-07-11T00:00:00"/>
    <d v="2024-07-29T00:00:00"/>
    <x v="2"/>
  </r>
  <r>
    <n v="2740"/>
    <n v="10023"/>
    <x v="3"/>
    <n v="8382.4599999999991"/>
    <x v="0"/>
    <n v="32"/>
    <x v="3"/>
    <d v="2024-03-25T00:00:00"/>
    <d v="2024-04-26T00:00:00"/>
    <x v="5"/>
  </r>
  <r>
    <n v="2741"/>
    <n v="14652"/>
    <x v="2"/>
    <n v="198829.56"/>
    <x v="0"/>
    <n v="38"/>
    <x v="3"/>
    <d v="2024-08-30T00:00:00"/>
    <d v="2024-10-07T00:00:00"/>
    <x v="8"/>
  </r>
  <r>
    <n v="2742"/>
    <n v="12748"/>
    <x v="3"/>
    <n v="110990.35"/>
    <x v="0"/>
    <n v="12"/>
    <x v="3"/>
    <d v="2024-06-21T00:00:00"/>
    <d v="2024-07-03T00:00:00"/>
    <x v="7"/>
  </r>
  <r>
    <n v="2743"/>
    <n v="12450"/>
    <x v="1"/>
    <n v="97358"/>
    <x v="0"/>
    <n v="29"/>
    <x v="0"/>
    <d v="2024-02-06T00:00:00"/>
    <d v="2024-03-06T00:00:00"/>
    <x v="4"/>
  </r>
  <r>
    <n v="2744"/>
    <n v="19588"/>
    <x v="2"/>
    <n v="191150.39"/>
    <x v="0"/>
    <n v="6"/>
    <x v="2"/>
    <d v="2024-03-27T00:00:00"/>
    <d v="2024-04-02T00:00:00"/>
    <x v="5"/>
  </r>
  <r>
    <n v="2745"/>
    <n v="18095"/>
    <x v="1"/>
    <n v="35392.769999999997"/>
    <x v="0"/>
    <n v="13"/>
    <x v="2"/>
    <d v="2024-05-08T00:00:00"/>
    <d v="2024-05-21T00:00:00"/>
    <x v="3"/>
  </r>
  <r>
    <n v="2746"/>
    <n v="13357"/>
    <x v="1"/>
    <n v="41901.33"/>
    <x v="2"/>
    <m/>
    <x v="3"/>
    <d v="2024-07-12T00:00:00"/>
    <m/>
    <x v="2"/>
  </r>
  <r>
    <n v="2747"/>
    <n v="18095"/>
    <x v="1"/>
    <n v="162562.88"/>
    <x v="0"/>
    <n v="42"/>
    <x v="2"/>
    <d v="2024-11-14T00:00:00"/>
    <d v="2024-12-26T00:00:00"/>
    <x v="1"/>
  </r>
  <r>
    <n v="2748"/>
    <n v="18083"/>
    <x v="0"/>
    <n v="55862.06"/>
    <x v="1"/>
    <n v="39"/>
    <x v="2"/>
    <d v="2024-02-12T00:00:00"/>
    <d v="2024-03-22T00:00:00"/>
    <x v="4"/>
  </r>
  <r>
    <n v="2749"/>
    <n v="15972"/>
    <x v="3"/>
    <n v="160849.29"/>
    <x v="2"/>
    <m/>
    <x v="3"/>
    <d v="2024-12-21T00:00:00"/>
    <m/>
    <x v="11"/>
  </r>
  <r>
    <n v="2750"/>
    <n v="19949"/>
    <x v="3"/>
    <n v="57949.03"/>
    <x v="0"/>
    <n v="27"/>
    <x v="3"/>
    <d v="2024-06-07T00:00:00"/>
    <d v="2024-07-04T00:00:00"/>
    <x v="7"/>
  </r>
  <r>
    <n v="2751"/>
    <n v="18155"/>
    <x v="3"/>
    <n v="11471.59"/>
    <x v="0"/>
    <n v="3"/>
    <x v="1"/>
    <d v="2024-04-14T00:00:00"/>
    <d v="2024-04-17T00:00:00"/>
    <x v="10"/>
  </r>
  <r>
    <n v="2752"/>
    <n v="17069"/>
    <x v="2"/>
    <n v="105817.87"/>
    <x v="0"/>
    <n v="13"/>
    <x v="2"/>
    <d v="2024-08-16T00:00:00"/>
    <d v="2024-08-29T00:00:00"/>
    <x v="8"/>
  </r>
  <r>
    <n v="2753"/>
    <n v="15338"/>
    <x v="1"/>
    <n v="43353.85"/>
    <x v="0"/>
    <n v="41"/>
    <x v="0"/>
    <d v="2024-08-04T00:00:00"/>
    <d v="2024-09-14T00:00:00"/>
    <x v="8"/>
  </r>
  <r>
    <n v="2754"/>
    <n v="12532"/>
    <x v="3"/>
    <n v="152780.03"/>
    <x v="0"/>
    <n v="3"/>
    <x v="3"/>
    <d v="2024-09-20T00:00:00"/>
    <d v="2024-09-23T00:00:00"/>
    <x v="9"/>
  </r>
  <r>
    <n v="2755"/>
    <n v="15337"/>
    <x v="0"/>
    <n v="130033.93"/>
    <x v="2"/>
    <m/>
    <x v="1"/>
    <d v="2024-02-18T00:00:00"/>
    <m/>
    <x v="4"/>
  </r>
  <r>
    <n v="2756"/>
    <n v="13773"/>
    <x v="3"/>
    <n v="185102.52"/>
    <x v="0"/>
    <n v="17"/>
    <x v="0"/>
    <d v="2024-12-17T00:00:00"/>
    <d v="2025-01-03T00:00:00"/>
    <x v="11"/>
  </r>
  <r>
    <n v="2757"/>
    <n v="16465"/>
    <x v="3"/>
    <n v="157682.73000000001"/>
    <x v="0"/>
    <n v="31"/>
    <x v="2"/>
    <d v="2024-05-02T00:00:00"/>
    <d v="2024-06-02T00:00:00"/>
    <x v="3"/>
  </r>
  <r>
    <n v="2758"/>
    <n v="14661"/>
    <x v="1"/>
    <n v="40251.31"/>
    <x v="0"/>
    <n v="37"/>
    <x v="1"/>
    <d v="2024-10-29T00:00:00"/>
    <d v="2024-12-05T00:00:00"/>
    <x v="6"/>
  </r>
  <r>
    <n v="2759"/>
    <n v="12057"/>
    <x v="3"/>
    <n v="161030.85999999999"/>
    <x v="1"/>
    <n v="5"/>
    <x v="3"/>
    <d v="2024-01-25T00:00:00"/>
    <d v="2024-01-30T00:00:00"/>
    <x v="0"/>
  </r>
  <r>
    <n v="2760"/>
    <n v="10677"/>
    <x v="0"/>
    <n v="130138.72"/>
    <x v="0"/>
    <n v="12"/>
    <x v="0"/>
    <d v="2024-05-10T00:00:00"/>
    <d v="2024-05-22T00:00:00"/>
    <x v="3"/>
  </r>
  <r>
    <n v="2761"/>
    <n v="12974"/>
    <x v="3"/>
    <n v="135445.57"/>
    <x v="0"/>
    <n v="25"/>
    <x v="3"/>
    <d v="2024-08-11T00:00:00"/>
    <d v="2024-09-05T00:00:00"/>
    <x v="8"/>
  </r>
  <r>
    <n v="2762"/>
    <n v="18476"/>
    <x v="0"/>
    <n v="167291.26"/>
    <x v="0"/>
    <n v="19"/>
    <x v="2"/>
    <d v="2024-04-08T00:00:00"/>
    <d v="2024-04-27T00:00:00"/>
    <x v="10"/>
  </r>
  <r>
    <n v="2763"/>
    <n v="15648"/>
    <x v="1"/>
    <n v="116895.69"/>
    <x v="0"/>
    <n v="28"/>
    <x v="0"/>
    <d v="2024-12-17T00:00:00"/>
    <d v="2025-01-14T00:00:00"/>
    <x v="11"/>
  </r>
  <r>
    <n v="2764"/>
    <n v="16444"/>
    <x v="3"/>
    <n v="95870.69"/>
    <x v="2"/>
    <m/>
    <x v="2"/>
    <d v="2024-10-16T00:00:00"/>
    <m/>
    <x v="6"/>
  </r>
  <r>
    <n v="2765"/>
    <n v="11840"/>
    <x v="2"/>
    <n v="129145"/>
    <x v="1"/>
    <n v="3"/>
    <x v="2"/>
    <d v="2024-07-15T00:00:00"/>
    <d v="2024-07-18T00:00:00"/>
    <x v="2"/>
  </r>
  <r>
    <n v="2766"/>
    <n v="11878"/>
    <x v="1"/>
    <n v="63101.7"/>
    <x v="0"/>
    <n v="16"/>
    <x v="1"/>
    <d v="2024-04-18T00:00:00"/>
    <d v="2024-05-04T00:00:00"/>
    <x v="10"/>
  </r>
  <r>
    <n v="2767"/>
    <n v="16289"/>
    <x v="3"/>
    <n v="40606.44"/>
    <x v="0"/>
    <n v="12"/>
    <x v="3"/>
    <d v="2024-12-13T00:00:00"/>
    <d v="2024-12-25T00:00:00"/>
    <x v="11"/>
  </r>
  <r>
    <n v="2768"/>
    <n v="19802"/>
    <x v="3"/>
    <n v="125234.63"/>
    <x v="0"/>
    <n v="28"/>
    <x v="0"/>
    <d v="2024-08-07T00:00:00"/>
    <d v="2024-09-04T00:00:00"/>
    <x v="8"/>
  </r>
  <r>
    <n v="2769"/>
    <n v="17219"/>
    <x v="0"/>
    <n v="50600.43"/>
    <x v="0"/>
    <n v="24"/>
    <x v="2"/>
    <d v="2024-09-20T00:00:00"/>
    <d v="2024-10-14T00:00:00"/>
    <x v="9"/>
  </r>
  <r>
    <n v="2770"/>
    <n v="13314"/>
    <x v="3"/>
    <n v="20583.45"/>
    <x v="0"/>
    <n v="36"/>
    <x v="2"/>
    <d v="2024-07-26T00:00:00"/>
    <d v="2024-08-31T00:00:00"/>
    <x v="2"/>
  </r>
  <r>
    <n v="2771"/>
    <n v="11378"/>
    <x v="3"/>
    <n v="5108.07"/>
    <x v="0"/>
    <n v="31"/>
    <x v="0"/>
    <d v="2024-11-14T00:00:00"/>
    <d v="2024-12-15T00:00:00"/>
    <x v="1"/>
  </r>
  <r>
    <n v="2772"/>
    <n v="15340"/>
    <x v="3"/>
    <n v="123622.28"/>
    <x v="0"/>
    <n v="25"/>
    <x v="2"/>
    <d v="2024-03-22T00:00:00"/>
    <d v="2024-04-16T00:00:00"/>
    <x v="5"/>
  </r>
  <r>
    <n v="2773"/>
    <n v="19907"/>
    <x v="3"/>
    <n v="75619.009999999995"/>
    <x v="2"/>
    <m/>
    <x v="1"/>
    <d v="2024-01-25T00:00:00"/>
    <m/>
    <x v="0"/>
  </r>
  <r>
    <n v="2774"/>
    <n v="10452"/>
    <x v="1"/>
    <n v="151700.64000000001"/>
    <x v="0"/>
    <n v="30"/>
    <x v="1"/>
    <d v="2024-07-04T00:00:00"/>
    <d v="2024-08-03T00:00:00"/>
    <x v="2"/>
  </r>
  <r>
    <n v="2775"/>
    <n v="18533"/>
    <x v="3"/>
    <n v="78159.399999999994"/>
    <x v="2"/>
    <m/>
    <x v="1"/>
    <d v="2024-01-08T00:00:00"/>
    <m/>
    <x v="0"/>
  </r>
  <r>
    <n v="2776"/>
    <n v="10392"/>
    <x v="3"/>
    <n v="99770.67"/>
    <x v="0"/>
    <n v="24"/>
    <x v="1"/>
    <d v="2024-05-03T00:00:00"/>
    <d v="2024-05-27T00:00:00"/>
    <x v="3"/>
  </r>
  <r>
    <n v="2777"/>
    <n v="15471"/>
    <x v="3"/>
    <n v="84381.57"/>
    <x v="0"/>
    <n v="13"/>
    <x v="2"/>
    <d v="2024-05-28T00:00:00"/>
    <d v="2024-06-10T00:00:00"/>
    <x v="3"/>
  </r>
  <r>
    <n v="2778"/>
    <n v="11269"/>
    <x v="3"/>
    <n v="131862.07999999999"/>
    <x v="1"/>
    <n v="42"/>
    <x v="0"/>
    <d v="2024-04-07T00:00:00"/>
    <d v="2024-05-19T00:00:00"/>
    <x v="10"/>
  </r>
  <r>
    <n v="2779"/>
    <n v="18137"/>
    <x v="2"/>
    <n v="74447.14"/>
    <x v="0"/>
    <n v="30"/>
    <x v="0"/>
    <d v="2024-08-03T00:00:00"/>
    <d v="2024-09-02T00:00:00"/>
    <x v="8"/>
  </r>
  <r>
    <n v="2780"/>
    <n v="13050"/>
    <x v="3"/>
    <n v="192934.69"/>
    <x v="0"/>
    <n v="7"/>
    <x v="0"/>
    <d v="2024-04-10T00:00:00"/>
    <d v="2024-04-17T00:00:00"/>
    <x v="10"/>
  </r>
  <r>
    <n v="2781"/>
    <n v="17280"/>
    <x v="2"/>
    <n v="187548.66"/>
    <x v="0"/>
    <n v="24"/>
    <x v="0"/>
    <d v="2024-08-05T00:00:00"/>
    <d v="2024-08-29T00:00:00"/>
    <x v="8"/>
  </r>
  <r>
    <n v="2782"/>
    <n v="19162"/>
    <x v="3"/>
    <n v="170365.44"/>
    <x v="0"/>
    <n v="32"/>
    <x v="3"/>
    <d v="2024-09-15T00:00:00"/>
    <d v="2024-10-17T00:00:00"/>
    <x v="9"/>
  </r>
  <r>
    <n v="2783"/>
    <n v="14794"/>
    <x v="3"/>
    <n v="184458.55"/>
    <x v="2"/>
    <m/>
    <x v="0"/>
    <d v="2024-12-21T00:00:00"/>
    <m/>
    <x v="11"/>
  </r>
  <r>
    <n v="2784"/>
    <n v="17410"/>
    <x v="0"/>
    <n v="92582.24"/>
    <x v="1"/>
    <n v="25"/>
    <x v="3"/>
    <d v="2024-01-11T00:00:00"/>
    <d v="2024-02-05T00:00:00"/>
    <x v="0"/>
  </r>
  <r>
    <n v="2785"/>
    <n v="10165"/>
    <x v="3"/>
    <n v="109603.93"/>
    <x v="0"/>
    <n v="9"/>
    <x v="3"/>
    <d v="2024-02-28T00:00:00"/>
    <d v="2024-03-08T00:00:00"/>
    <x v="4"/>
  </r>
  <r>
    <n v="2786"/>
    <n v="18446"/>
    <x v="1"/>
    <n v="149708.06"/>
    <x v="0"/>
    <n v="10"/>
    <x v="1"/>
    <d v="2024-09-06T00:00:00"/>
    <d v="2024-09-16T00:00:00"/>
    <x v="9"/>
  </r>
  <r>
    <n v="2787"/>
    <n v="18493"/>
    <x v="2"/>
    <n v="140748.46"/>
    <x v="0"/>
    <n v="23"/>
    <x v="3"/>
    <d v="2024-05-19T00:00:00"/>
    <d v="2024-06-11T00:00:00"/>
    <x v="3"/>
  </r>
  <r>
    <n v="2788"/>
    <n v="16363"/>
    <x v="3"/>
    <n v="178682.33"/>
    <x v="0"/>
    <n v="5"/>
    <x v="2"/>
    <d v="2024-11-30T00:00:00"/>
    <d v="2024-12-05T00:00:00"/>
    <x v="1"/>
  </r>
  <r>
    <n v="2789"/>
    <n v="18079"/>
    <x v="3"/>
    <n v="144684.54999999999"/>
    <x v="0"/>
    <n v="14"/>
    <x v="3"/>
    <d v="2024-02-07T00:00:00"/>
    <d v="2024-02-21T00:00:00"/>
    <x v="4"/>
  </r>
  <r>
    <n v="2790"/>
    <n v="15030"/>
    <x v="1"/>
    <n v="199587.52"/>
    <x v="0"/>
    <n v="35"/>
    <x v="1"/>
    <d v="2024-05-01T00:00:00"/>
    <d v="2024-06-05T00:00:00"/>
    <x v="3"/>
  </r>
  <r>
    <n v="2791"/>
    <n v="11505"/>
    <x v="3"/>
    <n v="72958.63"/>
    <x v="0"/>
    <n v="4"/>
    <x v="3"/>
    <d v="2024-03-05T00:00:00"/>
    <d v="2024-03-09T00:00:00"/>
    <x v="5"/>
  </r>
  <r>
    <n v="2792"/>
    <n v="19448"/>
    <x v="3"/>
    <n v="167434.56"/>
    <x v="0"/>
    <n v="38"/>
    <x v="2"/>
    <d v="2024-05-25T00:00:00"/>
    <d v="2024-07-02T00:00:00"/>
    <x v="3"/>
  </r>
  <r>
    <n v="2793"/>
    <n v="17409"/>
    <x v="3"/>
    <n v="141038.79"/>
    <x v="0"/>
    <n v="29"/>
    <x v="2"/>
    <d v="2024-10-28T00:00:00"/>
    <d v="2024-11-26T00:00:00"/>
    <x v="6"/>
  </r>
  <r>
    <n v="2794"/>
    <n v="14340"/>
    <x v="3"/>
    <n v="139820.35999999999"/>
    <x v="0"/>
    <n v="27"/>
    <x v="2"/>
    <d v="2024-05-04T00:00:00"/>
    <d v="2024-05-31T00:00:00"/>
    <x v="3"/>
  </r>
  <r>
    <n v="2795"/>
    <n v="10209"/>
    <x v="1"/>
    <n v="68537.94"/>
    <x v="0"/>
    <n v="35"/>
    <x v="1"/>
    <d v="2024-11-07T00:00:00"/>
    <d v="2024-12-12T00:00:00"/>
    <x v="1"/>
  </r>
  <r>
    <n v="2796"/>
    <n v="13793"/>
    <x v="3"/>
    <n v="158192.35"/>
    <x v="2"/>
    <m/>
    <x v="1"/>
    <d v="2024-07-09T00:00:00"/>
    <m/>
    <x v="2"/>
  </r>
  <r>
    <n v="2797"/>
    <n v="14521"/>
    <x v="3"/>
    <n v="180573.32"/>
    <x v="1"/>
    <n v="9"/>
    <x v="0"/>
    <d v="2024-09-19T00:00:00"/>
    <d v="2024-09-28T00:00:00"/>
    <x v="9"/>
  </r>
  <r>
    <n v="2798"/>
    <n v="13047"/>
    <x v="1"/>
    <n v="47616.95"/>
    <x v="0"/>
    <n v="36"/>
    <x v="1"/>
    <d v="2024-12-26T00:00:00"/>
    <d v="2025-01-31T00:00:00"/>
    <x v="11"/>
  </r>
  <r>
    <n v="2799"/>
    <n v="10980"/>
    <x v="3"/>
    <n v="126971.88"/>
    <x v="0"/>
    <n v="25"/>
    <x v="2"/>
    <d v="2024-10-22T00:00:00"/>
    <d v="2024-11-16T00:00:00"/>
    <x v="6"/>
  </r>
  <r>
    <n v="2800"/>
    <n v="12119"/>
    <x v="3"/>
    <n v="81466.289999999994"/>
    <x v="1"/>
    <n v="38"/>
    <x v="2"/>
    <d v="2024-06-30T00:00:00"/>
    <d v="2024-08-07T00:00:00"/>
    <x v="7"/>
  </r>
  <r>
    <n v="2801"/>
    <n v="13745"/>
    <x v="1"/>
    <n v="197961.88"/>
    <x v="2"/>
    <m/>
    <x v="1"/>
    <d v="2024-06-07T00:00:00"/>
    <m/>
    <x v="7"/>
  </r>
  <r>
    <n v="2802"/>
    <n v="10177"/>
    <x v="3"/>
    <n v="98372.4"/>
    <x v="1"/>
    <n v="13"/>
    <x v="3"/>
    <d v="2024-12-18T00:00:00"/>
    <d v="2024-12-31T00:00:00"/>
    <x v="11"/>
  </r>
  <r>
    <n v="2803"/>
    <n v="11546"/>
    <x v="1"/>
    <n v="49522.43"/>
    <x v="0"/>
    <n v="20"/>
    <x v="1"/>
    <d v="2024-11-03T00:00:00"/>
    <d v="2024-11-23T00:00:00"/>
    <x v="1"/>
  </r>
  <r>
    <n v="2804"/>
    <n v="18490"/>
    <x v="0"/>
    <n v="79462.240000000005"/>
    <x v="2"/>
    <m/>
    <x v="1"/>
    <d v="2024-10-13T00:00:00"/>
    <m/>
    <x v="6"/>
  </r>
  <r>
    <n v="2805"/>
    <n v="13566"/>
    <x v="3"/>
    <n v="132498.49"/>
    <x v="0"/>
    <n v="31"/>
    <x v="2"/>
    <d v="2024-06-10T00:00:00"/>
    <d v="2024-07-11T00:00:00"/>
    <x v="7"/>
  </r>
  <r>
    <n v="2806"/>
    <n v="10274"/>
    <x v="1"/>
    <n v="19837.43"/>
    <x v="1"/>
    <n v="38"/>
    <x v="0"/>
    <d v="2024-09-19T00:00:00"/>
    <d v="2024-10-27T00:00:00"/>
    <x v="9"/>
  </r>
  <r>
    <n v="2807"/>
    <n v="12995"/>
    <x v="3"/>
    <n v="122702.37"/>
    <x v="2"/>
    <m/>
    <x v="2"/>
    <d v="2024-08-04T00:00:00"/>
    <m/>
    <x v="8"/>
  </r>
  <r>
    <n v="2808"/>
    <n v="10052"/>
    <x v="3"/>
    <n v="186588.83"/>
    <x v="0"/>
    <n v="20"/>
    <x v="0"/>
    <d v="2024-06-29T00:00:00"/>
    <d v="2024-07-19T00:00:00"/>
    <x v="7"/>
  </r>
  <r>
    <n v="2809"/>
    <n v="17775"/>
    <x v="0"/>
    <n v="170820.74"/>
    <x v="2"/>
    <m/>
    <x v="2"/>
    <d v="2024-03-31T00:00:00"/>
    <m/>
    <x v="5"/>
  </r>
  <r>
    <n v="2810"/>
    <n v="19615"/>
    <x v="0"/>
    <n v="18196.34"/>
    <x v="0"/>
    <n v="8"/>
    <x v="1"/>
    <d v="2024-01-17T00:00:00"/>
    <d v="2024-01-25T00:00:00"/>
    <x v="0"/>
  </r>
  <r>
    <n v="2811"/>
    <n v="11627"/>
    <x v="3"/>
    <n v="198711.03"/>
    <x v="2"/>
    <m/>
    <x v="2"/>
    <d v="2024-05-04T00:00:00"/>
    <m/>
    <x v="3"/>
  </r>
  <r>
    <n v="2812"/>
    <n v="16043"/>
    <x v="1"/>
    <n v="141251.75"/>
    <x v="0"/>
    <n v="29"/>
    <x v="2"/>
    <d v="2024-09-16T00:00:00"/>
    <d v="2024-10-15T00:00:00"/>
    <x v="9"/>
  </r>
  <r>
    <n v="2813"/>
    <n v="17823"/>
    <x v="2"/>
    <n v="36644.76"/>
    <x v="2"/>
    <m/>
    <x v="2"/>
    <d v="2024-12-20T00:00:00"/>
    <m/>
    <x v="11"/>
  </r>
  <r>
    <n v="2814"/>
    <n v="18680"/>
    <x v="2"/>
    <n v="7421.14"/>
    <x v="0"/>
    <n v="38"/>
    <x v="1"/>
    <d v="2024-08-01T00:00:00"/>
    <d v="2024-09-08T00:00:00"/>
    <x v="8"/>
  </r>
  <r>
    <n v="2815"/>
    <n v="18608"/>
    <x v="1"/>
    <n v="38400.11"/>
    <x v="1"/>
    <n v="21"/>
    <x v="1"/>
    <d v="2024-08-26T00:00:00"/>
    <d v="2024-09-16T00:00:00"/>
    <x v="8"/>
  </r>
  <r>
    <n v="2816"/>
    <n v="19112"/>
    <x v="3"/>
    <n v="168444.3"/>
    <x v="0"/>
    <n v="12"/>
    <x v="1"/>
    <d v="2024-06-28T00:00:00"/>
    <d v="2024-07-10T00:00:00"/>
    <x v="7"/>
  </r>
  <r>
    <n v="2817"/>
    <n v="11553"/>
    <x v="3"/>
    <n v="9219.67"/>
    <x v="0"/>
    <n v="40"/>
    <x v="1"/>
    <d v="2024-06-20T00:00:00"/>
    <d v="2024-07-30T00:00:00"/>
    <x v="7"/>
  </r>
  <r>
    <n v="2818"/>
    <n v="18857"/>
    <x v="2"/>
    <n v="50463.72"/>
    <x v="0"/>
    <n v="43"/>
    <x v="0"/>
    <d v="2024-05-22T00:00:00"/>
    <d v="2024-07-04T00:00:00"/>
    <x v="3"/>
  </r>
  <r>
    <n v="2819"/>
    <n v="12469"/>
    <x v="3"/>
    <n v="152674.59"/>
    <x v="1"/>
    <n v="24"/>
    <x v="0"/>
    <d v="2024-11-12T00:00:00"/>
    <d v="2024-12-06T00:00:00"/>
    <x v="1"/>
  </r>
  <r>
    <n v="2820"/>
    <n v="11474"/>
    <x v="1"/>
    <n v="119291.55"/>
    <x v="0"/>
    <n v="21"/>
    <x v="3"/>
    <d v="2024-08-31T00:00:00"/>
    <d v="2024-09-21T00:00:00"/>
    <x v="8"/>
  </r>
  <r>
    <n v="2821"/>
    <n v="16477"/>
    <x v="3"/>
    <n v="157633.46"/>
    <x v="0"/>
    <n v="21"/>
    <x v="1"/>
    <d v="2024-08-19T00:00:00"/>
    <d v="2024-09-09T00:00:00"/>
    <x v="8"/>
  </r>
  <r>
    <n v="2822"/>
    <n v="10337"/>
    <x v="3"/>
    <n v="150499.35"/>
    <x v="0"/>
    <n v="12"/>
    <x v="0"/>
    <d v="2024-06-20T00:00:00"/>
    <d v="2024-07-02T00:00:00"/>
    <x v="7"/>
  </r>
  <r>
    <n v="2823"/>
    <n v="16991"/>
    <x v="3"/>
    <n v="14867.27"/>
    <x v="2"/>
    <m/>
    <x v="2"/>
    <d v="2024-10-03T00:00:00"/>
    <m/>
    <x v="6"/>
  </r>
  <r>
    <n v="2824"/>
    <n v="18460"/>
    <x v="2"/>
    <n v="179039.73"/>
    <x v="0"/>
    <n v="14"/>
    <x v="1"/>
    <d v="2024-03-17T00:00:00"/>
    <d v="2024-03-31T00:00:00"/>
    <x v="5"/>
  </r>
  <r>
    <n v="2825"/>
    <n v="11087"/>
    <x v="3"/>
    <n v="49271.21"/>
    <x v="0"/>
    <n v="14"/>
    <x v="3"/>
    <d v="2024-10-29T00:00:00"/>
    <d v="2024-11-12T00:00:00"/>
    <x v="6"/>
  </r>
  <r>
    <n v="2826"/>
    <n v="11293"/>
    <x v="1"/>
    <n v="112911.53"/>
    <x v="0"/>
    <n v="42"/>
    <x v="3"/>
    <d v="2024-11-26T00:00:00"/>
    <d v="2025-01-07T00:00:00"/>
    <x v="1"/>
  </r>
  <r>
    <n v="2827"/>
    <n v="18848"/>
    <x v="3"/>
    <n v="130636.19"/>
    <x v="0"/>
    <n v="16"/>
    <x v="3"/>
    <d v="2024-02-18T00:00:00"/>
    <d v="2024-03-05T00:00:00"/>
    <x v="4"/>
  </r>
  <r>
    <n v="2828"/>
    <n v="15964"/>
    <x v="3"/>
    <n v="37882.5"/>
    <x v="0"/>
    <n v="32"/>
    <x v="2"/>
    <d v="2024-09-04T00:00:00"/>
    <d v="2024-10-06T00:00:00"/>
    <x v="9"/>
  </r>
  <r>
    <n v="2829"/>
    <n v="12828"/>
    <x v="3"/>
    <n v="195365.1"/>
    <x v="0"/>
    <n v="24"/>
    <x v="0"/>
    <d v="2024-10-09T00:00:00"/>
    <d v="2024-11-02T00:00:00"/>
    <x v="6"/>
  </r>
  <r>
    <n v="2830"/>
    <n v="16472"/>
    <x v="1"/>
    <n v="100190.41"/>
    <x v="1"/>
    <n v="23"/>
    <x v="2"/>
    <d v="2024-10-13T00:00:00"/>
    <d v="2024-11-05T00:00:00"/>
    <x v="6"/>
  </r>
  <r>
    <n v="2831"/>
    <n v="13973"/>
    <x v="3"/>
    <n v="16240.33"/>
    <x v="1"/>
    <n v="17"/>
    <x v="1"/>
    <d v="2024-02-01T00:00:00"/>
    <d v="2024-02-18T00:00:00"/>
    <x v="4"/>
  </r>
  <r>
    <n v="2832"/>
    <n v="16661"/>
    <x v="3"/>
    <n v="187766.1"/>
    <x v="0"/>
    <n v="43"/>
    <x v="3"/>
    <d v="2024-06-06T00:00:00"/>
    <d v="2024-07-19T00:00:00"/>
    <x v="7"/>
  </r>
  <r>
    <n v="2833"/>
    <n v="14957"/>
    <x v="3"/>
    <n v="119322.23"/>
    <x v="0"/>
    <n v="30"/>
    <x v="2"/>
    <d v="2024-01-18T00:00:00"/>
    <d v="2024-02-17T00:00:00"/>
    <x v="0"/>
  </r>
  <r>
    <n v="2834"/>
    <n v="16564"/>
    <x v="3"/>
    <n v="141342.67000000001"/>
    <x v="0"/>
    <n v="21"/>
    <x v="2"/>
    <d v="2024-03-03T00:00:00"/>
    <d v="2024-03-24T00:00:00"/>
    <x v="5"/>
  </r>
  <r>
    <n v="2835"/>
    <n v="11336"/>
    <x v="2"/>
    <n v="107409.28"/>
    <x v="0"/>
    <n v="29"/>
    <x v="0"/>
    <d v="2024-05-07T00:00:00"/>
    <d v="2024-06-05T00:00:00"/>
    <x v="3"/>
  </r>
  <r>
    <n v="2836"/>
    <n v="11667"/>
    <x v="2"/>
    <n v="167773.9"/>
    <x v="1"/>
    <n v="28"/>
    <x v="0"/>
    <d v="2024-01-16T00:00:00"/>
    <d v="2024-02-13T00:00:00"/>
    <x v="0"/>
  </r>
  <r>
    <n v="2837"/>
    <n v="11825"/>
    <x v="3"/>
    <n v="11461.03"/>
    <x v="0"/>
    <n v="30"/>
    <x v="3"/>
    <d v="2024-06-11T00:00:00"/>
    <d v="2024-07-11T00:00:00"/>
    <x v="7"/>
  </r>
  <r>
    <n v="2838"/>
    <n v="11212"/>
    <x v="1"/>
    <n v="57333.78"/>
    <x v="0"/>
    <n v="6"/>
    <x v="2"/>
    <d v="2024-09-07T00:00:00"/>
    <d v="2024-09-13T00:00:00"/>
    <x v="9"/>
  </r>
  <r>
    <n v="2839"/>
    <n v="12768"/>
    <x v="2"/>
    <n v="96581.43"/>
    <x v="0"/>
    <n v="43"/>
    <x v="2"/>
    <d v="2024-05-16T00:00:00"/>
    <d v="2024-06-28T00:00:00"/>
    <x v="3"/>
  </r>
  <r>
    <n v="2840"/>
    <n v="15776"/>
    <x v="3"/>
    <n v="19937.71"/>
    <x v="1"/>
    <n v="39"/>
    <x v="0"/>
    <d v="2024-11-13T00:00:00"/>
    <d v="2024-12-22T00:00:00"/>
    <x v="1"/>
  </r>
  <r>
    <n v="2841"/>
    <n v="10444"/>
    <x v="0"/>
    <n v="142651.79999999999"/>
    <x v="0"/>
    <n v="39"/>
    <x v="2"/>
    <d v="2024-10-21T00:00:00"/>
    <d v="2024-11-29T00:00:00"/>
    <x v="6"/>
  </r>
  <r>
    <n v="2842"/>
    <n v="19589"/>
    <x v="2"/>
    <n v="81764.37"/>
    <x v="0"/>
    <n v="3"/>
    <x v="2"/>
    <d v="2024-06-27T00:00:00"/>
    <d v="2024-06-30T00:00:00"/>
    <x v="7"/>
  </r>
  <r>
    <n v="2843"/>
    <n v="14381"/>
    <x v="3"/>
    <n v="58170.26"/>
    <x v="0"/>
    <n v="21"/>
    <x v="2"/>
    <d v="2024-08-16T00:00:00"/>
    <d v="2024-09-06T00:00:00"/>
    <x v="8"/>
  </r>
  <r>
    <n v="2844"/>
    <n v="13676"/>
    <x v="3"/>
    <n v="5658.88"/>
    <x v="1"/>
    <n v="44"/>
    <x v="0"/>
    <d v="2024-06-28T00:00:00"/>
    <d v="2024-08-11T00:00:00"/>
    <x v="7"/>
  </r>
  <r>
    <n v="2845"/>
    <n v="12310"/>
    <x v="2"/>
    <n v="145366.91"/>
    <x v="2"/>
    <m/>
    <x v="3"/>
    <d v="2024-03-12T00:00:00"/>
    <m/>
    <x v="5"/>
  </r>
  <r>
    <n v="2846"/>
    <n v="14040"/>
    <x v="1"/>
    <n v="167592.82"/>
    <x v="0"/>
    <n v="27"/>
    <x v="1"/>
    <d v="2024-11-13T00:00:00"/>
    <d v="2024-12-10T00:00:00"/>
    <x v="1"/>
  </r>
  <r>
    <n v="2847"/>
    <n v="17085"/>
    <x v="3"/>
    <n v="82032.899999999994"/>
    <x v="0"/>
    <n v="36"/>
    <x v="3"/>
    <d v="2024-03-23T00:00:00"/>
    <d v="2024-04-28T00:00:00"/>
    <x v="5"/>
  </r>
  <r>
    <n v="2848"/>
    <n v="11827"/>
    <x v="3"/>
    <n v="115022.51"/>
    <x v="2"/>
    <m/>
    <x v="1"/>
    <d v="2024-05-15T00:00:00"/>
    <m/>
    <x v="3"/>
  </r>
  <r>
    <n v="2849"/>
    <n v="16285"/>
    <x v="3"/>
    <n v="49398.89"/>
    <x v="0"/>
    <n v="29"/>
    <x v="2"/>
    <d v="2024-08-05T00:00:00"/>
    <d v="2024-09-03T00:00:00"/>
    <x v="8"/>
  </r>
  <r>
    <n v="2850"/>
    <n v="13219"/>
    <x v="1"/>
    <n v="126328.54"/>
    <x v="0"/>
    <n v="42"/>
    <x v="3"/>
    <d v="2024-04-18T00:00:00"/>
    <d v="2024-05-30T00:00:00"/>
    <x v="10"/>
  </r>
  <r>
    <n v="2851"/>
    <n v="15559"/>
    <x v="1"/>
    <n v="7366.8"/>
    <x v="0"/>
    <n v="16"/>
    <x v="1"/>
    <d v="2024-04-28T00:00:00"/>
    <d v="2024-05-14T00:00:00"/>
    <x v="10"/>
  </r>
  <r>
    <n v="2852"/>
    <n v="16771"/>
    <x v="2"/>
    <n v="100285.56"/>
    <x v="0"/>
    <n v="9"/>
    <x v="0"/>
    <d v="2024-01-18T00:00:00"/>
    <d v="2024-01-27T00:00:00"/>
    <x v="0"/>
  </r>
  <r>
    <n v="2853"/>
    <n v="14688"/>
    <x v="3"/>
    <n v="130620.07"/>
    <x v="0"/>
    <n v="12"/>
    <x v="0"/>
    <d v="2024-11-27T00:00:00"/>
    <d v="2024-12-09T00:00:00"/>
    <x v="1"/>
  </r>
  <r>
    <n v="2854"/>
    <n v="14511"/>
    <x v="1"/>
    <n v="184047.4"/>
    <x v="1"/>
    <n v="30"/>
    <x v="3"/>
    <d v="2024-06-02T00:00:00"/>
    <d v="2024-07-02T00:00:00"/>
    <x v="7"/>
  </r>
  <r>
    <n v="2855"/>
    <n v="12072"/>
    <x v="1"/>
    <n v="79360.479999999996"/>
    <x v="0"/>
    <n v="6"/>
    <x v="3"/>
    <d v="2024-01-11T00:00:00"/>
    <d v="2024-01-17T00:00:00"/>
    <x v="0"/>
  </r>
  <r>
    <n v="2856"/>
    <n v="16770"/>
    <x v="3"/>
    <n v="154212.09"/>
    <x v="0"/>
    <n v="8"/>
    <x v="2"/>
    <d v="2024-05-17T00:00:00"/>
    <d v="2024-05-25T00:00:00"/>
    <x v="3"/>
  </r>
  <r>
    <n v="2857"/>
    <n v="16328"/>
    <x v="3"/>
    <n v="121548.97"/>
    <x v="1"/>
    <n v="19"/>
    <x v="3"/>
    <d v="2024-03-02T00:00:00"/>
    <d v="2024-03-21T00:00:00"/>
    <x v="5"/>
  </r>
  <r>
    <n v="2858"/>
    <n v="12330"/>
    <x v="2"/>
    <n v="185767.36"/>
    <x v="0"/>
    <n v="29"/>
    <x v="2"/>
    <d v="2024-03-11T00:00:00"/>
    <d v="2024-04-09T00:00:00"/>
    <x v="5"/>
  </r>
  <r>
    <n v="2859"/>
    <n v="10685"/>
    <x v="0"/>
    <n v="82683.649999999994"/>
    <x v="0"/>
    <n v="13"/>
    <x v="2"/>
    <d v="2024-03-01T00:00:00"/>
    <d v="2024-03-14T00:00:00"/>
    <x v="5"/>
  </r>
  <r>
    <n v="2860"/>
    <n v="14958"/>
    <x v="3"/>
    <n v="67223.59"/>
    <x v="0"/>
    <n v="13"/>
    <x v="0"/>
    <d v="2024-05-11T00:00:00"/>
    <d v="2024-05-24T00:00:00"/>
    <x v="3"/>
  </r>
  <r>
    <n v="2861"/>
    <n v="10684"/>
    <x v="1"/>
    <n v="177992.69"/>
    <x v="1"/>
    <n v="37"/>
    <x v="0"/>
    <d v="2024-03-01T00:00:00"/>
    <d v="2024-04-07T00:00:00"/>
    <x v="5"/>
  </r>
  <r>
    <n v="2862"/>
    <n v="18532"/>
    <x v="3"/>
    <n v="14602.66"/>
    <x v="1"/>
    <n v="30"/>
    <x v="1"/>
    <d v="2024-12-23T00:00:00"/>
    <d v="2025-01-22T00:00:00"/>
    <x v="11"/>
  </r>
  <r>
    <n v="2863"/>
    <n v="10733"/>
    <x v="1"/>
    <n v="31595.15"/>
    <x v="2"/>
    <m/>
    <x v="0"/>
    <d v="2024-09-25T00:00:00"/>
    <m/>
    <x v="9"/>
  </r>
  <r>
    <n v="2864"/>
    <n v="11496"/>
    <x v="1"/>
    <n v="21068.86"/>
    <x v="1"/>
    <n v="7"/>
    <x v="0"/>
    <d v="2024-01-12T00:00:00"/>
    <d v="2024-01-19T00:00:00"/>
    <x v="0"/>
  </r>
  <r>
    <n v="2865"/>
    <n v="19323"/>
    <x v="1"/>
    <n v="169406.44"/>
    <x v="0"/>
    <n v="22"/>
    <x v="3"/>
    <d v="2024-02-04T00:00:00"/>
    <d v="2024-02-26T00:00:00"/>
    <x v="4"/>
  </r>
  <r>
    <n v="2866"/>
    <n v="15450"/>
    <x v="2"/>
    <n v="7068.45"/>
    <x v="0"/>
    <n v="11"/>
    <x v="0"/>
    <d v="2024-02-20T00:00:00"/>
    <d v="2024-03-02T00:00:00"/>
    <x v="4"/>
  </r>
  <r>
    <n v="2867"/>
    <n v="14635"/>
    <x v="1"/>
    <n v="173023.15"/>
    <x v="1"/>
    <n v="33"/>
    <x v="1"/>
    <d v="2024-02-12T00:00:00"/>
    <d v="2024-03-16T00:00:00"/>
    <x v="4"/>
  </r>
  <r>
    <n v="2868"/>
    <n v="11732"/>
    <x v="3"/>
    <n v="92997.22"/>
    <x v="0"/>
    <n v="34"/>
    <x v="3"/>
    <d v="2024-08-15T00:00:00"/>
    <d v="2024-09-18T00:00:00"/>
    <x v="8"/>
  </r>
  <r>
    <n v="2869"/>
    <n v="16527"/>
    <x v="1"/>
    <n v="5784.93"/>
    <x v="0"/>
    <n v="18"/>
    <x v="1"/>
    <d v="2024-04-20T00:00:00"/>
    <d v="2024-05-08T00:00:00"/>
    <x v="10"/>
  </r>
  <r>
    <n v="2870"/>
    <n v="16725"/>
    <x v="3"/>
    <n v="83320.81"/>
    <x v="0"/>
    <n v="4"/>
    <x v="0"/>
    <d v="2024-11-17T00:00:00"/>
    <d v="2024-11-21T00:00:00"/>
    <x v="1"/>
  </r>
  <r>
    <n v="2871"/>
    <n v="16303"/>
    <x v="3"/>
    <n v="41426.160000000003"/>
    <x v="0"/>
    <n v="44"/>
    <x v="1"/>
    <d v="2024-01-15T00:00:00"/>
    <d v="2024-02-28T00:00:00"/>
    <x v="0"/>
  </r>
  <r>
    <n v="2872"/>
    <n v="18031"/>
    <x v="3"/>
    <n v="126758.1"/>
    <x v="2"/>
    <m/>
    <x v="3"/>
    <d v="2024-06-25T00:00:00"/>
    <m/>
    <x v="7"/>
  </r>
  <r>
    <n v="2873"/>
    <n v="11419"/>
    <x v="3"/>
    <n v="137474.96"/>
    <x v="0"/>
    <n v="11"/>
    <x v="2"/>
    <d v="2024-06-10T00:00:00"/>
    <d v="2024-06-21T00:00:00"/>
    <x v="7"/>
  </r>
  <r>
    <n v="2874"/>
    <n v="14710"/>
    <x v="1"/>
    <n v="100067.88"/>
    <x v="0"/>
    <n v="42"/>
    <x v="1"/>
    <d v="2024-02-08T00:00:00"/>
    <d v="2024-03-21T00:00:00"/>
    <x v="4"/>
  </r>
  <r>
    <n v="2875"/>
    <n v="18679"/>
    <x v="3"/>
    <n v="12901.31"/>
    <x v="2"/>
    <m/>
    <x v="1"/>
    <d v="2024-01-26T00:00:00"/>
    <m/>
    <x v="0"/>
  </r>
  <r>
    <n v="2876"/>
    <n v="11441"/>
    <x v="1"/>
    <n v="132945.12"/>
    <x v="0"/>
    <n v="44"/>
    <x v="3"/>
    <d v="2024-04-21T00:00:00"/>
    <d v="2024-06-04T00:00:00"/>
    <x v="10"/>
  </r>
  <r>
    <n v="2877"/>
    <n v="12390"/>
    <x v="1"/>
    <n v="169197.56"/>
    <x v="0"/>
    <n v="9"/>
    <x v="3"/>
    <d v="2024-02-20T00:00:00"/>
    <d v="2024-02-29T00:00:00"/>
    <x v="4"/>
  </r>
  <r>
    <n v="2878"/>
    <n v="11384"/>
    <x v="3"/>
    <n v="145463.23000000001"/>
    <x v="0"/>
    <n v="35"/>
    <x v="1"/>
    <d v="2024-04-07T00:00:00"/>
    <d v="2024-05-12T00:00:00"/>
    <x v="10"/>
  </r>
  <r>
    <n v="2879"/>
    <n v="12156"/>
    <x v="0"/>
    <n v="166841.79"/>
    <x v="1"/>
    <n v="38"/>
    <x v="0"/>
    <d v="2024-06-18T00:00:00"/>
    <d v="2024-07-26T00:00:00"/>
    <x v="7"/>
  </r>
  <r>
    <n v="2880"/>
    <n v="14396"/>
    <x v="3"/>
    <n v="44099.360000000001"/>
    <x v="1"/>
    <n v="42"/>
    <x v="1"/>
    <d v="2024-02-25T00:00:00"/>
    <d v="2024-04-07T00:00:00"/>
    <x v="4"/>
  </r>
  <r>
    <n v="2881"/>
    <n v="11391"/>
    <x v="3"/>
    <n v="178333.15"/>
    <x v="1"/>
    <n v="34"/>
    <x v="3"/>
    <d v="2024-08-08T00:00:00"/>
    <d v="2024-09-11T00:00:00"/>
    <x v="8"/>
  </r>
  <r>
    <n v="2882"/>
    <n v="17422"/>
    <x v="1"/>
    <n v="67827.72"/>
    <x v="1"/>
    <n v="11"/>
    <x v="2"/>
    <d v="2024-11-20T00:00:00"/>
    <d v="2024-12-01T00:00:00"/>
    <x v="1"/>
  </r>
  <r>
    <n v="2883"/>
    <n v="15435"/>
    <x v="3"/>
    <n v="7613.94"/>
    <x v="0"/>
    <n v="41"/>
    <x v="2"/>
    <d v="2024-05-25T00:00:00"/>
    <d v="2024-07-05T00:00:00"/>
    <x v="3"/>
  </r>
  <r>
    <n v="2884"/>
    <n v="14800"/>
    <x v="3"/>
    <n v="169461.37"/>
    <x v="1"/>
    <n v="19"/>
    <x v="0"/>
    <d v="2024-09-16T00:00:00"/>
    <d v="2024-10-05T00:00:00"/>
    <x v="9"/>
  </r>
  <r>
    <n v="2885"/>
    <n v="13142"/>
    <x v="1"/>
    <n v="188655.15"/>
    <x v="1"/>
    <n v="26"/>
    <x v="1"/>
    <d v="2024-05-08T00:00:00"/>
    <d v="2024-06-03T00:00:00"/>
    <x v="3"/>
  </r>
  <r>
    <n v="2886"/>
    <n v="10268"/>
    <x v="1"/>
    <n v="132833.85"/>
    <x v="0"/>
    <n v="43"/>
    <x v="2"/>
    <d v="2024-02-19T00:00:00"/>
    <d v="2024-04-02T00:00:00"/>
    <x v="4"/>
  </r>
  <r>
    <n v="2887"/>
    <n v="13917"/>
    <x v="3"/>
    <n v="50130.14"/>
    <x v="0"/>
    <n v="42"/>
    <x v="1"/>
    <d v="2024-12-05T00:00:00"/>
    <d v="2025-01-16T00:00:00"/>
    <x v="11"/>
  </r>
  <r>
    <n v="2888"/>
    <n v="19716"/>
    <x v="2"/>
    <n v="54090.17"/>
    <x v="2"/>
    <m/>
    <x v="3"/>
    <d v="2024-11-21T00:00:00"/>
    <m/>
    <x v="1"/>
  </r>
  <r>
    <n v="2889"/>
    <n v="18669"/>
    <x v="1"/>
    <n v="95985.61"/>
    <x v="1"/>
    <n v="3"/>
    <x v="2"/>
    <d v="2024-01-20T00:00:00"/>
    <d v="2024-01-23T00:00:00"/>
    <x v="0"/>
  </r>
  <r>
    <n v="2890"/>
    <n v="14271"/>
    <x v="0"/>
    <n v="180077.06"/>
    <x v="1"/>
    <n v="20"/>
    <x v="0"/>
    <d v="2024-06-22T00:00:00"/>
    <d v="2024-07-12T00:00:00"/>
    <x v="7"/>
  </r>
  <r>
    <n v="2891"/>
    <n v="10238"/>
    <x v="3"/>
    <n v="34171.54"/>
    <x v="1"/>
    <n v="11"/>
    <x v="3"/>
    <d v="2024-10-09T00:00:00"/>
    <d v="2024-10-20T00:00:00"/>
    <x v="6"/>
  </r>
  <r>
    <n v="2892"/>
    <n v="18801"/>
    <x v="1"/>
    <n v="166064.87"/>
    <x v="0"/>
    <n v="4"/>
    <x v="0"/>
    <d v="2024-01-26T00:00:00"/>
    <d v="2024-01-30T00:00:00"/>
    <x v="0"/>
  </r>
  <r>
    <n v="2893"/>
    <n v="17002"/>
    <x v="0"/>
    <n v="61804.05"/>
    <x v="0"/>
    <n v="20"/>
    <x v="3"/>
    <d v="2024-06-08T00:00:00"/>
    <d v="2024-06-28T00:00:00"/>
    <x v="7"/>
  </r>
  <r>
    <n v="2894"/>
    <n v="17768"/>
    <x v="1"/>
    <n v="162674.29999999999"/>
    <x v="0"/>
    <n v="27"/>
    <x v="2"/>
    <d v="2024-01-10T00:00:00"/>
    <d v="2024-02-06T00:00:00"/>
    <x v="0"/>
  </r>
  <r>
    <n v="2895"/>
    <n v="15883"/>
    <x v="1"/>
    <n v="184452.88"/>
    <x v="0"/>
    <n v="26"/>
    <x v="0"/>
    <d v="2024-03-22T00:00:00"/>
    <d v="2024-04-17T00:00:00"/>
    <x v="5"/>
  </r>
  <r>
    <n v="2896"/>
    <n v="15785"/>
    <x v="3"/>
    <n v="88361.31"/>
    <x v="1"/>
    <n v="18"/>
    <x v="0"/>
    <d v="2024-09-12T00:00:00"/>
    <d v="2024-09-30T00:00:00"/>
    <x v="9"/>
  </r>
  <r>
    <n v="2897"/>
    <n v="15093"/>
    <x v="3"/>
    <n v="76184.88"/>
    <x v="0"/>
    <n v="11"/>
    <x v="3"/>
    <d v="2024-04-14T00:00:00"/>
    <d v="2024-04-25T00:00:00"/>
    <x v="10"/>
  </r>
  <r>
    <n v="2898"/>
    <n v="16438"/>
    <x v="3"/>
    <n v="161433.16"/>
    <x v="0"/>
    <n v="12"/>
    <x v="0"/>
    <d v="2024-05-19T00:00:00"/>
    <d v="2024-05-31T00:00:00"/>
    <x v="3"/>
  </r>
  <r>
    <n v="2899"/>
    <n v="16174"/>
    <x v="3"/>
    <n v="108249.16"/>
    <x v="0"/>
    <n v="12"/>
    <x v="3"/>
    <d v="2024-07-20T00:00:00"/>
    <d v="2024-08-01T00:00:00"/>
    <x v="2"/>
  </r>
  <r>
    <n v="2900"/>
    <n v="19346"/>
    <x v="0"/>
    <n v="138467.56"/>
    <x v="0"/>
    <n v="13"/>
    <x v="3"/>
    <d v="2024-12-09T00:00:00"/>
    <d v="2024-12-22T00:00:00"/>
    <x v="11"/>
  </r>
  <r>
    <n v="2901"/>
    <n v="19943"/>
    <x v="3"/>
    <n v="126451.7"/>
    <x v="0"/>
    <n v="41"/>
    <x v="3"/>
    <d v="2024-01-24T00:00:00"/>
    <d v="2024-03-05T00:00:00"/>
    <x v="0"/>
  </r>
  <r>
    <n v="2902"/>
    <n v="15445"/>
    <x v="2"/>
    <n v="34813.32"/>
    <x v="0"/>
    <n v="9"/>
    <x v="3"/>
    <d v="2024-02-15T00:00:00"/>
    <d v="2024-02-24T00:00:00"/>
    <x v="4"/>
  </r>
  <r>
    <n v="2903"/>
    <n v="13338"/>
    <x v="2"/>
    <n v="169734.12"/>
    <x v="0"/>
    <n v="25"/>
    <x v="2"/>
    <d v="2024-08-04T00:00:00"/>
    <d v="2024-08-29T00:00:00"/>
    <x v="8"/>
  </r>
  <r>
    <n v="2904"/>
    <n v="12333"/>
    <x v="3"/>
    <n v="43176.15"/>
    <x v="0"/>
    <n v="15"/>
    <x v="3"/>
    <d v="2024-02-24T00:00:00"/>
    <d v="2024-03-10T00:00:00"/>
    <x v="4"/>
  </r>
  <r>
    <n v="2905"/>
    <n v="14386"/>
    <x v="3"/>
    <n v="186795.02"/>
    <x v="2"/>
    <m/>
    <x v="1"/>
    <d v="2024-03-18T00:00:00"/>
    <m/>
    <x v="5"/>
  </r>
  <r>
    <n v="2906"/>
    <n v="14581"/>
    <x v="0"/>
    <n v="53861.4"/>
    <x v="0"/>
    <n v="37"/>
    <x v="0"/>
    <d v="2024-06-07T00:00:00"/>
    <d v="2024-07-14T00:00:00"/>
    <x v="7"/>
  </r>
  <r>
    <n v="2907"/>
    <n v="16698"/>
    <x v="2"/>
    <n v="148106.79"/>
    <x v="0"/>
    <n v="18"/>
    <x v="1"/>
    <d v="2024-12-09T00:00:00"/>
    <d v="2024-12-27T00:00:00"/>
    <x v="11"/>
  </r>
  <r>
    <n v="2908"/>
    <n v="18359"/>
    <x v="3"/>
    <n v="60507.8"/>
    <x v="0"/>
    <n v="6"/>
    <x v="2"/>
    <d v="2024-09-28T00:00:00"/>
    <d v="2024-10-04T00:00:00"/>
    <x v="9"/>
  </r>
  <r>
    <n v="2909"/>
    <n v="13542"/>
    <x v="3"/>
    <n v="66968.149999999994"/>
    <x v="0"/>
    <n v="4"/>
    <x v="1"/>
    <d v="2024-05-27T00:00:00"/>
    <d v="2024-05-31T00:00:00"/>
    <x v="3"/>
  </r>
  <r>
    <n v="2910"/>
    <n v="15886"/>
    <x v="1"/>
    <n v="65450.36"/>
    <x v="0"/>
    <n v="10"/>
    <x v="0"/>
    <d v="2024-02-07T00:00:00"/>
    <d v="2024-02-17T00:00:00"/>
    <x v="4"/>
  </r>
  <r>
    <n v="2911"/>
    <n v="18054"/>
    <x v="1"/>
    <n v="150838.99"/>
    <x v="1"/>
    <n v="21"/>
    <x v="1"/>
    <d v="2024-04-20T00:00:00"/>
    <d v="2024-05-11T00:00:00"/>
    <x v="10"/>
  </r>
  <r>
    <n v="2912"/>
    <n v="16914"/>
    <x v="3"/>
    <n v="113578.95"/>
    <x v="1"/>
    <n v="21"/>
    <x v="2"/>
    <d v="2024-01-15T00:00:00"/>
    <d v="2024-02-05T00:00:00"/>
    <x v="0"/>
  </r>
  <r>
    <n v="2913"/>
    <n v="17513"/>
    <x v="1"/>
    <n v="177175.73"/>
    <x v="0"/>
    <n v="20"/>
    <x v="3"/>
    <d v="2024-03-18T00:00:00"/>
    <d v="2024-04-07T00:00:00"/>
    <x v="5"/>
  </r>
  <r>
    <n v="2914"/>
    <n v="18269"/>
    <x v="3"/>
    <n v="64937.68"/>
    <x v="0"/>
    <n v="22"/>
    <x v="1"/>
    <d v="2024-03-16T00:00:00"/>
    <d v="2024-04-07T00:00:00"/>
    <x v="5"/>
  </r>
  <r>
    <n v="2915"/>
    <n v="11108"/>
    <x v="3"/>
    <n v="139938.54"/>
    <x v="2"/>
    <m/>
    <x v="2"/>
    <d v="2024-11-23T00:00:00"/>
    <m/>
    <x v="1"/>
  </r>
  <r>
    <n v="2916"/>
    <n v="19083"/>
    <x v="3"/>
    <n v="151824.98000000001"/>
    <x v="1"/>
    <n v="34"/>
    <x v="2"/>
    <d v="2024-10-01T00:00:00"/>
    <d v="2024-11-04T00:00:00"/>
    <x v="6"/>
  </r>
  <r>
    <n v="2917"/>
    <n v="14756"/>
    <x v="3"/>
    <n v="34539.01"/>
    <x v="0"/>
    <n v="6"/>
    <x v="0"/>
    <d v="2024-07-15T00:00:00"/>
    <d v="2024-07-21T00:00:00"/>
    <x v="2"/>
  </r>
  <r>
    <n v="2918"/>
    <n v="11224"/>
    <x v="3"/>
    <n v="83114.92"/>
    <x v="0"/>
    <n v="25"/>
    <x v="0"/>
    <d v="2024-08-06T00:00:00"/>
    <d v="2024-08-31T00:00:00"/>
    <x v="8"/>
  </r>
  <r>
    <n v="2919"/>
    <n v="17528"/>
    <x v="3"/>
    <n v="99149.41"/>
    <x v="0"/>
    <n v="16"/>
    <x v="1"/>
    <d v="2024-03-03T00:00:00"/>
    <d v="2024-03-19T00:00:00"/>
    <x v="5"/>
  </r>
  <r>
    <n v="2920"/>
    <n v="18756"/>
    <x v="3"/>
    <n v="74359.039999999994"/>
    <x v="0"/>
    <n v="27"/>
    <x v="3"/>
    <d v="2024-12-26T00:00:00"/>
    <d v="2025-01-22T00:00:00"/>
    <x v="11"/>
  </r>
  <r>
    <n v="2921"/>
    <n v="12859"/>
    <x v="3"/>
    <n v="67811.960000000006"/>
    <x v="0"/>
    <n v="26"/>
    <x v="2"/>
    <d v="2024-02-01T00:00:00"/>
    <d v="2024-02-27T00:00:00"/>
    <x v="4"/>
  </r>
  <r>
    <n v="2922"/>
    <n v="18493"/>
    <x v="3"/>
    <n v="138851.88"/>
    <x v="0"/>
    <n v="29"/>
    <x v="1"/>
    <d v="2024-08-20T00:00:00"/>
    <d v="2024-09-18T00:00:00"/>
    <x v="8"/>
  </r>
  <r>
    <n v="2923"/>
    <n v="18300"/>
    <x v="2"/>
    <n v="47093.95"/>
    <x v="0"/>
    <n v="34"/>
    <x v="2"/>
    <d v="2024-04-19T00:00:00"/>
    <d v="2024-05-23T00:00:00"/>
    <x v="10"/>
  </r>
  <r>
    <n v="2924"/>
    <n v="12412"/>
    <x v="3"/>
    <n v="143331.20000000001"/>
    <x v="0"/>
    <n v="19"/>
    <x v="2"/>
    <d v="2024-06-13T00:00:00"/>
    <d v="2024-07-02T00:00:00"/>
    <x v="7"/>
  </r>
  <r>
    <n v="2925"/>
    <n v="12647"/>
    <x v="3"/>
    <n v="187333.62"/>
    <x v="1"/>
    <n v="19"/>
    <x v="3"/>
    <d v="2024-07-12T00:00:00"/>
    <d v="2024-07-31T00:00:00"/>
    <x v="2"/>
  </r>
  <r>
    <n v="2926"/>
    <n v="13338"/>
    <x v="1"/>
    <n v="115213.52"/>
    <x v="1"/>
    <n v="39"/>
    <x v="3"/>
    <d v="2024-01-07T00:00:00"/>
    <d v="2024-02-15T00:00:00"/>
    <x v="0"/>
  </r>
  <r>
    <n v="2927"/>
    <n v="15804"/>
    <x v="2"/>
    <n v="124229.68"/>
    <x v="0"/>
    <n v="34"/>
    <x v="1"/>
    <d v="2024-05-18T00:00:00"/>
    <d v="2024-06-21T00:00:00"/>
    <x v="3"/>
  </r>
  <r>
    <n v="2928"/>
    <n v="17231"/>
    <x v="3"/>
    <n v="18441.88"/>
    <x v="1"/>
    <n v="28"/>
    <x v="3"/>
    <d v="2024-12-08T00:00:00"/>
    <d v="2025-01-05T00:00:00"/>
    <x v="11"/>
  </r>
  <r>
    <n v="2929"/>
    <n v="14523"/>
    <x v="1"/>
    <n v="173573"/>
    <x v="0"/>
    <n v="16"/>
    <x v="3"/>
    <d v="2024-10-13T00:00:00"/>
    <d v="2024-10-29T00:00:00"/>
    <x v="6"/>
  </r>
  <r>
    <n v="2930"/>
    <n v="13813"/>
    <x v="1"/>
    <n v="60662.32"/>
    <x v="1"/>
    <n v="14"/>
    <x v="1"/>
    <d v="2024-10-27T00:00:00"/>
    <d v="2024-11-10T00:00:00"/>
    <x v="6"/>
  </r>
  <r>
    <n v="2931"/>
    <n v="13645"/>
    <x v="1"/>
    <n v="124934.98"/>
    <x v="0"/>
    <n v="35"/>
    <x v="3"/>
    <d v="2024-02-25T00:00:00"/>
    <d v="2024-03-31T00:00:00"/>
    <x v="4"/>
  </r>
  <r>
    <n v="2932"/>
    <n v="13417"/>
    <x v="3"/>
    <n v="195926.87"/>
    <x v="0"/>
    <n v="5"/>
    <x v="0"/>
    <d v="2024-06-08T00:00:00"/>
    <d v="2024-06-13T00:00:00"/>
    <x v="7"/>
  </r>
  <r>
    <n v="2933"/>
    <n v="10011"/>
    <x v="1"/>
    <n v="121123.01"/>
    <x v="0"/>
    <n v="36"/>
    <x v="2"/>
    <d v="2024-05-28T00:00:00"/>
    <d v="2024-07-03T00:00:00"/>
    <x v="3"/>
  </r>
  <r>
    <n v="2934"/>
    <n v="16609"/>
    <x v="3"/>
    <n v="146318.35"/>
    <x v="0"/>
    <n v="20"/>
    <x v="2"/>
    <d v="2024-10-13T00:00:00"/>
    <d v="2024-11-02T00:00:00"/>
    <x v="6"/>
  </r>
  <r>
    <n v="2935"/>
    <n v="13145"/>
    <x v="1"/>
    <n v="91837.33"/>
    <x v="2"/>
    <m/>
    <x v="2"/>
    <d v="2024-09-13T00:00:00"/>
    <m/>
    <x v="9"/>
  </r>
  <r>
    <n v="2936"/>
    <n v="10874"/>
    <x v="1"/>
    <n v="16771.34"/>
    <x v="0"/>
    <n v="26"/>
    <x v="2"/>
    <d v="2024-05-18T00:00:00"/>
    <d v="2024-06-13T00:00:00"/>
    <x v="3"/>
  </r>
  <r>
    <n v="2937"/>
    <n v="17303"/>
    <x v="3"/>
    <n v="160531.87"/>
    <x v="0"/>
    <n v="41"/>
    <x v="1"/>
    <d v="2024-12-14T00:00:00"/>
    <d v="2025-01-24T00:00:00"/>
    <x v="11"/>
  </r>
  <r>
    <n v="2938"/>
    <n v="10883"/>
    <x v="0"/>
    <n v="11824.77"/>
    <x v="0"/>
    <n v="13"/>
    <x v="2"/>
    <d v="2024-11-19T00:00:00"/>
    <d v="2024-12-02T00:00:00"/>
    <x v="1"/>
  </r>
  <r>
    <n v="2939"/>
    <n v="14650"/>
    <x v="3"/>
    <n v="141628.28"/>
    <x v="0"/>
    <n v="13"/>
    <x v="2"/>
    <d v="2024-10-18T00:00:00"/>
    <d v="2024-10-31T00:00:00"/>
    <x v="6"/>
  </r>
  <r>
    <n v="2940"/>
    <n v="17710"/>
    <x v="0"/>
    <n v="9469.7099999999991"/>
    <x v="0"/>
    <n v="43"/>
    <x v="2"/>
    <d v="2024-11-30T00:00:00"/>
    <d v="2025-01-12T00:00:00"/>
    <x v="1"/>
  </r>
  <r>
    <n v="2941"/>
    <n v="16797"/>
    <x v="3"/>
    <n v="173149.52"/>
    <x v="0"/>
    <n v="26"/>
    <x v="2"/>
    <d v="2024-07-05T00:00:00"/>
    <d v="2024-07-31T00:00:00"/>
    <x v="2"/>
  </r>
  <r>
    <n v="2942"/>
    <n v="15439"/>
    <x v="3"/>
    <n v="35739.03"/>
    <x v="1"/>
    <n v="34"/>
    <x v="0"/>
    <d v="2024-11-18T00:00:00"/>
    <d v="2024-12-22T00:00:00"/>
    <x v="1"/>
  </r>
  <r>
    <n v="2943"/>
    <n v="17008"/>
    <x v="3"/>
    <n v="105282.94"/>
    <x v="1"/>
    <n v="38"/>
    <x v="2"/>
    <d v="2024-07-02T00:00:00"/>
    <d v="2024-08-09T00:00:00"/>
    <x v="2"/>
  </r>
  <r>
    <n v="2944"/>
    <n v="19771"/>
    <x v="2"/>
    <n v="121444.39"/>
    <x v="2"/>
    <m/>
    <x v="0"/>
    <d v="2024-11-02T00:00:00"/>
    <m/>
    <x v="1"/>
  </r>
  <r>
    <n v="2945"/>
    <n v="18544"/>
    <x v="3"/>
    <n v="94221.35"/>
    <x v="0"/>
    <n v="44"/>
    <x v="1"/>
    <d v="2024-09-18T00:00:00"/>
    <d v="2024-11-01T00:00:00"/>
    <x v="9"/>
  </r>
  <r>
    <n v="2946"/>
    <n v="18162"/>
    <x v="3"/>
    <n v="71448.88"/>
    <x v="1"/>
    <n v="10"/>
    <x v="3"/>
    <d v="2024-11-05T00:00:00"/>
    <d v="2024-11-15T00:00:00"/>
    <x v="1"/>
  </r>
  <r>
    <n v="2947"/>
    <n v="19698"/>
    <x v="3"/>
    <n v="96223.79"/>
    <x v="0"/>
    <n v="15"/>
    <x v="2"/>
    <d v="2024-12-09T00:00:00"/>
    <d v="2024-12-24T00:00:00"/>
    <x v="11"/>
  </r>
  <r>
    <n v="2948"/>
    <n v="13487"/>
    <x v="1"/>
    <n v="65726.070000000007"/>
    <x v="0"/>
    <n v="4"/>
    <x v="3"/>
    <d v="2024-05-24T00:00:00"/>
    <d v="2024-05-28T00:00:00"/>
    <x v="3"/>
  </r>
  <r>
    <n v="2949"/>
    <n v="17537"/>
    <x v="1"/>
    <n v="90433.86"/>
    <x v="0"/>
    <n v="6"/>
    <x v="3"/>
    <d v="2024-09-17T00:00:00"/>
    <d v="2024-09-23T00:00:00"/>
    <x v="9"/>
  </r>
  <r>
    <n v="2950"/>
    <n v="12390"/>
    <x v="3"/>
    <n v="74988.03"/>
    <x v="2"/>
    <m/>
    <x v="1"/>
    <d v="2024-01-02T00:00:00"/>
    <m/>
    <x v="0"/>
  </r>
  <r>
    <n v="2951"/>
    <n v="14030"/>
    <x v="3"/>
    <n v="115409.94"/>
    <x v="1"/>
    <n v="42"/>
    <x v="3"/>
    <d v="2024-11-09T00:00:00"/>
    <d v="2024-12-21T00:00:00"/>
    <x v="1"/>
  </r>
  <r>
    <n v="2952"/>
    <n v="17492"/>
    <x v="3"/>
    <n v="51395.21"/>
    <x v="2"/>
    <m/>
    <x v="0"/>
    <d v="2024-01-12T00:00:00"/>
    <m/>
    <x v="0"/>
  </r>
  <r>
    <n v="2953"/>
    <n v="13438"/>
    <x v="3"/>
    <n v="197788.03"/>
    <x v="1"/>
    <n v="39"/>
    <x v="3"/>
    <d v="2024-09-17T00:00:00"/>
    <d v="2024-10-26T00:00:00"/>
    <x v="9"/>
  </r>
  <r>
    <n v="2954"/>
    <n v="12383"/>
    <x v="3"/>
    <n v="102669.64"/>
    <x v="2"/>
    <m/>
    <x v="3"/>
    <d v="2024-12-27T00:00:00"/>
    <m/>
    <x v="11"/>
  </r>
  <r>
    <n v="2955"/>
    <n v="13367"/>
    <x v="1"/>
    <n v="42861.61"/>
    <x v="1"/>
    <n v="40"/>
    <x v="3"/>
    <d v="2024-06-17T00:00:00"/>
    <d v="2024-07-27T00:00:00"/>
    <x v="7"/>
  </r>
  <r>
    <n v="2956"/>
    <n v="16167"/>
    <x v="3"/>
    <n v="98028.02"/>
    <x v="0"/>
    <n v="17"/>
    <x v="2"/>
    <d v="2024-05-27T00:00:00"/>
    <d v="2024-06-13T00:00:00"/>
    <x v="3"/>
  </r>
  <r>
    <n v="2957"/>
    <n v="11465"/>
    <x v="3"/>
    <n v="173950.95"/>
    <x v="0"/>
    <n v="41"/>
    <x v="2"/>
    <d v="2024-07-18T00:00:00"/>
    <d v="2024-08-28T00:00:00"/>
    <x v="2"/>
  </r>
  <r>
    <n v="2958"/>
    <n v="12151"/>
    <x v="3"/>
    <n v="9252.32"/>
    <x v="0"/>
    <n v="24"/>
    <x v="0"/>
    <d v="2024-11-07T00:00:00"/>
    <d v="2024-12-01T00:00:00"/>
    <x v="1"/>
  </r>
  <r>
    <n v="2959"/>
    <n v="13483"/>
    <x v="2"/>
    <n v="137513.04999999999"/>
    <x v="0"/>
    <n v="30"/>
    <x v="0"/>
    <d v="2024-03-10T00:00:00"/>
    <d v="2024-04-09T00:00:00"/>
    <x v="5"/>
  </r>
  <r>
    <n v="2960"/>
    <n v="10573"/>
    <x v="2"/>
    <n v="111853.72"/>
    <x v="0"/>
    <n v="11"/>
    <x v="2"/>
    <d v="2024-11-07T00:00:00"/>
    <d v="2024-11-18T00:00:00"/>
    <x v="1"/>
  </r>
  <r>
    <n v="2961"/>
    <n v="10774"/>
    <x v="0"/>
    <n v="38063.81"/>
    <x v="0"/>
    <n v="6"/>
    <x v="0"/>
    <d v="2024-02-23T00:00:00"/>
    <d v="2024-02-29T00:00:00"/>
    <x v="4"/>
  </r>
  <r>
    <n v="2962"/>
    <n v="17030"/>
    <x v="3"/>
    <n v="164407.91"/>
    <x v="0"/>
    <n v="12"/>
    <x v="2"/>
    <d v="2024-09-15T00:00:00"/>
    <d v="2024-09-27T00:00:00"/>
    <x v="9"/>
  </r>
  <r>
    <n v="2963"/>
    <n v="14338"/>
    <x v="3"/>
    <n v="76932.5"/>
    <x v="2"/>
    <m/>
    <x v="1"/>
    <d v="2024-12-16T00:00:00"/>
    <m/>
    <x v="11"/>
  </r>
  <r>
    <n v="2964"/>
    <n v="18021"/>
    <x v="3"/>
    <n v="62291.4"/>
    <x v="2"/>
    <m/>
    <x v="3"/>
    <d v="2024-01-28T00:00:00"/>
    <m/>
    <x v="0"/>
  </r>
  <r>
    <n v="2965"/>
    <n v="13930"/>
    <x v="3"/>
    <n v="166484.41"/>
    <x v="0"/>
    <n v="35"/>
    <x v="3"/>
    <d v="2024-12-28T00:00:00"/>
    <d v="2025-02-01T00:00:00"/>
    <x v="11"/>
  </r>
  <r>
    <n v="2966"/>
    <n v="14960"/>
    <x v="1"/>
    <n v="129512.38"/>
    <x v="0"/>
    <n v="15"/>
    <x v="0"/>
    <d v="2024-04-29T00:00:00"/>
    <d v="2024-05-14T00:00:00"/>
    <x v="10"/>
  </r>
  <r>
    <n v="2967"/>
    <n v="12220"/>
    <x v="1"/>
    <n v="180160.52"/>
    <x v="0"/>
    <n v="42"/>
    <x v="2"/>
    <d v="2024-05-12T00:00:00"/>
    <d v="2024-06-23T00:00:00"/>
    <x v="3"/>
  </r>
  <r>
    <n v="2968"/>
    <n v="11439"/>
    <x v="0"/>
    <n v="127827.32"/>
    <x v="0"/>
    <n v="43"/>
    <x v="2"/>
    <d v="2024-03-30T00:00:00"/>
    <d v="2024-05-12T00:00:00"/>
    <x v="5"/>
  </r>
  <r>
    <n v="2969"/>
    <n v="16246"/>
    <x v="0"/>
    <n v="149459.44"/>
    <x v="1"/>
    <n v="11"/>
    <x v="0"/>
    <d v="2024-01-16T00:00:00"/>
    <d v="2024-01-27T00:00:00"/>
    <x v="0"/>
  </r>
  <r>
    <n v="2970"/>
    <n v="17424"/>
    <x v="3"/>
    <n v="168106.95"/>
    <x v="0"/>
    <n v="43"/>
    <x v="2"/>
    <d v="2024-10-13T00:00:00"/>
    <d v="2024-11-25T00:00:00"/>
    <x v="6"/>
  </r>
  <r>
    <n v="2971"/>
    <n v="18905"/>
    <x v="1"/>
    <n v="15674.23"/>
    <x v="0"/>
    <n v="12"/>
    <x v="1"/>
    <d v="2024-10-10T00:00:00"/>
    <d v="2024-10-22T00:00:00"/>
    <x v="6"/>
  </r>
  <r>
    <n v="2972"/>
    <n v="16700"/>
    <x v="3"/>
    <n v="156329.54999999999"/>
    <x v="1"/>
    <n v="12"/>
    <x v="3"/>
    <d v="2024-08-17T00:00:00"/>
    <d v="2024-08-29T00:00:00"/>
    <x v="8"/>
  </r>
  <r>
    <n v="2973"/>
    <n v="18767"/>
    <x v="3"/>
    <n v="124672.76"/>
    <x v="1"/>
    <n v="36"/>
    <x v="0"/>
    <d v="2024-05-16T00:00:00"/>
    <d v="2024-06-21T00:00:00"/>
    <x v="3"/>
  </r>
  <r>
    <n v="2974"/>
    <n v="16339"/>
    <x v="1"/>
    <n v="18554.02"/>
    <x v="0"/>
    <n v="20"/>
    <x v="0"/>
    <d v="2024-10-21T00:00:00"/>
    <d v="2024-11-10T00:00:00"/>
    <x v="6"/>
  </r>
  <r>
    <n v="2975"/>
    <n v="15084"/>
    <x v="3"/>
    <n v="104172.69"/>
    <x v="1"/>
    <n v="25"/>
    <x v="2"/>
    <d v="2024-08-14T00:00:00"/>
    <d v="2024-09-08T00:00:00"/>
    <x v="8"/>
  </r>
  <r>
    <n v="2976"/>
    <n v="15510"/>
    <x v="3"/>
    <n v="21079.33"/>
    <x v="0"/>
    <n v="2"/>
    <x v="0"/>
    <d v="2024-01-27T00:00:00"/>
    <d v="2024-01-29T00:00:00"/>
    <x v="0"/>
  </r>
  <r>
    <n v="2977"/>
    <n v="10069"/>
    <x v="3"/>
    <n v="148509.70000000001"/>
    <x v="0"/>
    <n v="13"/>
    <x v="1"/>
    <d v="2024-11-27T00:00:00"/>
    <d v="2024-12-10T00:00:00"/>
    <x v="1"/>
  </r>
  <r>
    <n v="2978"/>
    <n v="19109"/>
    <x v="1"/>
    <n v="111567.83"/>
    <x v="0"/>
    <n v="15"/>
    <x v="2"/>
    <d v="2024-04-26T00:00:00"/>
    <d v="2024-05-11T00:00:00"/>
    <x v="10"/>
  </r>
  <r>
    <n v="2979"/>
    <n v="18934"/>
    <x v="1"/>
    <n v="190946.84"/>
    <x v="0"/>
    <n v="4"/>
    <x v="2"/>
    <d v="2024-03-29T00:00:00"/>
    <d v="2024-04-02T00:00:00"/>
    <x v="5"/>
  </r>
  <r>
    <n v="2980"/>
    <n v="16728"/>
    <x v="3"/>
    <n v="40711.4"/>
    <x v="0"/>
    <n v="33"/>
    <x v="2"/>
    <d v="2024-04-16T00:00:00"/>
    <d v="2024-05-19T00:00:00"/>
    <x v="10"/>
  </r>
  <r>
    <n v="2981"/>
    <n v="14150"/>
    <x v="0"/>
    <n v="123176.52"/>
    <x v="0"/>
    <n v="17"/>
    <x v="2"/>
    <d v="2024-08-08T00:00:00"/>
    <d v="2024-08-25T00:00:00"/>
    <x v="8"/>
  </r>
  <r>
    <n v="2982"/>
    <n v="12533"/>
    <x v="3"/>
    <n v="46258.52"/>
    <x v="0"/>
    <n v="39"/>
    <x v="1"/>
    <d v="2024-08-10T00:00:00"/>
    <d v="2024-09-18T00:00:00"/>
    <x v="8"/>
  </r>
  <r>
    <n v="2983"/>
    <n v="17410"/>
    <x v="3"/>
    <n v="124742.67"/>
    <x v="1"/>
    <n v="11"/>
    <x v="2"/>
    <d v="2024-05-01T00:00:00"/>
    <d v="2024-05-12T00:00:00"/>
    <x v="3"/>
  </r>
  <r>
    <n v="2984"/>
    <n v="19568"/>
    <x v="1"/>
    <n v="145916.69"/>
    <x v="0"/>
    <n v="18"/>
    <x v="0"/>
    <d v="2024-12-19T00:00:00"/>
    <d v="2025-01-06T00:00:00"/>
    <x v="11"/>
  </r>
  <r>
    <n v="2985"/>
    <n v="18601"/>
    <x v="1"/>
    <n v="145849.34"/>
    <x v="0"/>
    <n v="41"/>
    <x v="1"/>
    <d v="2024-02-02T00:00:00"/>
    <d v="2024-03-14T00:00:00"/>
    <x v="4"/>
  </r>
  <r>
    <n v="2986"/>
    <n v="13007"/>
    <x v="2"/>
    <n v="163939.43"/>
    <x v="1"/>
    <n v="5"/>
    <x v="3"/>
    <d v="2024-03-31T00:00:00"/>
    <d v="2024-04-05T00:00:00"/>
    <x v="5"/>
  </r>
  <r>
    <n v="2987"/>
    <n v="18143"/>
    <x v="3"/>
    <n v="171442.29"/>
    <x v="0"/>
    <n v="16"/>
    <x v="3"/>
    <d v="2024-07-02T00:00:00"/>
    <d v="2024-07-18T00:00:00"/>
    <x v="2"/>
  </r>
  <r>
    <n v="2988"/>
    <n v="16870"/>
    <x v="1"/>
    <n v="20067.990000000002"/>
    <x v="2"/>
    <m/>
    <x v="0"/>
    <d v="2024-09-14T00:00:00"/>
    <m/>
    <x v="9"/>
  </r>
  <r>
    <n v="2989"/>
    <n v="15134"/>
    <x v="1"/>
    <n v="71937.100000000006"/>
    <x v="0"/>
    <n v="40"/>
    <x v="0"/>
    <d v="2024-01-13T00:00:00"/>
    <d v="2024-02-22T00:00:00"/>
    <x v="0"/>
  </r>
  <r>
    <n v="2990"/>
    <n v="14242"/>
    <x v="2"/>
    <n v="138988.89000000001"/>
    <x v="0"/>
    <n v="11"/>
    <x v="1"/>
    <d v="2024-01-24T00:00:00"/>
    <d v="2024-02-04T00:00:00"/>
    <x v="0"/>
  </r>
  <r>
    <n v="2991"/>
    <n v="15609"/>
    <x v="3"/>
    <n v="102224.33"/>
    <x v="0"/>
    <n v="8"/>
    <x v="3"/>
    <d v="2024-11-20T00:00:00"/>
    <d v="2024-11-28T00:00:00"/>
    <x v="1"/>
  </r>
  <r>
    <n v="2992"/>
    <n v="19871"/>
    <x v="1"/>
    <n v="42181.81"/>
    <x v="0"/>
    <n v="34"/>
    <x v="3"/>
    <d v="2024-02-03T00:00:00"/>
    <d v="2024-03-08T00:00:00"/>
    <x v="4"/>
  </r>
  <r>
    <n v="2993"/>
    <n v="17778"/>
    <x v="1"/>
    <n v="112778.37"/>
    <x v="0"/>
    <n v="18"/>
    <x v="3"/>
    <d v="2024-09-03T00:00:00"/>
    <d v="2024-09-21T00:00:00"/>
    <x v="9"/>
  </r>
  <r>
    <n v="2994"/>
    <n v="19906"/>
    <x v="3"/>
    <n v="84449.95"/>
    <x v="0"/>
    <n v="13"/>
    <x v="3"/>
    <d v="2024-12-08T00:00:00"/>
    <d v="2024-12-21T00:00:00"/>
    <x v="11"/>
  </r>
  <r>
    <n v="2995"/>
    <n v="11197"/>
    <x v="3"/>
    <n v="81057.460000000006"/>
    <x v="0"/>
    <n v="18"/>
    <x v="3"/>
    <d v="2024-01-19T00:00:00"/>
    <d v="2024-02-06T00:00:00"/>
    <x v="0"/>
  </r>
  <r>
    <n v="2996"/>
    <n v="12337"/>
    <x v="3"/>
    <n v="162901.97"/>
    <x v="0"/>
    <n v="17"/>
    <x v="2"/>
    <d v="2024-01-30T00:00:00"/>
    <d v="2024-02-16T00:00:00"/>
    <x v="0"/>
  </r>
  <r>
    <n v="2997"/>
    <n v="18086"/>
    <x v="1"/>
    <n v="84481.68"/>
    <x v="0"/>
    <n v="15"/>
    <x v="0"/>
    <d v="2024-02-18T00:00:00"/>
    <d v="2024-03-04T00:00:00"/>
    <x v="4"/>
  </r>
  <r>
    <n v="2998"/>
    <n v="13193"/>
    <x v="0"/>
    <n v="10158.629999999999"/>
    <x v="0"/>
    <n v="4"/>
    <x v="2"/>
    <d v="2024-06-28T00:00:00"/>
    <d v="2024-07-02T00:00:00"/>
    <x v="7"/>
  </r>
  <r>
    <n v="2999"/>
    <n v="18218"/>
    <x v="1"/>
    <n v="16322.35"/>
    <x v="0"/>
    <n v="31"/>
    <x v="3"/>
    <d v="2024-08-13T00:00:00"/>
    <d v="2024-09-13T00:00:00"/>
    <x v="8"/>
  </r>
  <r>
    <n v="3000"/>
    <n v="15220"/>
    <x v="1"/>
    <n v="171967.59"/>
    <x v="0"/>
    <n v="42"/>
    <x v="1"/>
    <d v="2024-03-18T00:00:00"/>
    <d v="2024-04-29T00:00:00"/>
    <x v="5"/>
  </r>
  <r>
    <n v="3001"/>
    <n v="12973"/>
    <x v="1"/>
    <n v="192317.16"/>
    <x v="0"/>
    <n v="36"/>
    <x v="1"/>
    <d v="2024-07-25T00:00:00"/>
    <d v="2024-08-30T00:00:00"/>
    <x v="2"/>
  </r>
  <r>
    <n v="3002"/>
    <n v="16531"/>
    <x v="3"/>
    <n v="139239.82"/>
    <x v="0"/>
    <n v="27"/>
    <x v="3"/>
    <d v="2024-02-04T00:00:00"/>
    <d v="2024-03-02T00:00:00"/>
    <x v="4"/>
  </r>
  <r>
    <n v="3003"/>
    <n v="13165"/>
    <x v="3"/>
    <n v="76051.820000000007"/>
    <x v="1"/>
    <n v="13"/>
    <x v="3"/>
    <d v="2024-09-06T00:00:00"/>
    <d v="2024-09-19T00:00:00"/>
    <x v="9"/>
  </r>
  <r>
    <n v="3004"/>
    <n v="11090"/>
    <x v="3"/>
    <n v="188027.06"/>
    <x v="0"/>
    <n v="32"/>
    <x v="1"/>
    <d v="2024-03-11T00:00:00"/>
    <d v="2024-04-12T00:00:00"/>
    <x v="5"/>
  </r>
  <r>
    <n v="3005"/>
    <n v="18441"/>
    <x v="3"/>
    <n v="134246.6"/>
    <x v="1"/>
    <n v="18"/>
    <x v="2"/>
    <d v="2024-12-29T00:00:00"/>
    <d v="2025-01-16T00:00:00"/>
    <x v="11"/>
  </r>
  <r>
    <n v="3006"/>
    <n v="10141"/>
    <x v="3"/>
    <n v="169645.04"/>
    <x v="0"/>
    <n v="38"/>
    <x v="2"/>
    <d v="2024-11-05T00:00:00"/>
    <d v="2024-12-13T00:00:00"/>
    <x v="1"/>
  </r>
  <r>
    <n v="3007"/>
    <n v="10266"/>
    <x v="1"/>
    <n v="154341.20000000001"/>
    <x v="0"/>
    <n v="9"/>
    <x v="3"/>
    <d v="2024-10-05T00:00:00"/>
    <d v="2024-10-14T00:00:00"/>
    <x v="6"/>
  </r>
  <r>
    <n v="3008"/>
    <n v="17719"/>
    <x v="3"/>
    <n v="78932.17"/>
    <x v="0"/>
    <n v="20"/>
    <x v="2"/>
    <d v="2024-05-31T00:00:00"/>
    <d v="2024-06-20T00:00:00"/>
    <x v="3"/>
  </r>
  <r>
    <n v="3009"/>
    <n v="14310"/>
    <x v="3"/>
    <n v="98346.93"/>
    <x v="1"/>
    <n v="27"/>
    <x v="1"/>
    <d v="2024-08-14T00:00:00"/>
    <d v="2024-09-10T00:00:00"/>
    <x v="8"/>
  </r>
  <r>
    <n v="3010"/>
    <n v="18680"/>
    <x v="3"/>
    <n v="41295.769999999997"/>
    <x v="0"/>
    <n v="5"/>
    <x v="2"/>
    <d v="2024-08-30T00:00:00"/>
    <d v="2024-09-04T00:00:00"/>
    <x v="8"/>
  </r>
  <r>
    <n v="3011"/>
    <n v="18687"/>
    <x v="3"/>
    <n v="61942.75"/>
    <x v="0"/>
    <n v="16"/>
    <x v="3"/>
    <d v="2024-01-10T00:00:00"/>
    <d v="2024-01-26T00:00:00"/>
    <x v="0"/>
  </r>
  <r>
    <n v="3012"/>
    <n v="10479"/>
    <x v="2"/>
    <n v="156734.5"/>
    <x v="0"/>
    <n v="15"/>
    <x v="1"/>
    <d v="2024-11-12T00:00:00"/>
    <d v="2024-11-27T00:00:00"/>
    <x v="1"/>
  </r>
  <r>
    <n v="3013"/>
    <n v="12690"/>
    <x v="0"/>
    <n v="179325.79"/>
    <x v="0"/>
    <n v="31"/>
    <x v="2"/>
    <d v="2024-02-17T00:00:00"/>
    <d v="2024-03-19T00:00:00"/>
    <x v="4"/>
  </r>
  <r>
    <n v="3014"/>
    <n v="15999"/>
    <x v="1"/>
    <n v="146269.78"/>
    <x v="0"/>
    <n v="43"/>
    <x v="0"/>
    <d v="2024-04-21T00:00:00"/>
    <d v="2024-06-03T00:00:00"/>
    <x v="10"/>
  </r>
  <r>
    <n v="3015"/>
    <n v="14936"/>
    <x v="3"/>
    <n v="95708.87"/>
    <x v="0"/>
    <n v="25"/>
    <x v="1"/>
    <d v="2024-07-22T00:00:00"/>
    <d v="2024-08-16T00:00:00"/>
    <x v="2"/>
  </r>
  <r>
    <n v="3016"/>
    <n v="12427"/>
    <x v="1"/>
    <n v="21869.31"/>
    <x v="0"/>
    <n v="44"/>
    <x v="1"/>
    <d v="2024-06-05T00:00:00"/>
    <d v="2024-07-19T00:00:00"/>
    <x v="7"/>
  </r>
  <r>
    <n v="3017"/>
    <n v="19035"/>
    <x v="0"/>
    <n v="16104.85"/>
    <x v="0"/>
    <n v="35"/>
    <x v="0"/>
    <d v="2024-12-08T00:00:00"/>
    <d v="2025-01-12T00:00:00"/>
    <x v="11"/>
  </r>
  <r>
    <n v="3018"/>
    <n v="18064"/>
    <x v="1"/>
    <n v="77993.490000000005"/>
    <x v="0"/>
    <n v="20"/>
    <x v="0"/>
    <d v="2024-01-26T00:00:00"/>
    <d v="2024-02-15T00:00:00"/>
    <x v="0"/>
  </r>
  <r>
    <n v="3019"/>
    <n v="13215"/>
    <x v="3"/>
    <n v="95445.24"/>
    <x v="1"/>
    <n v="4"/>
    <x v="1"/>
    <d v="2024-11-03T00:00:00"/>
    <d v="2024-11-07T00:00:00"/>
    <x v="1"/>
  </r>
  <r>
    <n v="3020"/>
    <n v="15981"/>
    <x v="1"/>
    <n v="123778.52"/>
    <x v="1"/>
    <n v="5"/>
    <x v="0"/>
    <d v="2024-06-14T00:00:00"/>
    <d v="2024-06-19T00:00:00"/>
    <x v="7"/>
  </r>
  <r>
    <n v="3021"/>
    <n v="13911"/>
    <x v="0"/>
    <n v="6265.46"/>
    <x v="0"/>
    <n v="12"/>
    <x v="3"/>
    <d v="2024-09-05T00:00:00"/>
    <d v="2024-09-17T00:00:00"/>
    <x v="9"/>
  </r>
  <r>
    <n v="3022"/>
    <n v="14077"/>
    <x v="1"/>
    <n v="197995.96"/>
    <x v="0"/>
    <n v="14"/>
    <x v="3"/>
    <d v="2024-09-18T00:00:00"/>
    <d v="2024-10-02T00:00:00"/>
    <x v="9"/>
  </r>
  <r>
    <n v="3023"/>
    <n v="12349"/>
    <x v="1"/>
    <n v="75968.08"/>
    <x v="1"/>
    <n v="19"/>
    <x v="3"/>
    <d v="2024-09-20T00:00:00"/>
    <d v="2024-10-09T00:00:00"/>
    <x v="9"/>
  </r>
  <r>
    <n v="3024"/>
    <n v="10649"/>
    <x v="3"/>
    <n v="170378.46"/>
    <x v="0"/>
    <n v="20"/>
    <x v="1"/>
    <d v="2024-01-17T00:00:00"/>
    <d v="2024-02-06T00:00:00"/>
    <x v="0"/>
  </r>
  <r>
    <n v="3025"/>
    <n v="15536"/>
    <x v="1"/>
    <n v="109318.51"/>
    <x v="0"/>
    <n v="34"/>
    <x v="0"/>
    <d v="2024-03-16T00:00:00"/>
    <d v="2024-04-19T00:00:00"/>
    <x v="5"/>
  </r>
  <r>
    <n v="3026"/>
    <n v="12856"/>
    <x v="3"/>
    <n v="30435.69"/>
    <x v="1"/>
    <n v="39"/>
    <x v="0"/>
    <d v="2024-09-10T00:00:00"/>
    <d v="2024-10-19T00:00:00"/>
    <x v="9"/>
  </r>
  <r>
    <n v="3027"/>
    <n v="15578"/>
    <x v="1"/>
    <n v="160525.28"/>
    <x v="0"/>
    <n v="4"/>
    <x v="2"/>
    <d v="2024-07-24T00:00:00"/>
    <d v="2024-07-28T00:00:00"/>
    <x v="2"/>
  </r>
  <r>
    <n v="3028"/>
    <n v="11725"/>
    <x v="3"/>
    <n v="143416.28"/>
    <x v="0"/>
    <n v="36"/>
    <x v="2"/>
    <d v="2024-02-03T00:00:00"/>
    <d v="2024-03-10T00:00:00"/>
    <x v="4"/>
  </r>
  <r>
    <n v="3029"/>
    <n v="18116"/>
    <x v="3"/>
    <n v="107850.04"/>
    <x v="1"/>
    <n v="2"/>
    <x v="0"/>
    <d v="2024-05-26T00:00:00"/>
    <d v="2024-05-28T00:00:00"/>
    <x v="3"/>
  </r>
  <r>
    <n v="3030"/>
    <n v="11354"/>
    <x v="3"/>
    <n v="105337.85"/>
    <x v="0"/>
    <n v="36"/>
    <x v="0"/>
    <d v="2024-11-21T00:00:00"/>
    <d v="2024-12-27T00:00:00"/>
    <x v="1"/>
  </r>
  <r>
    <n v="3031"/>
    <n v="11293"/>
    <x v="1"/>
    <n v="22058.52"/>
    <x v="1"/>
    <n v="37"/>
    <x v="0"/>
    <d v="2024-12-03T00:00:00"/>
    <d v="2025-01-09T00:00:00"/>
    <x v="11"/>
  </r>
  <r>
    <n v="3032"/>
    <n v="13258"/>
    <x v="3"/>
    <n v="132890.54"/>
    <x v="1"/>
    <n v="39"/>
    <x v="1"/>
    <d v="2024-08-15T00:00:00"/>
    <d v="2024-09-23T00:00:00"/>
    <x v="8"/>
  </r>
  <r>
    <n v="3033"/>
    <n v="12713"/>
    <x v="1"/>
    <n v="182692.81"/>
    <x v="2"/>
    <m/>
    <x v="0"/>
    <d v="2024-04-27T00:00:00"/>
    <m/>
    <x v="10"/>
  </r>
  <r>
    <n v="3034"/>
    <n v="18595"/>
    <x v="1"/>
    <n v="23182.76"/>
    <x v="0"/>
    <n v="26"/>
    <x v="2"/>
    <d v="2024-06-13T00:00:00"/>
    <d v="2024-07-09T00:00:00"/>
    <x v="7"/>
  </r>
  <r>
    <n v="3035"/>
    <n v="14032"/>
    <x v="3"/>
    <n v="56384.73"/>
    <x v="0"/>
    <n v="41"/>
    <x v="1"/>
    <d v="2024-02-07T00:00:00"/>
    <d v="2024-03-19T00:00:00"/>
    <x v="4"/>
  </r>
  <r>
    <n v="3036"/>
    <n v="11546"/>
    <x v="3"/>
    <n v="180950.05"/>
    <x v="0"/>
    <n v="14"/>
    <x v="0"/>
    <d v="2024-12-23T00:00:00"/>
    <d v="2025-01-06T00:00:00"/>
    <x v="11"/>
  </r>
  <r>
    <n v="3037"/>
    <n v="12606"/>
    <x v="3"/>
    <n v="60447.06"/>
    <x v="0"/>
    <n v="5"/>
    <x v="2"/>
    <d v="2024-10-22T00:00:00"/>
    <d v="2024-10-27T00:00:00"/>
    <x v="6"/>
  </r>
  <r>
    <n v="3038"/>
    <n v="12825"/>
    <x v="0"/>
    <n v="132519.01999999999"/>
    <x v="0"/>
    <n v="7"/>
    <x v="1"/>
    <d v="2024-05-16T00:00:00"/>
    <d v="2024-05-23T00:00:00"/>
    <x v="3"/>
  </r>
  <r>
    <n v="3039"/>
    <n v="14206"/>
    <x v="1"/>
    <n v="109289.54"/>
    <x v="0"/>
    <n v="12"/>
    <x v="0"/>
    <d v="2024-11-04T00:00:00"/>
    <d v="2024-11-16T00:00:00"/>
    <x v="1"/>
  </r>
  <r>
    <n v="3040"/>
    <n v="19004"/>
    <x v="3"/>
    <n v="121283.88"/>
    <x v="0"/>
    <n v="2"/>
    <x v="0"/>
    <d v="2024-09-02T00:00:00"/>
    <d v="2024-09-04T00:00:00"/>
    <x v="9"/>
  </r>
  <r>
    <n v="3041"/>
    <n v="13374"/>
    <x v="3"/>
    <n v="86078.84"/>
    <x v="0"/>
    <n v="9"/>
    <x v="0"/>
    <d v="2024-07-16T00:00:00"/>
    <d v="2024-07-25T00:00:00"/>
    <x v="2"/>
  </r>
  <r>
    <n v="3042"/>
    <n v="19121"/>
    <x v="1"/>
    <n v="63498.34"/>
    <x v="0"/>
    <n v="35"/>
    <x v="1"/>
    <d v="2024-03-06T00:00:00"/>
    <d v="2024-04-10T00:00:00"/>
    <x v="5"/>
  </r>
  <r>
    <n v="3043"/>
    <n v="17640"/>
    <x v="0"/>
    <n v="14464.02"/>
    <x v="1"/>
    <n v="41"/>
    <x v="2"/>
    <d v="2024-03-20T00:00:00"/>
    <d v="2024-04-30T00:00:00"/>
    <x v="5"/>
  </r>
  <r>
    <n v="3044"/>
    <n v="16934"/>
    <x v="0"/>
    <n v="150134.78"/>
    <x v="1"/>
    <n v="10"/>
    <x v="2"/>
    <d v="2024-02-21T00:00:00"/>
    <d v="2024-03-02T00:00:00"/>
    <x v="4"/>
  </r>
  <r>
    <n v="3045"/>
    <n v="16078"/>
    <x v="1"/>
    <n v="150488.23000000001"/>
    <x v="2"/>
    <m/>
    <x v="3"/>
    <d v="2024-05-08T00:00:00"/>
    <m/>
    <x v="3"/>
  </r>
  <r>
    <n v="3046"/>
    <n v="13323"/>
    <x v="3"/>
    <n v="135791.51999999999"/>
    <x v="0"/>
    <n v="40"/>
    <x v="0"/>
    <d v="2024-01-01T00:00:00"/>
    <d v="2024-02-10T00:00:00"/>
    <x v="0"/>
  </r>
  <r>
    <n v="3047"/>
    <n v="18366"/>
    <x v="3"/>
    <n v="130508.59"/>
    <x v="2"/>
    <m/>
    <x v="3"/>
    <d v="2024-06-15T00:00:00"/>
    <m/>
    <x v="7"/>
  </r>
  <r>
    <n v="3048"/>
    <n v="17105"/>
    <x v="3"/>
    <n v="52524.84"/>
    <x v="1"/>
    <n v="38"/>
    <x v="3"/>
    <d v="2024-01-16T00:00:00"/>
    <d v="2024-02-23T00:00:00"/>
    <x v="0"/>
  </r>
  <r>
    <n v="3049"/>
    <n v="11363"/>
    <x v="3"/>
    <n v="9357.26"/>
    <x v="0"/>
    <n v="43"/>
    <x v="2"/>
    <d v="2024-05-24T00:00:00"/>
    <d v="2024-07-06T00:00:00"/>
    <x v="3"/>
  </r>
  <r>
    <n v="3050"/>
    <n v="19229"/>
    <x v="3"/>
    <n v="162699.5"/>
    <x v="0"/>
    <n v="22"/>
    <x v="1"/>
    <d v="2024-04-21T00:00:00"/>
    <d v="2024-05-13T00:00:00"/>
    <x v="10"/>
  </r>
  <r>
    <n v="3051"/>
    <n v="17489"/>
    <x v="3"/>
    <n v="100772.01"/>
    <x v="0"/>
    <n v="21"/>
    <x v="1"/>
    <d v="2024-04-11T00:00:00"/>
    <d v="2024-05-02T00:00:00"/>
    <x v="10"/>
  </r>
  <r>
    <n v="3052"/>
    <n v="17951"/>
    <x v="3"/>
    <n v="64833.440000000002"/>
    <x v="0"/>
    <n v="39"/>
    <x v="2"/>
    <d v="2024-03-22T00:00:00"/>
    <d v="2024-04-30T00:00:00"/>
    <x v="5"/>
  </r>
  <r>
    <n v="3053"/>
    <n v="13011"/>
    <x v="2"/>
    <n v="24876.720000000001"/>
    <x v="0"/>
    <n v="2"/>
    <x v="1"/>
    <d v="2024-04-08T00:00:00"/>
    <d v="2024-04-10T00:00:00"/>
    <x v="10"/>
  </r>
  <r>
    <n v="3054"/>
    <n v="12090"/>
    <x v="1"/>
    <n v="17230.71"/>
    <x v="0"/>
    <n v="36"/>
    <x v="3"/>
    <d v="2024-06-07T00:00:00"/>
    <d v="2024-07-13T00:00:00"/>
    <x v="7"/>
  </r>
  <r>
    <n v="3055"/>
    <n v="18652"/>
    <x v="0"/>
    <n v="73029.009999999995"/>
    <x v="1"/>
    <n v="29"/>
    <x v="0"/>
    <d v="2024-02-09T00:00:00"/>
    <d v="2024-03-09T00:00:00"/>
    <x v="4"/>
  </r>
  <r>
    <n v="3056"/>
    <n v="10148"/>
    <x v="1"/>
    <n v="161923.73000000001"/>
    <x v="0"/>
    <n v="8"/>
    <x v="2"/>
    <d v="2024-06-03T00:00:00"/>
    <d v="2024-06-11T00:00:00"/>
    <x v="7"/>
  </r>
  <r>
    <n v="3057"/>
    <n v="14433"/>
    <x v="3"/>
    <n v="184151.13"/>
    <x v="0"/>
    <n v="44"/>
    <x v="0"/>
    <d v="2024-02-05T00:00:00"/>
    <d v="2024-03-20T00:00:00"/>
    <x v="4"/>
  </r>
  <r>
    <n v="3058"/>
    <n v="15098"/>
    <x v="1"/>
    <n v="179866.52"/>
    <x v="1"/>
    <n v="10"/>
    <x v="1"/>
    <d v="2024-09-03T00:00:00"/>
    <d v="2024-09-13T00:00:00"/>
    <x v="9"/>
  </r>
  <r>
    <n v="3059"/>
    <n v="11133"/>
    <x v="3"/>
    <n v="184400.16"/>
    <x v="0"/>
    <n v="2"/>
    <x v="0"/>
    <d v="2024-01-04T00:00:00"/>
    <d v="2024-01-06T00:00:00"/>
    <x v="0"/>
  </r>
  <r>
    <n v="3060"/>
    <n v="10353"/>
    <x v="1"/>
    <n v="182006.44"/>
    <x v="2"/>
    <m/>
    <x v="1"/>
    <d v="2024-10-07T00:00:00"/>
    <m/>
    <x v="6"/>
  </r>
  <r>
    <n v="3061"/>
    <n v="19299"/>
    <x v="3"/>
    <n v="107808.83"/>
    <x v="0"/>
    <n v="35"/>
    <x v="1"/>
    <d v="2024-12-16T00:00:00"/>
    <d v="2025-01-20T00:00:00"/>
    <x v="11"/>
  </r>
  <r>
    <n v="3062"/>
    <n v="12113"/>
    <x v="2"/>
    <n v="47786.05"/>
    <x v="2"/>
    <m/>
    <x v="3"/>
    <d v="2024-11-29T00:00:00"/>
    <m/>
    <x v="1"/>
  </r>
  <r>
    <n v="3063"/>
    <n v="17555"/>
    <x v="3"/>
    <n v="160619.07999999999"/>
    <x v="0"/>
    <n v="18"/>
    <x v="1"/>
    <d v="2024-09-05T00:00:00"/>
    <d v="2024-09-23T00:00:00"/>
    <x v="9"/>
  </r>
  <r>
    <n v="3064"/>
    <n v="16010"/>
    <x v="3"/>
    <n v="46674.03"/>
    <x v="0"/>
    <n v="33"/>
    <x v="3"/>
    <d v="2024-01-12T00:00:00"/>
    <d v="2024-02-14T00:00:00"/>
    <x v="0"/>
  </r>
  <r>
    <n v="3065"/>
    <n v="13685"/>
    <x v="2"/>
    <n v="57105.42"/>
    <x v="0"/>
    <n v="3"/>
    <x v="3"/>
    <d v="2024-10-09T00:00:00"/>
    <d v="2024-10-12T00:00:00"/>
    <x v="6"/>
  </r>
  <r>
    <n v="3066"/>
    <n v="13206"/>
    <x v="3"/>
    <n v="50484.59"/>
    <x v="1"/>
    <n v="37"/>
    <x v="3"/>
    <d v="2024-08-03T00:00:00"/>
    <d v="2024-09-09T00:00:00"/>
    <x v="8"/>
  </r>
  <r>
    <n v="3067"/>
    <n v="11109"/>
    <x v="1"/>
    <n v="105421.57"/>
    <x v="1"/>
    <n v="26"/>
    <x v="2"/>
    <d v="2024-11-14T00:00:00"/>
    <d v="2024-12-10T00:00:00"/>
    <x v="1"/>
  </r>
  <r>
    <n v="3068"/>
    <n v="18418"/>
    <x v="1"/>
    <n v="67756.36"/>
    <x v="0"/>
    <n v="44"/>
    <x v="2"/>
    <d v="2024-11-06T00:00:00"/>
    <d v="2024-12-20T00:00:00"/>
    <x v="1"/>
  </r>
  <r>
    <n v="3069"/>
    <n v="19204"/>
    <x v="0"/>
    <n v="35060.43"/>
    <x v="2"/>
    <m/>
    <x v="1"/>
    <d v="2024-03-22T00:00:00"/>
    <m/>
    <x v="5"/>
  </r>
  <r>
    <n v="3070"/>
    <n v="13106"/>
    <x v="2"/>
    <n v="93368.82"/>
    <x v="0"/>
    <n v="27"/>
    <x v="3"/>
    <d v="2024-01-14T00:00:00"/>
    <d v="2024-02-10T00:00:00"/>
    <x v="0"/>
  </r>
  <r>
    <n v="3071"/>
    <n v="13936"/>
    <x v="2"/>
    <n v="175411.91"/>
    <x v="0"/>
    <n v="22"/>
    <x v="2"/>
    <d v="2024-02-25T00:00:00"/>
    <d v="2024-03-18T00:00:00"/>
    <x v="4"/>
  </r>
  <r>
    <n v="3072"/>
    <n v="19658"/>
    <x v="3"/>
    <n v="116257.81"/>
    <x v="1"/>
    <n v="19"/>
    <x v="3"/>
    <d v="2024-12-07T00:00:00"/>
    <d v="2024-12-26T00:00:00"/>
    <x v="11"/>
  </r>
  <r>
    <n v="3073"/>
    <n v="18461"/>
    <x v="0"/>
    <n v="176275.44"/>
    <x v="0"/>
    <n v="30"/>
    <x v="0"/>
    <d v="2024-10-08T00:00:00"/>
    <d v="2024-11-07T00:00:00"/>
    <x v="6"/>
  </r>
  <r>
    <n v="3074"/>
    <n v="13806"/>
    <x v="1"/>
    <n v="43195.08"/>
    <x v="0"/>
    <n v="25"/>
    <x v="0"/>
    <d v="2024-07-17T00:00:00"/>
    <d v="2024-08-11T00:00:00"/>
    <x v="2"/>
  </r>
  <r>
    <n v="3075"/>
    <n v="16549"/>
    <x v="1"/>
    <n v="37559.910000000003"/>
    <x v="2"/>
    <m/>
    <x v="0"/>
    <d v="2024-12-13T00:00:00"/>
    <m/>
    <x v="11"/>
  </r>
  <r>
    <n v="3076"/>
    <n v="19723"/>
    <x v="3"/>
    <n v="117237.54"/>
    <x v="2"/>
    <m/>
    <x v="1"/>
    <d v="2024-06-14T00:00:00"/>
    <m/>
    <x v="7"/>
  </r>
  <r>
    <n v="3077"/>
    <n v="18495"/>
    <x v="1"/>
    <n v="95349.14"/>
    <x v="2"/>
    <m/>
    <x v="3"/>
    <d v="2024-10-18T00:00:00"/>
    <m/>
    <x v="6"/>
  </r>
  <r>
    <n v="3078"/>
    <n v="15148"/>
    <x v="2"/>
    <n v="133733.67000000001"/>
    <x v="2"/>
    <m/>
    <x v="0"/>
    <d v="2024-05-25T00:00:00"/>
    <m/>
    <x v="3"/>
  </r>
  <r>
    <n v="3079"/>
    <n v="11932"/>
    <x v="2"/>
    <n v="159952.22"/>
    <x v="0"/>
    <n v="24"/>
    <x v="2"/>
    <d v="2024-03-18T00:00:00"/>
    <d v="2024-04-11T00:00:00"/>
    <x v="5"/>
  </r>
  <r>
    <n v="3080"/>
    <n v="12040"/>
    <x v="3"/>
    <n v="151504.92000000001"/>
    <x v="1"/>
    <n v="34"/>
    <x v="0"/>
    <d v="2024-04-21T00:00:00"/>
    <d v="2024-05-25T00:00:00"/>
    <x v="10"/>
  </r>
  <r>
    <n v="3081"/>
    <n v="17934"/>
    <x v="3"/>
    <n v="188740.93"/>
    <x v="0"/>
    <n v="17"/>
    <x v="0"/>
    <d v="2024-01-23T00:00:00"/>
    <d v="2024-02-09T00:00:00"/>
    <x v="0"/>
  </r>
  <r>
    <n v="3082"/>
    <n v="18333"/>
    <x v="3"/>
    <n v="82660"/>
    <x v="2"/>
    <m/>
    <x v="0"/>
    <d v="2024-04-25T00:00:00"/>
    <m/>
    <x v="10"/>
  </r>
  <r>
    <n v="3083"/>
    <n v="16789"/>
    <x v="0"/>
    <n v="45245.41"/>
    <x v="0"/>
    <n v="29"/>
    <x v="1"/>
    <d v="2024-05-21T00:00:00"/>
    <d v="2024-06-19T00:00:00"/>
    <x v="3"/>
  </r>
  <r>
    <n v="3084"/>
    <n v="15775"/>
    <x v="1"/>
    <n v="112427.96"/>
    <x v="0"/>
    <n v="39"/>
    <x v="2"/>
    <d v="2024-07-15T00:00:00"/>
    <d v="2024-08-23T00:00:00"/>
    <x v="2"/>
  </r>
  <r>
    <n v="3085"/>
    <n v="19000"/>
    <x v="3"/>
    <n v="26594.91"/>
    <x v="0"/>
    <n v="7"/>
    <x v="3"/>
    <d v="2024-10-04T00:00:00"/>
    <d v="2024-10-11T00:00:00"/>
    <x v="6"/>
  </r>
  <r>
    <n v="3086"/>
    <n v="10947"/>
    <x v="3"/>
    <n v="61325.97"/>
    <x v="0"/>
    <n v="43"/>
    <x v="2"/>
    <d v="2024-01-28T00:00:00"/>
    <d v="2024-03-11T00:00:00"/>
    <x v="0"/>
  </r>
  <r>
    <n v="3087"/>
    <n v="10765"/>
    <x v="3"/>
    <n v="45538.17"/>
    <x v="0"/>
    <n v="30"/>
    <x v="3"/>
    <d v="2024-10-25T00:00:00"/>
    <d v="2024-11-24T00:00:00"/>
    <x v="6"/>
  </r>
  <r>
    <n v="3088"/>
    <n v="17172"/>
    <x v="3"/>
    <n v="82329.919999999998"/>
    <x v="1"/>
    <n v="35"/>
    <x v="1"/>
    <d v="2024-03-16T00:00:00"/>
    <d v="2024-04-20T00:00:00"/>
    <x v="5"/>
  </r>
  <r>
    <n v="3089"/>
    <n v="15015"/>
    <x v="2"/>
    <n v="26687.23"/>
    <x v="1"/>
    <n v="4"/>
    <x v="1"/>
    <d v="2024-01-18T00:00:00"/>
    <d v="2024-01-22T00:00:00"/>
    <x v="0"/>
  </r>
  <r>
    <n v="3090"/>
    <n v="19130"/>
    <x v="1"/>
    <n v="11209.14"/>
    <x v="0"/>
    <n v="7"/>
    <x v="1"/>
    <d v="2024-04-09T00:00:00"/>
    <d v="2024-04-16T00:00:00"/>
    <x v="10"/>
  </r>
  <r>
    <n v="3091"/>
    <n v="12496"/>
    <x v="3"/>
    <n v="133074.82999999999"/>
    <x v="1"/>
    <n v="39"/>
    <x v="1"/>
    <d v="2024-05-03T00:00:00"/>
    <d v="2024-06-11T00:00:00"/>
    <x v="3"/>
  </r>
  <r>
    <n v="3092"/>
    <n v="13562"/>
    <x v="1"/>
    <n v="123998.55"/>
    <x v="0"/>
    <n v="14"/>
    <x v="3"/>
    <d v="2024-12-30T00:00:00"/>
    <d v="2025-01-13T00:00:00"/>
    <x v="11"/>
  </r>
  <r>
    <n v="3093"/>
    <n v="11262"/>
    <x v="3"/>
    <n v="143129.99"/>
    <x v="0"/>
    <n v="37"/>
    <x v="0"/>
    <d v="2024-10-18T00:00:00"/>
    <d v="2024-11-24T00:00:00"/>
    <x v="6"/>
  </r>
  <r>
    <n v="3094"/>
    <n v="16393"/>
    <x v="2"/>
    <n v="133775.35999999999"/>
    <x v="0"/>
    <n v="16"/>
    <x v="3"/>
    <d v="2024-05-04T00:00:00"/>
    <d v="2024-05-20T00:00:00"/>
    <x v="3"/>
  </r>
  <r>
    <n v="3095"/>
    <n v="15050"/>
    <x v="3"/>
    <n v="27287.46"/>
    <x v="1"/>
    <n v="7"/>
    <x v="2"/>
    <d v="2024-01-07T00:00:00"/>
    <d v="2024-01-14T00:00:00"/>
    <x v="0"/>
  </r>
  <r>
    <n v="3096"/>
    <n v="15410"/>
    <x v="3"/>
    <n v="61760.38"/>
    <x v="1"/>
    <n v="34"/>
    <x v="1"/>
    <d v="2024-01-23T00:00:00"/>
    <d v="2024-02-26T00:00:00"/>
    <x v="0"/>
  </r>
  <r>
    <n v="3097"/>
    <n v="10542"/>
    <x v="3"/>
    <n v="30257.69"/>
    <x v="0"/>
    <n v="42"/>
    <x v="1"/>
    <d v="2024-06-10T00:00:00"/>
    <d v="2024-07-22T00:00:00"/>
    <x v="7"/>
  </r>
  <r>
    <n v="3098"/>
    <n v="16664"/>
    <x v="1"/>
    <n v="169379.62"/>
    <x v="0"/>
    <n v="13"/>
    <x v="2"/>
    <d v="2024-04-26T00:00:00"/>
    <d v="2024-05-09T00:00:00"/>
    <x v="10"/>
  </r>
  <r>
    <n v="3099"/>
    <n v="17723"/>
    <x v="1"/>
    <n v="150646.21"/>
    <x v="0"/>
    <n v="44"/>
    <x v="3"/>
    <d v="2024-12-17T00:00:00"/>
    <d v="2025-01-30T00:00:00"/>
    <x v="11"/>
  </r>
  <r>
    <n v="3100"/>
    <n v="12781"/>
    <x v="1"/>
    <n v="44297.77"/>
    <x v="0"/>
    <n v="14"/>
    <x v="0"/>
    <d v="2024-01-21T00:00:00"/>
    <d v="2024-02-04T00:00:00"/>
    <x v="0"/>
  </r>
  <r>
    <n v="3101"/>
    <n v="12612"/>
    <x v="3"/>
    <n v="71555.3"/>
    <x v="0"/>
    <n v="34"/>
    <x v="0"/>
    <d v="2024-09-08T00:00:00"/>
    <d v="2024-10-12T00:00:00"/>
    <x v="9"/>
  </r>
  <r>
    <n v="3102"/>
    <n v="11199"/>
    <x v="3"/>
    <n v="193489.92000000001"/>
    <x v="0"/>
    <n v="29"/>
    <x v="2"/>
    <d v="2024-11-21T00:00:00"/>
    <d v="2024-12-20T00:00:00"/>
    <x v="1"/>
  </r>
  <r>
    <n v="3103"/>
    <n v="17032"/>
    <x v="3"/>
    <n v="120861.07"/>
    <x v="0"/>
    <n v="37"/>
    <x v="0"/>
    <d v="2024-11-04T00:00:00"/>
    <d v="2024-12-11T00:00:00"/>
    <x v="1"/>
  </r>
  <r>
    <n v="3104"/>
    <n v="16323"/>
    <x v="1"/>
    <n v="161225.34"/>
    <x v="2"/>
    <m/>
    <x v="3"/>
    <d v="2024-03-24T00:00:00"/>
    <m/>
    <x v="5"/>
  </r>
  <r>
    <n v="3105"/>
    <n v="14688"/>
    <x v="3"/>
    <n v="56595.25"/>
    <x v="0"/>
    <n v="26"/>
    <x v="3"/>
    <d v="2024-12-27T00:00:00"/>
    <d v="2025-01-22T00:00:00"/>
    <x v="11"/>
  </r>
  <r>
    <n v="3106"/>
    <n v="14786"/>
    <x v="1"/>
    <n v="45960.32"/>
    <x v="0"/>
    <n v="18"/>
    <x v="2"/>
    <d v="2024-02-10T00:00:00"/>
    <d v="2024-02-28T00:00:00"/>
    <x v="4"/>
  </r>
  <r>
    <n v="3107"/>
    <n v="13681"/>
    <x v="0"/>
    <n v="157863.79999999999"/>
    <x v="0"/>
    <n v="38"/>
    <x v="3"/>
    <d v="2024-07-21T00:00:00"/>
    <d v="2024-08-28T00:00:00"/>
    <x v="2"/>
  </r>
  <r>
    <n v="3108"/>
    <n v="15229"/>
    <x v="0"/>
    <n v="138745.13"/>
    <x v="1"/>
    <n v="20"/>
    <x v="1"/>
    <d v="2024-05-07T00:00:00"/>
    <d v="2024-05-27T00:00:00"/>
    <x v="3"/>
  </r>
  <r>
    <n v="3109"/>
    <n v="13495"/>
    <x v="3"/>
    <n v="137790.70000000001"/>
    <x v="1"/>
    <n v="36"/>
    <x v="2"/>
    <d v="2024-05-21T00:00:00"/>
    <d v="2024-06-26T00:00:00"/>
    <x v="3"/>
  </r>
  <r>
    <n v="3110"/>
    <n v="18856"/>
    <x v="3"/>
    <n v="112763.74"/>
    <x v="1"/>
    <n v="44"/>
    <x v="3"/>
    <d v="2024-12-09T00:00:00"/>
    <d v="2025-01-22T00:00:00"/>
    <x v="11"/>
  </r>
  <r>
    <n v="3111"/>
    <n v="16078"/>
    <x v="3"/>
    <n v="114897.78"/>
    <x v="0"/>
    <n v="35"/>
    <x v="2"/>
    <d v="2024-04-12T00:00:00"/>
    <d v="2024-05-17T00:00:00"/>
    <x v="10"/>
  </r>
  <r>
    <n v="3112"/>
    <n v="13162"/>
    <x v="1"/>
    <n v="148461.01"/>
    <x v="1"/>
    <n v="7"/>
    <x v="0"/>
    <d v="2024-04-16T00:00:00"/>
    <d v="2024-04-23T00:00:00"/>
    <x v="10"/>
  </r>
  <r>
    <n v="3113"/>
    <n v="11416"/>
    <x v="0"/>
    <n v="57650.48"/>
    <x v="0"/>
    <n v="20"/>
    <x v="3"/>
    <d v="2024-01-17T00:00:00"/>
    <d v="2024-02-06T00:00:00"/>
    <x v="0"/>
  </r>
  <r>
    <n v="3114"/>
    <n v="13108"/>
    <x v="3"/>
    <n v="73789.850000000006"/>
    <x v="0"/>
    <n v="2"/>
    <x v="1"/>
    <d v="2024-01-25T00:00:00"/>
    <d v="2024-01-27T00:00:00"/>
    <x v="0"/>
  </r>
  <r>
    <n v="3115"/>
    <n v="18708"/>
    <x v="3"/>
    <n v="174969.17"/>
    <x v="0"/>
    <n v="8"/>
    <x v="3"/>
    <d v="2024-03-04T00:00:00"/>
    <d v="2024-03-12T00:00:00"/>
    <x v="5"/>
  </r>
  <r>
    <n v="3116"/>
    <n v="19041"/>
    <x v="0"/>
    <n v="65228.71"/>
    <x v="0"/>
    <n v="35"/>
    <x v="2"/>
    <d v="2024-12-07T00:00:00"/>
    <d v="2025-01-11T00:00:00"/>
    <x v="11"/>
  </r>
  <r>
    <n v="3117"/>
    <n v="17829"/>
    <x v="0"/>
    <n v="111530.37"/>
    <x v="2"/>
    <m/>
    <x v="2"/>
    <d v="2024-08-24T00:00:00"/>
    <m/>
    <x v="8"/>
  </r>
  <r>
    <n v="3118"/>
    <n v="10907"/>
    <x v="3"/>
    <n v="142014.70000000001"/>
    <x v="1"/>
    <n v="34"/>
    <x v="3"/>
    <d v="2024-06-24T00:00:00"/>
    <d v="2024-07-28T00:00:00"/>
    <x v="7"/>
  </r>
  <r>
    <n v="3119"/>
    <n v="18507"/>
    <x v="1"/>
    <n v="199985.34"/>
    <x v="0"/>
    <n v="27"/>
    <x v="1"/>
    <d v="2024-10-17T00:00:00"/>
    <d v="2024-11-13T00:00:00"/>
    <x v="6"/>
  </r>
  <r>
    <n v="3120"/>
    <n v="17573"/>
    <x v="3"/>
    <n v="89881.81"/>
    <x v="0"/>
    <n v="42"/>
    <x v="1"/>
    <d v="2024-10-19T00:00:00"/>
    <d v="2024-11-30T00:00:00"/>
    <x v="6"/>
  </r>
  <r>
    <n v="3121"/>
    <n v="19699"/>
    <x v="3"/>
    <n v="88478.11"/>
    <x v="0"/>
    <n v="43"/>
    <x v="1"/>
    <d v="2024-11-06T00:00:00"/>
    <d v="2024-12-19T00:00:00"/>
    <x v="1"/>
  </r>
  <r>
    <n v="3122"/>
    <n v="19710"/>
    <x v="2"/>
    <n v="169304.73"/>
    <x v="0"/>
    <n v="28"/>
    <x v="2"/>
    <d v="2024-06-04T00:00:00"/>
    <d v="2024-07-02T00:00:00"/>
    <x v="7"/>
  </r>
  <r>
    <n v="3123"/>
    <n v="11934"/>
    <x v="0"/>
    <n v="162073.10999999999"/>
    <x v="0"/>
    <n v="39"/>
    <x v="3"/>
    <d v="2024-02-22T00:00:00"/>
    <d v="2024-04-01T00:00:00"/>
    <x v="4"/>
  </r>
  <r>
    <n v="3124"/>
    <n v="15951"/>
    <x v="1"/>
    <n v="147559.79999999999"/>
    <x v="2"/>
    <m/>
    <x v="0"/>
    <d v="2024-03-13T00:00:00"/>
    <m/>
    <x v="5"/>
  </r>
  <r>
    <n v="3125"/>
    <n v="14344"/>
    <x v="3"/>
    <n v="95329.78"/>
    <x v="2"/>
    <m/>
    <x v="2"/>
    <d v="2024-07-01T00:00:00"/>
    <m/>
    <x v="2"/>
  </r>
  <r>
    <n v="3126"/>
    <n v="17426"/>
    <x v="0"/>
    <n v="68168.13"/>
    <x v="0"/>
    <n v="21"/>
    <x v="1"/>
    <d v="2024-07-07T00:00:00"/>
    <d v="2024-07-28T00:00:00"/>
    <x v="2"/>
  </r>
  <r>
    <n v="3127"/>
    <n v="19993"/>
    <x v="3"/>
    <n v="123702.44"/>
    <x v="1"/>
    <n v="25"/>
    <x v="3"/>
    <d v="2024-01-13T00:00:00"/>
    <d v="2024-02-07T00:00:00"/>
    <x v="0"/>
  </r>
  <r>
    <n v="3128"/>
    <n v="16334"/>
    <x v="3"/>
    <n v="175863.54"/>
    <x v="0"/>
    <n v="22"/>
    <x v="1"/>
    <d v="2024-02-16T00:00:00"/>
    <d v="2024-03-09T00:00:00"/>
    <x v="4"/>
  </r>
  <r>
    <n v="3129"/>
    <n v="12622"/>
    <x v="1"/>
    <n v="177336.6"/>
    <x v="0"/>
    <n v="27"/>
    <x v="0"/>
    <d v="2024-06-08T00:00:00"/>
    <d v="2024-07-05T00:00:00"/>
    <x v="7"/>
  </r>
  <r>
    <n v="3130"/>
    <n v="19048"/>
    <x v="3"/>
    <n v="26157.18"/>
    <x v="0"/>
    <n v="21"/>
    <x v="1"/>
    <d v="2024-10-10T00:00:00"/>
    <d v="2024-10-31T00:00:00"/>
    <x v="6"/>
  </r>
  <r>
    <n v="3131"/>
    <n v="15565"/>
    <x v="1"/>
    <n v="88528.31"/>
    <x v="0"/>
    <n v="7"/>
    <x v="1"/>
    <d v="2024-02-22T00:00:00"/>
    <d v="2024-02-29T00:00:00"/>
    <x v="4"/>
  </r>
  <r>
    <n v="3132"/>
    <n v="11525"/>
    <x v="1"/>
    <n v="95620.78"/>
    <x v="1"/>
    <n v="4"/>
    <x v="0"/>
    <d v="2024-10-13T00:00:00"/>
    <d v="2024-10-17T00:00:00"/>
    <x v="6"/>
  </r>
  <r>
    <n v="3133"/>
    <n v="11416"/>
    <x v="3"/>
    <n v="195635"/>
    <x v="0"/>
    <n v="11"/>
    <x v="3"/>
    <d v="2024-01-08T00:00:00"/>
    <d v="2024-01-19T00:00:00"/>
    <x v="0"/>
  </r>
  <r>
    <n v="3134"/>
    <n v="11794"/>
    <x v="3"/>
    <n v="137209.60999999999"/>
    <x v="0"/>
    <n v="13"/>
    <x v="2"/>
    <d v="2024-03-12T00:00:00"/>
    <d v="2024-03-25T00:00:00"/>
    <x v="5"/>
  </r>
  <r>
    <n v="3135"/>
    <n v="12720"/>
    <x v="3"/>
    <n v="84413.05"/>
    <x v="0"/>
    <n v="34"/>
    <x v="3"/>
    <d v="2024-04-07T00:00:00"/>
    <d v="2024-05-11T00:00:00"/>
    <x v="10"/>
  </r>
  <r>
    <n v="3136"/>
    <n v="16826"/>
    <x v="3"/>
    <n v="10081.290000000001"/>
    <x v="2"/>
    <m/>
    <x v="0"/>
    <d v="2024-03-27T00:00:00"/>
    <m/>
    <x v="5"/>
  </r>
  <r>
    <n v="3137"/>
    <n v="16795"/>
    <x v="1"/>
    <n v="115250.11"/>
    <x v="0"/>
    <n v="17"/>
    <x v="1"/>
    <d v="2024-11-25T00:00:00"/>
    <d v="2024-12-12T00:00:00"/>
    <x v="1"/>
  </r>
  <r>
    <n v="3138"/>
    <n v="13676"/>
    <x v="0"/>
    <n v="23734.82"/>
    <x v="1"/>
    <n v="18"/>
    <x v="3"/>
    <d v="2024-04-10T00:00:00"/>
    <d v="2024-04-28T00:00:00"/>
    <x v="10"/>
  </r>
  <r>
    <n v="3139"/>
    <n v="15076"/>
    <x v="3"/>
    <n v="167717.74"/>
    <x v="1"/>
    <n v="11"/>
    <x v="2"/>
    <d v="2024-10-07T00:00:00"/>
    <d v="2024-10-18T00:00:00"/>
    <x v="6"/>
  </r>
  <r>
    <n v="3140"/>
    <n v="16369"/>
    <x v="3"/>
    <n v="151741.14000000001"/>
    <x v="0"/>
    <n v="13"/>
    <x v="0"/>
    <d v="2024-10-15T00:00:00"/>
    <d v="2024-10-28T00:00:00"/>
    <x v="6"/>
  </r>
  <r>
    <n v="3141"/>
    <n v="18544"/>
    <x v="1"/>
    <n v="94799.29"/>
    <x v="0"/>
    <n v="20"/>
    <x v="3"/>
    <d v="2024-08-24T00:00:00"/>
    <d v="2024-09-13T00:00:00"/>
    <x v="8"/>
  </r>
  <r>
    <n v="3142"/>
    <n v="19619"/>
    <x v="0"/>
    <n v="88696.1"/>
    <x v="1"/>
    <n v="41"/>
    <x v="2"/>
    <d v="2024-07-14T00:00:00"/>
    <d v="2024-08-24T00:00:00"/>
    <x v="2"/>
  </r>
  <r>
    <n v="3143"/>
    <n v="15826"/>
    <x v="3"/>
    <n v="179981.1"/>
    <x v="0"/>
    <n v="24"/>
    <x v="0"/>
    <d v="2024-04-06T00:00:00"/>
    <d v="2024-04-30T00:00:00"/>
    <x v="10"/>
  </r>
  <r>
    <n v="3144"/>
    <n v="12192"/>
    <x v="3"/>
    <n v="61249.38"/>
    <x v="2"/>
    <m/>
    <x v="2"/>
    <d v="2024-04-05T00:00:00"/>
    <m/>
    <x v="10"/>
  </r>
  <r>
    <n v="3145"/>
    <n v="19969"/>
    <x v="1"/>
    <n v="53558.89"/>
    <x v="0"/>
    <n v="11"/>
    <x v="0"/>
    <d v="2024-09-17T00:00:00"/>
    <d v="2024-09-28T00:00:00"/>
    <x v="9"/>
  </r>
  <r>
    <n v="3146"/>
    <n v="13536"/>
    <x v="3"/>
    <n v="188143.5"/>
    <x v="0"/>
    <n v="11"/>
    <x v="1"/>
    <d v="2024-04-30T00:00:00"/>
    <d v="2024-05-11T00:00:00"/>
    <x v="10"/>
  </r>
  <r>
    <n v="3147"/>
    <n v="17299"/>
    <x v="3"/>
    <n v="162802.94"/>
    <x v="1"/>
    <n v="11"/>
    <x v="3"/>
    <d v="2024-09-29T00:00:00"/>
    <d v="2024-10-10T00:00:00"/>
    <x v="9"/>
  </r>
  <r>
    <n v="3148"/>
    <n v="19308"/>
    <x v="1"/>
    <n v="165021.99"/>
    <x v="1"/>
    <n v="40"/>
    <x v="2"/>
    <d v="2024-11-27T00:00:00"/>
    <d v="2025-01-06T00:00:00"/>
    <x v="1"/>
  </r>
  <r>
    <n v="3149"/>
    <n v="12320"/>
    <x v="1"/>
    <n v="43062.79"/>
    <x v="2"/>
    <m/>
    <x v="0"/>
    <d v="2024-02-21T00:00:00"/>
    <m/>
    <x v="4"/>
  </r>
  <r>
    <n v="3150"/>
    <n v="17871"/>
    <x v="1"/>
    <n v="32942.720000000001"/>
    <x v="0"/>
    <n v="5"/>
    <x v="2"/>
    <d v="2024-11-13T00:00:00"/>
    <d v="2024-11-18T00:00:00"/>
    <x v="1"/>
  </r>
  <r>
    <n v="3151"/>
    <n v="10533"/>
    <x v="1"/>
    <n v="10075.76"/>
    <x v="2"/>
    <m/>
    <x v="2"/>
    <d v="2024-06-11T00:00:00"/>
    <m/>
    <x v="7"/>
  </r>
  <r>
    <n v="3152"/>
    <n v="19409"/>
    <x v="1"/>
    <n v="51223.09"/>
    <x v="1"/>
    <n v="44"/>
    <x v="3"/>
    <d v="2024-07-08T00:00:00"/>
    <d v="2024-08-21T00:00:00"/>
    <x v="2"/>
  </r>
  <r>
    <n v="3153"/>
    <n v="15351"/>
    <x v="3"/>
    <n v="155967.15"/>
    <x v="1"/>
    <n v="20"/>
    <x v="1"/>
    <d v="2024-10-03T00:00:00"/>
    <d v="2024-10-23T00:00:00"/>
    <x v="6"/>
  </r>
  <r>
    <n v="3154"/>
    <n v="11979"/>
    <x v="3"/>
    <n v="51807.49"/>
    <x v="0"/>
    <n v="6"/>
    <x v="2"/>
    <d v="2024-03-25T00:00:00"/>
    <d v="2024-03-31T00:00:00"/>
    <x v="5"/>
  </r>
  <r>
    <n v="3155"/>
    <n v="12076"/>
    <x v="3"/>
    <n v="147175.14000000001"/>
    <x v="0"/>
    <n v="31"/>
    <x v="0"/>
    <d v="2024-07-12T00:00:00"/>
    <d v="2024-08-12T00:00:00"/>
    <x v="2"/>
  </r>
  <r>
    <n v="3156"/>
    <n v="18723"/>
    <x v="3"/>
    <n v="54122.11"/>
    <x v="2"/>
    <m/>
    <x v="0"/>
    <d v="2024-06-29T00:00:00"/>
    <m/>
    <x v="7"/>
  </r>
  <r>
    <n v="3157"/>
    <n v="14235"/>
    <x v="1"/>
    <n v="82082.039999999994"/>
    <x v="0"/>
    <n v="41"/>
    <x v="1"/>
    <d v="2024-01-21T00:00:00"/>
    <d v="2024-03-02T00:00:00"/>
    <x v="0"/>
  </r>
  <r>
    <n v="3158"/>
    <n v="16241"/>
    <x v="0"/>
    <n v="196716.65"/>
    <x v="0"/>
    <n v="35"/>
    <x v="0"/>
    <d v="2024-07-21T00:00:00"/>
    <d v="2024-08-25T00:00:00"/>
    <x v="2"/>
  </r>
  <r>
    <n v="3159"/>
    <n v="14114"/>
    <x v="2"/>
    <n v="52738.29"/>
    <x v="0"/>
    <n v="3"/>
    <x v="1"/>
    <d v="2024-07-20T00:00:00"/>
    <d v="2024-07-23T00:00:00"/>
    <x v="2"/>
  </r>
  <r>
    <n v="3160"/>
    <n v="12584"/>
    <x v="1"/>
    <n v="78392.27"/>
    <x v="0"/>
    <n v="25"/>
    <x v="0"/>
    <d v="2024-05-30T00:00:00"/>
    <d v="2024-06-24T00:00:00"/>
    <x v="3"/>
  </r>
  <r>
    <n v="3161"/>
    <n v="19740"/>
    <x v="3"/>
    <n v="63712"/>
    <x v="0"/>
    <n v="15"/>
    <x v="3"/>
    <d v="2024-06-07T00:00:00"/>
    <d v="2024-06-22T00:00:00"/>
    <x v="7"/>
  </r>
  <r>
    <n v="3162"/>
    <n v="11488"/>
    <x v="3"/>
    <n v="26376.87"/>
    <x v="0"/>
    <n v="42"/>
    <x v="2"/>
    <d v="2024-11-05T00:00:00"/>
    <d v="2024-12-17T00:00:00"/>
    <x v="1"/>
  </r>
  <r>
    <n v="3163"/>
    <n v="13659"/>
    <x v="0"/>
    <n v="100529.36"/>
    <x v="1"/>
    <n v="43"/>
    <x v="3"/>
    <d v="2024-01-26T00:00:00"/>
    <d v="2024-03-09T00:00:00"/>
    <x v="0"/>
  </r>
  <r>
    <n v="3164"/>
    <n v="16402"/>
    <x v="1"/>
    <n v="78844.679999999993"/>
    <x v="0"/>
    <n v="14"/>
    <x v="2"/>
    <d v="2024-11-04T00:00:00"/>
    <d v="2024-11-18T00:00:00"/>
    <x v="1"/>
  </r>
  <r>
    <n v="3165"/>
    <n v="18047"/>
    <x v="1"/>
    <n v="140502.98000000001"/>
    <x v="0"/>
    <n v="30"/>
    <x v="2"/>
    <d v="2024-03-06T00:00:00"/>
    <d v="2024-04-05T00:00:00"/>
    <x v="5"/>
  </r>
  <r>
    <n v="3166"/>
    <n v="10227"/>
    <x v="1"/>
    <n v="164430.94"/>
    <x v="0"/>
    <n v="2"/>
    <x v="2"/>
    <d v="2024-09-19T00:00:00"/>
    <d v="2024-09-21T00:00:00"/>
    <x v="9"/>
  </r>
  <r>
    <n v="3167"/>
    <n v="14471"/>
    <x v="1"/>
    <n v="111128.69"/>
    <x v="0"/>
    <n v="35"/>
    <x v="3"/>
    <d v="2024-06-15T00:00:00"/>
    <d v="2024-07-20T00:00:00"/>
    <x v="7"/>
  </r>
  <r>
    <n v="3168"/>
    <n v="15242"/>
    <x v="0"/>
    <n v="11278.3"/>
    <x v="0"/>
    <n v="5"/>
    <x v="2"/>
    <d v="2024-10-14T00:00:00"/>
    <d v="2024-10-19T00:00:00"/>
    <x v="6"/>
  </r>
  <r>
    <n v="3169"/>
    <n v="17623"/>
    <x v="3"/>
    <n v="125689.86"/>
    <x v="1"/>
    <n v="29"/>
    <x v="3"/>
    <d v="2024-06-02T00:00:00"/>
    <d v="2024-07-01T00:00:00"/>
    <x v="7"/>
  </r>
  <r>
    <n v="3170"/>
    <n v="14352"/>
    <x v="1"/>
    <n v="15801.19"/>
    <x v="0"/>
    <n v="20"/>
    <x v="1"/>
    <d v="2024-12-08T00:00:00"/>
    <d v="2024-12-28T00:00:00"/>
    <x v="11"/>
  </r>
  <r>
    <n v="3171"/>
    <n v="14928"/>
    <x v="0"/>
    <n v="125189.48"/>
    <x v="2"/>
    <m/>
    <x v="0"/>
    <d v="2024-07-24T00:00:00"/>
    <m/>
    <x v="2"/>
  </r>
  <r>
    <n v="3172"/>
    <n v="17315"/>
    <x v="3"/>
    <n v="138580.84"/>
    <x v="0"/>
    <n v="37"/>
    <x v="0"/>
    <d v="2024-06-01T00:00:00"/>
    <d v="2024-07-08T00:00:00"/>
    <x v="7"/>
  </r>
  <r>
    <n v="3173"/>
    <n v="10698"/>
    <x v="1"/>
    <n v="43564.69"/>
    <x v="0"/>
    <n v="44"/>
    <x v="2"/>
    <d v="2024-07-02T00:00:00"/>
    <d v="2024-08-15T00:00:00"/>
    <x v="2"/>
  </r>
  <r>
    <n v="3174"/>
    <n v="10437"/>
    <x v="3"/>
    <n v="164772.5"/>
    <x v="0"/>
    <n v="14"/>
    <x v="3"/>
    <d v="2024-06-07T00:00:00"/>
    <d v="2024-06-21T00:00:00"/>
    <x v="7"/>
  </r>
  <r>
    <n v="3175"/>
    <n v="15819"/>
    <x v="2"/>
    <n v="182661.6"/>
    <x v="0"/>
    <n v="43"/>
    <x v="0"/>
    <d v="2024-07-12T00:00:00"/>
    <d v="2024-08-24T00:00:00"/>
    <x v="2"/>
  </r>
  <r>
    <n v="3176"/>
    <n v="16180"/>
    <x v="3"/>
    <n v="163551.96"/>
    <x v="1"/>
    <n v="6"/>
    <x v="3"/>
    <d v="2024-01-02T00:00:00"/>
    <d v="2024-01-08T00:00:00"/>
    <x v="0"/>
  </r>
  <r>
    <n v="3177"/>
    <n v="19876"/>
    <x v="1"/>
    <n v="64496.29"/>
    <x v="1"/>
    <n v="34"/>
    <x v="3"/>
    <d v="2024-08-02T00:00:00"/>
    <d v="2024-09-05T00:00:00"/>
    <x v="8"/>
  </r>
  <r>
    <n v="3178"/>
    <n v="12153"/>
    <x v="3"/>
    <n v="119395.39"/>
    <x v="0"/>
    <n v="15"/>
    <x v="2"/>
    <d v="2024-06-23T00:00:00"/>
    <d v="2024-07-08T00:00:00"/>
    <x v="7"/>
  </r>
  <r>
    <n v="3179"/>
    <n v="16038"/>
    <x v="1"/>
    <n v="183388.95"/>
    <x v="0"/>
    <n v="17"/>
    <x v="0"/>
    <d v="2024-03-15T00:00:00"/>
    <d v="2024-04-01T00:00:00"/>
    <x v="5"/>
  </r>
  <r>
    <n v="3180"/>
    <n v="16008"/>
    <x v="3"/>
    <n v="67529.62"/>
    <x v="0"/>
    <n v="33"/>
    <x v="2"/>
    <d v="2024-10-11T00:00:00"/>
    <d v="2024-11-13T00:00:00"/>
    <x v="6"/>
  </r>
  <r>
    <n v="3181"/>
    <n v="16375"/>
    <x v="3"/>
    <n v="164905.43"/>
    <x v="0"/>
    <n v="28"/>
    <x v="2"/>
    <d v="2024-05-06T00:00:00"/>
    <d v="2024-06-03T00:00:00"/>
    <x v="3"/>
  </r>
  <r>
    <n v="3182"/>
    <n v="15136"/>
    <x v="3"/>
    <n v="6847.65"/>
    <x v="2"/>
    <m/>
    <x v="0"/>
    <d v="2024-02-18T00:00:00"/>
    <m/>
    <x v="4"/>
  </r>
  <r>
    <n v="3183"/>
    <n v="15278"/>
    <x v="2"/>
    <n v="5711.11"/>
    <x v="0"/>
    <n v="4"/>
    <x v="0"/>
    <d v="2024-02-01T00:00:00"/>
    <d v="2024-02-05T00:00:00"/>
    <x v="4"/>
  </r>
  <r>
    <n v="3184"/>
    <n v="10959"/>
    <x v="3"/>
    <n v="153143.76999999999"/>
    <x v="1"/>
    <n v="5"/>
    <x v="1"/>
    <d v="2024-06-06T00:00:00"/>
    <d v="2024-06-11T00:00:00"/>
    <x v="7"/>
  </r>
  <r>
    <n v="3185"/>
    <n v="18469"/>
    <x v="3"/>
    <n v="153482.28"/>
    <x v="0"/>
    <n v="8"/>
    <x v="1"/>
    <d v="2024-01-15T00:00:00"/>
    <d v="2024-01-23T00:00:00"/>
    <x v="0"/>
  </r>
  <r>
    <n v="3186"/>
    <n v="14220"/>
    <x v="1"/>
    <n v="158850.54999999999"/>
    <x v="0"/>
    <n v="14"/>
    <x v="3"/>
    <d v="2024-11-13T00:00:00"/>
    <d v="2024-11-27T00:00:00"/>
    <x v="1"/>
  </r>
  <r>
    <n v="3187"/>
    <n v="13756"/>
    <x v="1"/>
    <n v="186355.23"/>
    <x v="0"/>
    <n v="42"/>
    <x v="0"/>
    <d v="2024-11-29T00:00:00"/>
    <d v="2025-01-10T00:00:00"/>
    <x v="1"/>
  </r>
  <r>
    <n v="3188"/>
    <n v="17587"/>
    <x v="2"/>
    <n v="27991.73"/>
    <x v="0"/>
    <n v="4"/>
    <x v="1"/>
    <d v="2024-08-30T00:00:00"/>
    <d v="2024-09-03T00:00:00"/>
    <x v="8"/>
  </r>
  <r>
    <n v="3189"/>
    <n v="19535"/>
    <x v="3"/>
    <n v="50237.07"/>
    <x v="1"/>
    <n v="18"/>
    <x v="3"/>
    <d v="2024-01-17T00:00:00"/>
    <d v="2024-02-04T00:00:00"/>
    <x v="0"/>
  </r>
  <r>
    <n v="3190"/>
    <n v="14770"/>
    <x v="1"/>
    <n v="181226.36"/>
    <x v="0"/>
    <n v="11"/>
    <x v="3"/>
    <d v="2024-01-22T00:00:00"/>
    <d v="2024-02-02T00:00:00"/>
    <x v="0"/>
  </r>
  <r>
    <n v="3191"/>
    <n v="18906"/>
    <x v="3"/>
    <n v="39561.06"/>
    <x v="1"/>
    <n v="2"/>
    <x v="3"/>
    <d v="2024-08-31T00:00:00"/>
    <d v="2024-09-02T00:00:00"/>
    <x v="8"/>
  </r>
  <r>
    <n v="3192"/>
    <n v="19697"/>
    <x v="3"/>
    <n v="138034.71"/>
    <x v="0"/>
    <n v="29"/>
    <x v="1"/>
    <d v="2024-03-21T00:00:00"/>
    <d v="2024-04-19T00:00:00"/>
    <x v="5"/>
  </r>
  <r>
    <n v="3193"/>
    <n v="13921"/>
    <x v="1"/>
    <n v="108440.29"/>
    <x v="2"/>
    <m/>
    <x v="0"/>
    <d v="2024-05-23T00:00:00"/>
    <m/>
    <x v="3"/>
  </r>
  <r>
    <n v="3194"/>
    <n v="12714"/>
    <x v="1"/>
    <n v="21222.77"/>
    <x v="0"/>
    <n v="8"/>
    <x v="2"/>
    <d v="2024-01-08T00:00:00"/>
    <d v="2024-01-16T00:00:00"/>
    <x v="0"/>
  </r>
  <r>
    <n v="3195"/>
    <n v="11347"/>
    <x v="1"/>
    <n v="60626.41"/>
    <x v="1"/>
    <n v="40"/>
    <x v="3"/>
    <d v="2024-06-15T00:00:00"/>
    <d v="2024-07-25T00:00:00"/>
    <x v="7"/>
  </r>
  <r>
    <n v="3196"/>
    <n v="15008"/>
    <x v="3"/>
    <n v="106472.58"/>
    <x v="1"/>
    <n v="4"/>
    <x v="1"/>
    <d v="2024-10-13T00:00:00"/>
    <d v="2024-10-17T00:00:00"/>
    <x v="6"/>
  </r>
  <r>
    <n v="3197"/>
    <n v="16085"/>
    <x v="3"/>
    <n v="171208.27"/>
    <x v="2"/>
    <m/>
    <x v="1"/>
    <d v="2024-09-24T00:00:00"/>
    <m/>
    <x v="9"/>
  </r>
  <r>
    <n v="3198"/>
    <n v="18169"/>
    <x v="3"/>
    <n v="142970.01"/>
    <x v="0"/>
    <n v="10"/>
    <x v="2"/>
    <d v="2024-10-15T00:00:00"/>
    <d v="2024-10-25T00:00:00"/>
    <x v="6"/>
  </r>
  <r>
    <n v="3199"/>
    <n v="14868"/>
    <x v="2"/>
    <n v="126267.22"/>
    <x v="1"/>
    <n v="41"/>
    <x v="2"/>
    <d v="2024-07-04T00:00:00"/>
    <d v="2024-08-14T00:00:00"/>
    <x v="2"/>
  </r>
  <r>
    <n v="3200"/>
    <n v="13960"/>
    <x v="3"/>
    <n v="101726.41"/>
    <x v="0"/>
    <n v="36"/>
    <x v="1"/>
    <d v="2024-01-12T00:00:00"/>
    <d v="2024-02-17T00:00:00"/>
    <x v="0"/>
  </r>
  <r>
    <n v="3201"/>
    <n v="19944"/>
    <x v="3"/>
    <n v="63243.38"/>
    <x v="0"/>
    <n v="27"/>
    <x v="0"/>
    <d v="2024-10-07T00:00:00"/>
    <d v="2024-11-03T00:00:00"/>
    <x v="6"/>
  </r>
  <r>
    <n v="3202"/>
    <n v="12505"/>
    <x v="3"/>
    <n v="28252.76"/>
    <x v="0"/>
    <n v="6"/>
    <x v="2"/>
    <d v="2024-10-30T00:00:00"/>
    <d v="2024-11-05T00:00:00"/>
    <x v="6"/>
  </r>
  <r>
    <n v="3203"/>
    <n v="15096"/>
    <x v="1"/>
    <n v="84769.83"/>
    <x v="0"/>
    <n v="14"/>
    <x v="1"/>
    <d v="2024-03-23T00:00:00"/>
    <d v="2024-04-06T00:00:00"/>
    <x v="5"/>
  </r>
  <r>
    <n v="3204"/>
    <n v="17375"/>
    <x v="3"/>
    <n v="10561.11"/>
    <x v="2"/>
    <m/>
    <x v="2"/>
    <d v="2024-02-24T00:00:00"/>
    <m/>
    <x v="4"/>
  </r>
  <r>
    <n v="3205"/>
    <n v="11737"/>
    <x v="2"/>
    <n v="46155.9"/>
    <x v="0"/>
    <n v="41"/>
    <x v="0"/>
    <d v="2024-05-10T00:00:00"/>
    <d v="2024-06-20T00:00:00"/>
    <x v="3"/>
  </r>
  <r>
    <n v="3206"/>
    <n v="11108"/>
    <x v="3"/>
    <n v="89334.26"/>
    <x v="0"/>
    <n v="40"/>
    <x v="3"/>
    <d v="2024-05-04T00:00:00"/>
    <d v="2024-06-13T00:00:00"/>
    <x v="3"/>
  </r>
  <r>
    <n v="3207"/>
    <n v="12679"/>
    <x v="0"/>
    <n v="86628.01"/>
    <x v="0"/>
    <n v="11"/>
    <x v="2"/>
    <d v="2024-11-20T00:00:00"/>
    <d v="2024-12-01T00:00:00"/>
    <x v="1"/>
  </r>
  <r>
    <n v="3208"/>
    <n v="11037"/>
    <x v="3"/>
    <n v="13637.61"/>
    <x v="0"/>
    <n v="43"/>
    <x v="0"/>
    <d v="2024-02-20T00:00:00"/>
    <d v="2024-04-03T00:00:00"/>
    <x v="4"/>
  </r>
  <r>
    <n v="3209"/>
    <n v="15760"/>
    <x v="1"/>
    <n v="119866.73"/>
    <x v="0"/>
    <n v="24"/>
    <x v="1"/>
    <d v="2024-01-27T00:00:00"/>
    <d v="2024-02-20T00:00:00"/>
    <x v="0"/>
  </r>
  <r>
    <n v="3210"/>
    <n v="19103"/>
    <x v="2"/>
    <n v="112188.43"/>
    <x v="0"/>
    <n v="12"/>
    <x v="2"/>
    <d v="2024-06-13T00:00:00"/>
    <d v="2024-06-25T00:00:00"/>
    <x v="7"/>
  </r>
  <r>
    <n v="3211"/>
    <n v="12096"/>
    <x v="3"/>
    <n v="20230.34"/>
    <x v="0"/>
    <n v="13"/>
    <x v="2"/>
    <d v="2024-10-07T00:00:00"/>
    <d v="2024-10-20T00:00:00"/>
    <x v="6"/>
  </r>
  <r>
    <n v="3212"/>
    <n v="10358"/>
    <x v="2"/>
    <n v="188916.8"/>
    <x v="0"/>
    <n v="14"/>
    <x v="1"/>
    <d v="2024-02-02T00:00:00"/>
    <d v="2024-02-16T00:00:00"/>
    <x v="4"/>
  </r>
  <r>
    <n v="3213"/>
    <n v="15953"/>
    <x v="3"/>
    <n v="24379.64"/>
    <x v="2"/>
    <m/>
    <x v="3"/>
    <d v="2024-03-02T00:00:00"/>
    <m/>
    <x v="5"/>
  </r>
  <r>
    <n v="3214"/>
    <n v="11076"/>
    <x v="2"/>
    <n v="171692.66"/>
    <x v="1"/>
    <n v="17"/>
    <x v="1"/>
    <d v="2024-05-24T00:00:00"/>
    <d v="2024-06-10T00:00:00"/>
    <x v="3"/>
  </r>
  <r>
    <n v="3215"/>
    <n v="17236"/>
    <x v="1"/>
    <n v="5060.3999999999996"/>
    <x v="2"/>
    <m/>
    <x v="2"/>
    <d v="2024-06-19T00:00:00"/>
    <m/>
    <x v="7"/>
  </r>
  <r>
    <n v="3216"/>
    <n v="15671"/>
    <x v="3"/>
    <n v="177044.81"/>
    <x v="0"/>
    <n v="11"/>
    <x v="1"/>
    <d v="2024-10-12T00:00:00"/>
    <d v="2024-10-23T00:00:00"/>
    <x v="6"/>
  </r>
  <r>
    <n v="3217"/>
    <n v="15815"/>
    <x v="3"/>
    <n v="8845.35"/>
    <x v="0"/>
    <n v="30"/>
    <x v="0"/>
    <d v="2024-10-23T00:00:00"/>
    <d v="2024-11-22T00:00:00"/>
    <x v="6"/>
  </r>
  <r>
    <n v="3218"/>
    <n v="15764"/>
    <x v="3"/>
    <n v="152773.35"/>
    <x v="0"/>
    <n v="10"/>
    <x v="1"/>
    <d v="2024-04-26T00:00:00"/>
    <d v="2024-05-06T00:00:00"/>
    <x v="10"/>
  </r>
  <r>
    <n v="3219"/>
    <n v="14974"/>
    <x v="3"/>
    <n v="75529.710000000006"/>
    <x v="0"/>
    <n v="34"/>
    <x v="2"/>
    <d v="2024-01-04T00:00:00"/>
    <d v="2024-02-07T00:00:00"/>
    <x v="0"/>
  </r>
  <r>
    <n v="3220"/>
    <n v="13527"/>
    <x v="3"/>
    <n v="148952.28"/>
    <x v="0"/>
    <n v="25"/>
    <x v="1"/>
    <d v="2024-03-06T00:00:00"/>
    <d v="2024-03-31T00:00:00"/>
    <x v="5"/>
  </r>
  <r>
    <n v="3221"/>
    <n v="12302"/>
    <x v="3"/>
    <n v="83340.320000000007"/>
    <x v="0"/>
    <n v="36"/>
    <x v="3"/>
    <d v="2024-02-29T00:00:00"/>
    <d v="2024-04-05T00:00:00"/>
    <x v="4"/>
  </r>
  <r>
    <n v="3222"/>
    <n v="19796"/>
    <x v="3"/>
    <n v="18827.04"/>
    <x v="0"/>
    <n v="12"/>
    <x v="1"/>
    <d v="2024-10-13T00:00:00"/>
    <d v="2024-10-25T00:00:00"/>
    <x v="6"/>
  </r>
  <r>
    <n v="3223"/>
    <n v="11075"/>
    <x v="1"/>
    <n v="154663.81"/>
    <x v="0"/>
    <n v="40"/>
    <x v="3"/>
    <d v="2024-12-10T00:00:00"/>
    <d v="2025-01-19T00:00:00"/>
    <x v="11"/>
  </r>
  <r>
    <n v="3224"/>
    <n v="14048"/>
    <x v="3"/>
    <n v="18894.27"/>
    <x v="1"/>
    <n v="14"/>
    <x v="0"/>
    <d v="2024-08-16T00:00:00"/>
    <d v="2024-08-30T00:00:00"/>
    <x v="8"/>
  </r>
  <r>
    <n v="3225"/>
    <n v="10328"/>
    <x v="3"/>
    <n v="184813.49"/>
    <x v="0"/>
    <n v="24"/>
    <x v="3"/>
    <d v="2024-04-09T00:00:00"/>
    <d v="2024-05-03T00:00:00"/>
    <x v="10"/>
  </r>
  <r>
    <n v="3226"/>
    <n v="13477"/>
    <x v="1"/>
    <n v="14939.94"/>
    <x v="0"/>
    <n v="26"/>
    <x v="1"/>
    <d v="2024-04-28T00:00:00"/>
    <d v="2024-05-24T00:00:00"/>
    <x v="10"/>
  </r>
  <r>
    <n v="3227"/>
    <n v="17124"/>
    <x v="3"/>
    <n v="98468.43"/>
    <x v="0"/>
    <n v="17"/>
    <x v="2"/>
    <d v="2024-03-09T00:00:00"/>
    <d v="2024-03-26T00:00:00"/>
    <x v="5"/>
  </r>
  <r>
    <n v="3228"/>
    <n v="11002"/>
    <x v="3"/>
    <n v="145991.71"/>
    <x v="0"/>
    <n v="22"/>
    <x v="3"/>
    <d v="2024-05-31T00:00:00"/>
    <d v="2024-06-22T00:00:00"/>
    <x v="3"/>
  </r>
  <r>
    <n v="3229"/>
    <n v="18768"/>
    <x v="3"/>
    <n v="81683.06"/>
    <x v="0"/>
    <n v="11"/>
    <x v="0"/>
    <d v="2024-10-06T00:00:00"/>
    <d v="2024-10-17T00:00:00"/>
    <x v="6"/>
  </r>
  <r>
    <n v="3230"/>
    <n v="18518"/>
    <x v="2"/>
    <n v="47360.53"/>
    <x v="0"/>
    <n v="42"/>
    <x v="3"/>
    <d v="2024-08-08T00:00:00"/>
    <d v="2024-09-19T00:00:00"/>
    <x v="8"/>
  </r>
  <r>
    <n v="3231"/>
    <n v="16386"/>
    <x v="0"/>
    <n v="153022.74"/>
    <x v="0"/>
    <n v="41"/>
    <x v="3"/>
    <d v="2024-08-10T00:00:00"/>
    <d v="2024-09-20T00:00:00"/>
    <x v="8"/>
  </r>
  <r>
    <n v="3232"/>
    <n v="19719"/>
    <x v="3"/>
    <n v="157937.47"/>
    <x v="1"/>
    <n v="20"/>
    <x v="3"/>
    <d v="2024-06-13T00:00:00"/>
    <d v="2024-07-03T00:00:00"/>
    <x v="7"/>
  </r>
  <r>
    <n v="3233"/>
    <n v="12821"/>
    <x v="1"/>
    <n v="184925.52"/>
    <x v="1"/>
    <n v="36"/>
    <x v="0"/>
    <d v="2024-07-29T00:00:00"/>
    <d v="2024-09-03T00:00:00"/>
    <x v="2"/>
  </r>
  <r>
    <n v="3234"/>
    <n v="19657"/>
    <x v="1"/>
    <n v="78352.2"/>
    <x v="0"/>
    <n v="29"/>
    <x v="1"/>
    <d v="2024-10-05T00:00:00"/>
    <d v="2024-11-03T00:00:00"/>
    <x v="6"/>
  </r>
  <r>
    <n v="3235"/>
    <n v="12380"/>
    <x v="1"/>
    <n v="103719.09"/>
    <x v="0"/>
    <n v="42"/>
    <x v="3"/>
    <d v="2024-03-03T00:00:00"/>
    <d v="2024-04-14T00:00:00"/>
    <x v="5"/>
  </r>
  <r>
    <n v="3236"/>
    <n v="18686"/>
    <x v="1"/>
    <n v="75810.05"/>
    <x v="0"/>
    <n v="3"/>
    <x v="3"/>
    <d v="2024-09-18T00:00:00"/>
    <d v="2024-09-21T00:00:00"/>
    <x v="9"/>
  </r>
  <r>
    <n v="3237"/>
    <n v="19330"/>
    <x v="1"/>
    <n v="55130.96"/>
    <x v="1"/>
    <n v="31"/>
    <x v="2"/>
    <d v="2024-01-06T00:00:00"/>
    <d v="2024-02-06T00:00:00"/>
    <x v="0"/>
  </r>
  <r>
    <n v="3238"/>
    <n v="12416"/>
    <x v="3"/>
    <n v="151451.43"/>
    <x v="0"/>
    <n v="41"/>
    <x v="0"/>
    <d v="2024-09-04T00:00:00"/>
    <d v="2024-10-15T00:00:00"/>
    <x v="9"/>
  </r>
  <r>
    <n v="3239"/>
    <n v="19548"/>
    <x v="3"/>
    <n v="71232.11"/>
    <x v="0"/>
    <n v="41"/>
    <x v="3"/>
    <d v="2024-08-16T00:00:00"/>
    <d v="2024-09-26T00:00:00"/>
    <x v="8"/>
  </r>
  <r>
    <n v="3240"/>
    <n v="19345"/>
    <x v="3"/>
    <n v="88489.14"/>
    <x v="0"/>
    <n v="6"/>
    <x v="0"/>
    <d v="2024-10-12T00:00:00"/>
    <d v="2024-10-18T00:00:00"/>
    <x v="6"/>
  </r>
  <r>
    <n v="3241"/>
    <n v="13249"/>
    <x v="0"/>
    <n v="83716.36"/>
    <x v="0"/>
    <n v="39"/>
    <x v="3"/>
    <d v="2024-09-13T00:00:00"/>
    <d v="2024-10-22T00:00:00"/>
    <x v="9"/>
  </r>
  <r>
    <n v="3242"/>
    <n v="12142"/>
    <x v="1"/>
    <n v="143968.94"/>
    <x v="1"/>
    <n v="43"/>
    <x v="1"/>
    <d v="2024-03-03T00:00:00"/>
    <d v="2024-04-15T00:00:00"/>
    <x v="5"/>
  </r>
  <r>
    <n v="3243"/>
    <n v="13388"/>
    <x v="0"/>
    <n v="183970.15"/>
    <x v="0"/>
    <n v="16"/>
    <x v="1"/>
    <d v="2024-01-28T00:00:00"/>
    <d v="2024-02-13T00:00:00"/>
    <x v="0"/>
  </r>
  <r>
    <n v="3244"/>
    <n v="19316"/>
    <x v="2"/>
    <n v="135017.43"/>
    <x v="0"/>
    <n v="37"/>
    <x v="3"/>
    <d v="2024-12-10T00:00:00"/>
    <d v="2025-01-16T00:00:00"/>
    <x v="11"/>
  </r>
  <r>
    <n v="3245"/>
    <n v="15315"/>
    <x v="3"/>
    <n v="96958.61"/>
    <x v="0"/>
    <n v="4"/>
    <x v="1"/>
    <d v="2024-02-22T00:00:00"/>
    <d v="2024-02-26T00:00:00"/>
    <x v="4"/>
  </r>
  <r>
    <n v="3246"/>
    <n v="18993"/>
    <x v="1"/>
    <n v="156945"/>
    <x v="0"/>
    <n v="25"/>
    <x v="3"/>
    <d v="2024-09-08T00:00:00"/>
    <d v="2024-10-03T00:00:00"/>
    <x v="9"/>
  </r>
  <r>
    <n v="3247"/>
    <n v="10207"/>
    <x v="1"/>
    <n v="129989.41"/>
    <x v="1"/>
    <n v="42"/>
    <x v="1"/>
    <d v="2024-02-07T00:00:00"/>
    <d v="2024-03-20T00:00:00"/>
    <x v="4"/>
  </r>
  <r>
    <n v="3248"/>
    <n v="18664"/>
    <x v="2"/>
    <n v="16819.02"/>
    <x v="1"/>
    <n v="42"/>
    <x v="2"/>
    <d v="2024-11-03T00:00:00"/>
    <d v="2024-12-15T00:00:00"/>
    <x v="1"/>
  </r>
  <r>
    <n v="3249"/>
    <n v="11638"/>
    <x v="2"/>
    <n v="23654.400000000001"/>
    <x v="0"/>
    <n v="13"/>
    <x v="2"/>
    <d v="2024-11-29T00:00:00"/>
    <d v="2024-12-12T00:00:00"/>
    <x v="1"/>
  </r>
  <r>
    <n v="3250"/>
    <n v="15127"/>
    <x v="1"/>
    <n v="12393.8"/>
    <x v="0"/>
    <n v="9"/>
    <x v="2"/>
    <d v="2024-05-18T00:00:00"/>
    <d v="2024-05-27T00:00:00"/>
    <x v="3"/>
  </r>
  <r>
    <n v="3251"/>
    <n v="18327"/>
    <x v="3"/>
    <n v="94079.18"/>
    <x v="0"/>
    <n v="15"/>
    <x v="0"/>
    <d v="2024-02-22T00:00:00"/>
    <d v="2024-03-08T00:00:00"/>
    <x v="4"/>
  </r>
  <r>
    <n v="3252"/>
    <n v="14356"/>
    <x v="1"/>
    <n v="166041.42000000001"/>
    <x v="0"/>
    <n v="19"/>
    <x v="0"/>
    <d v="2024-04-03T00:00:00"/>
    <d v="2024-04-22T00:00:00"/>
    <x v="10"/>
  </r>
  <r>
    <n v="3253"/>
    <n v="19362"/>
    <x v="3"/>
    <n v="66051.22"/>
    <x v="0"/>
    <n v="21"/>
    <x v="2"/>
    <d v="2024-04-03T00:00:00"/>
    <d v="2024-04-24T00:00:00"/>
    <x v="10"/>
  </r>
  <r>
    <n v="3254"/>
    <n v="18649"/>
    <x v="1"/>
    <n v="79911.240000000005"/>
    <x v="0"/>
    <n v="24"/>
    <x v="0"/>
    <d v="2024-09-19T00:00:00"/>
    <d v="2024-10-13T00:00:00"/>
    <x v="9"/>
  </r>
  <r>
    <n v="3255"/>
    <n v="16024"/>
    <x v="2"/>
    <n v="182348.04"/>
    <x v="0"/>
    <n v="6"/>
    <x v="1"/>
    <d v="2024-11-18T00:00:00"/>
    <d v="2024-11-24T00:00:00"/>
    <x v="1"/>
  </r>
  <r>
    <n v="3256"/>
    <n v="17605"/>
    <x v="3"/>
    <n v="168196.17"/>
    <x v="0"/>
    <n v="2"/>
    <x v="3"/>
    <d v="2024-05-16T00:00:00"/>
    <d v="2024-05-18T00:00:00"/>
    <x v="3"/>
  </r>
  <r>
    <n v="3257"/>
    <n v="11436"/>
    <x v="1"/>
    <n v="134684.38"/>
    <x v="0"/>
    <n v="3"/>
    <x v="3"/>
    <d v="2024-09-12T00:00:00"/>
    <d v="2024-09-15T00:00:00"/>
    <x v="9"/>
  </r>
  <r>
    <n v="3258"/>
    <n v="16375"/>
    <x v="3"/>
    <n v="57026.74"/>
    <x v="1"/>
    <n v="17"/>
    <x v="3"/>
    <d v="2024-02-06T00:00:00"/>
    <d v="2024-02-23T00:00:00"/>
    <x v="4"/>
  </r>
  <r>
    <n v="3259"/>
    <n v="18698"/>
    <x v="3"/>
    <n v="27823.09"/>
    <x v="0"/>
    <n v="6"/>
    <x v="2"/>
    <d v="2024-05-21T00:00:00"/>
    <d v="2024-05-27T00:00:00"/>
    <x v="3"/>
  </r>
  <r>
    <n v="3260"/>
    <n v="16247"/>
    <x v="3"/>
    <n v="8131.47"/>
    <x v="1"/>
    <n v="23"/>
    <x v="0"/>
    <d v="2024-05-26T00:00:00"/>
    <d v="2024-06-18T00:00:00"/>
    <x v="3"/>
  </r>
  <r>
    <n v="3261"/>
    <n v="18637"/>
    <x v="1"/>
    <n v="25867.08"/>
    <x v="0"/>
    <n v="2"/>
    <x v="1"/>
    <d v="2024-01-08T00:00:00"/>
    <d v="2024-01-10T00:00:00"/>
    <x v="0"/>
  </r>
  <r>
    <n v="3262"/>
    <n v="12781"/>
    <x v="2"/>
    <n v="62056.31"/>
    <x v="0"/>
    <n v="13"/>
    <x v="1"/>
    <d v="2024-09-07T00:00:00"/>
    <d v="2024-09-20T00:00:00"/>
    <x v="9"/>
  </r>
  <r>
    <n v="3263"/>
    <n v="10443"/>
    <x v="2"/>
    <n v="112599.06"/>
    <x v="1"/>
    <n v="20"/>
    <x v="2"/>
    <d v="2024-05-14T00:00:00"/>
    <d v="2024-06-03T00:00:00"/>
    <x v="3"/>
  </r>
  <r>
    <n v="3264"/>
    <n v="10117"/>
    <x v="3"/>
    <n v="17480.02"/>
    <x v="0"/>
    <n v="23"/>
    <x v="1"/>
    <d v="2024-02-28T00:00:00"/>
    <d v="2024-03-22T00:00:00"/>
    <x v="4"/>
  </r>
  <r>
    <n v="3265"/>
    <n v="19732"/>
    <x v="0"/>
    <n v="31564.42"/>
    <x v="1"/>
    <n v="43"/>
    <x v="1"/>
    <d v="2024-05-02T00:00:00"/>
    <d v="2024-06-14T00:00:00"/>
    <x v="3"/>
  </r>
  <r>
    <n v="3266"/>
    <n v="10566"/>
    <x v="1"/>
    <n v="40310.74"/>
    <x v="0"/>
    <n v="18"/>
    <x v="1"/>
    <d v="2024-09-19T00:00:00"/>
    <d v="2024-10-07T00:00:00"/>
    <x v="9"/>
  </r>
  <r>
    <n v="3267"/>
    <n v="13602"/>
    <x v="3"/>
    <n v="128236.51"/>
    <x v="0"/>
    <n v="14"/>
    <x v="1"/>
    <d v="2024-04-29T00:00:00"/>
    <d v="2024-05-13T00:00:00"/>
    <x v="10"/>
  </r>
  <r>
    <n v="3268"/>
    <n v="11936"/>
    <x v="3"/>
    <n v="125079.01"/>
    <x v="0"/>
    <n v="40"/>
    <x v="0"/>
    <d v="2024-09-15T00:00:00"/>
    <d v="2024-10-25T00:00:00"/>
    <x v="9"/>
  </r>
  <r>
    <n v="3269"/>
    <n v="14183"/>
    <x v="3"/>
    <n v="112399.32"/>
    <x v="0"/>
    <n v="29"/>
    <x v="1"/>
    <d v="2024-11-18T00:00:00"/>
    <d v="2024-12-17T00:00:00"/>
    <x v="1"/>
  </r>
  <r>
    <n v="3270"/>
    <n v="17926"/>
    <x v="2"/>
    <n v="53847.78"/>
    <x v="0"/>
    <n v="4"/>
    <x v="3"/>
    <d v="2024-01-18T00:00:00"/>
    <d v="2024-01-22T00:00:00"/>
    <x v="0"/>
  </r>
  <r>
    <n v="3271"/>
    <n v="19844"/>
    <x v="1"/>
    <n v="77368.34"/>
    <x v="0"/>
    <n v="6"/>
    <x v="2"/>
    <d v="2024-10-27T00:00:00"/>
    <d v="2024-11-02T00:00:00"/>
    <x v="6"/>
  </r>
  <r>
    <n v="3272"/>
    <n v="14571"/>
    <x v="1"/>
    <n v="23854.49"/>
    <x v="0"/>
    <n v="37"/>
    <x v="0"/>
    <d v="2024-12-18T00:00:00"/>
    <d v="2025-01-24T00:00:00"/>
    <x v="11"/>
  </r>
  <r>
    <n v="3273"/>
    <n v="15801"/>
    <x v="3"/>
    <n v="49159.82"/>
    <x v="0"/>
    <n v="16"/>
    <x v="1"/>
    <d v="2024-04-01T00:00:00"/>
    <d v="2024-04-17T00:00:00"/>
    <x v="10"/>
  </r>
  <r>
    <n v="3274"/>
    <n v="14390"/>
    <x v="1"/>
    <n v="180052.52"/>
    <x v="0"/>
    <n v="18"/>
    <x v="0"/>
    <d v="2024-06-12T00:00:00"/>
    <d v="2024-06-30T00:00:00"/>
    <x v="7"/>
  </r>
  <r>
    <n v="3275"/>
    <n v="14815"/>
    <x v="3"/>
    <n v="196039.89"/>
    <x v="0"/>
    <n v="30"/>
    <x v="1"/>
    <d v="2024-05-23T00:00:00"/>
    <d v="2024-06-22T00:00:00"/>
    <x v="3"/>
  </r>
  <r>
    <n v="3276"/>
    <n v="15500"/>
    <x v="3"/>
    <n v="131293.62"/>
    <x v="0"/>
    <n v="5"/>
    <x v="3"/>
    <d v="2024-11-30T00:00:00"/>
    <d v="2024-12-05T00:00:00"/>
    <x v="1"/>
  </r>
  <r>
    <n v="3277"/>
    <n v="15402"/>
    <x v="1"/>
    <n v="183780.54"/>
    <x v="0"/>
    <n v="33"/>
    <x v="2"/>
    <d v="2024-11-10T00:00:00"/>
    <d v="2024-12-13T00:00:00"/>
    <x v="1"/>
  </r>
  <r>
    <n v="3278"/>
    <n v="16987"/>
    <x v="3"/>
    <n v="130334.67"/>
    <x v="1"/>
    <n v="44"/>
    <x v="1"/>
    <d v="2024-08-25T00:00:00"/>
    <d v="2024-10-08T00:00:00"/>
    <x v="8"/>
  </r>
  <r>
    <n v="3279"/>
    <n v="14781"/>
    <x v="0"/>
    <n v="11473.31"/>
    <x v="1"/>
    <n v="39"/>
    <x v="1"/>
    <d v="2024-06-22T00:00:00"/>
    <d v="2024-07-31T00:00:00"/>
    <x v="7"/>
  </r>
  <r>
    <n v="3280"/>
    <n v="12686"/>
    <x v="3"/>
    <n v="199368.7"/>
    <x v="0"/>
    <n v="5"/>
    <x v="1"/>
    <d v="2024-03-23T00:00:00"/>
    <d v="2024-03-28T00:00:00"/>
    <x v="5"/>
  </r>
  <r>
    <n v="3281"/>
    <n v="11203"/>
    <x v="1"/>
    <n v="24295.7"/>
    <x v="2"/>
    <m/>
    <x v="1"/>
    <d v="2024-06-05T00:00:00"/>
    <m/>
    <x v="7"/>
  </r>
  <r>
    <n v="3282"/>
    <n v="15056"/>
    <x v="3"/>
    <n v="138115.15"/>
    <x v="0"/>
    <n v="21"/>
    <x v="2"/>
    <d v="2024-04-18T00:00:00"/>
    <d v="2024-05-09T00:00:00"/>
    <x v="10"/>
  </r>
  <r>
    <n v="3283"/>
    <n v="17057"/>
    <x v="1"/>
    <n v="54303.06"/>
    <x v="2"/>
    <m/>
    <x v="2"/>
    <d v="2024-06-26T00:00:00"/>
    <m/>
    <x v="7"/>
  </r>
  <r>
    <n v="3284"/>
    <n v="18597"/>
    <x v="3"/>
    <n v="81436.320000000007"/>
    <x v="1"/>
    <n v="43"/>
    <x v="3"/>
    <d v="2024-09-06T00:00:00"/>
    <d v="2024-10-19T00:00:00"/>
    <x v="9"/>
  </r>
  <r>
    <n v="3285"/>
    <n v="15713"/>
    <x v="3"/>
    <n v="130957.17"/>
    <x v="1"/>
    <n v="38"/>
    <x v="2"/>
    <d v="2024-09-09T00:00:00"/>
    <d v="2024-10-17T00:00:00"/>
    <x v="9"/>
  </r>
  <r>
    <n v="3286"/>
    <n v="15183"/>
    <x v="2"/>
    <n v="90115.03"/>
    <x v="0"/>
    <n v="13"/>
    <x v="1"/>
    <d v="2024-02-24T00:00:00"/>
    <d v="2024-03-08T00:00:00"/>
    <x v="4"/>
  </r>
  <r>
    <n v="3287"/>
    <n v="14214"/>
    <x v="3"/>
    <n v="53856.480000000003"/>
    <x v="0"/>
    <n v="26"/>
    <x v="3"/>
    <d v="2024-06-03T00:00:00"/>
    <d v="2024-06-29T00:00:00"/>
    <x v="7"/>
  </r>
  <r>
    <n v="3288"/>
    <n v="14079"/>
    <x v="0"/>
    <n v="70217.009999999995"/>
    <x v="0"/>
    <n v="31"/>
    <x v="3"/>
    <d v="2024-03-31T00:00:00"/>
    <d v="2024-05-01T00:00:00"/>
    <x v="5"/>
  </r>
  <r>
    <n v="3289"/>
    <n v="10312"/>
    <x v="2"/>
    <n v="71601.88"/>
    <x v="1"/>
    <n v="16"/>
    <x v="3"/>
    <d v="2024-12-04T00:00:00"/>
    <d v="2024-12-20T00:00:00"/>
    <x v="11"/>
  </r>
  <r>
    <n v="3290"/>
    <n v="18354"/>
    <x v="3"/>
    <n v="192068.16"/>
    <x v="0"/>
    <n v="37"/>
    <x v="1"/>
    <d v="2024-05-05T00:00:00"/>
    <d v="2024-06-11T00:00:00"/>
    <x v="3"/>
  </r>
  <r>
    <n v="3291"/>
    <n v="11528"/>
    <x v="3"/>
    <n v="160729.54"/>
    <x v="1"/>
    <n v="9"/>
    <x v="0"/>
    <d v="2024-12-02T00:00:00"/>
    <d v="2024-12-11T00:00:00"/>
    <x v="11"/>
  </r>
  <r>
    <n v="3292"/>
    <n v="15496"/>
    <x v="1"/>
    <n v="94417.01"/>
    <x v="0"/>
    <n v="29"/>
    <x v="1"/>
    <d v="2024-06-17T00:00:00"/>
    <d v="2024-07-16T00:00:00"/>
    <x v="7"/>
  </r>
  <r>
    <n v="3293"/>
    <n v="19757"/>
    <x v="2"/>
    <n v="43965.08"/>
    <x v="1"/>
    <n v="23"/>
    <x v="2"/>
    <d v="2024-05-18T00:00:00"/>
    <d v="2024-06-10T00:00:00"/>
    <x v="3"/>
  </r>
  <r>
    <n v="3294"/>
    <n v="14768"/>
    <x v="2"/>
    <n v="163148.14000000001"/>
    <x v="0"/>
    <n v="39"/>
    <x v="2"/>
    <d v="2024-01-05T00:00:00"/>
    <d v="2024-02-13T00:00:00"/>
    <x v="0"/>
  </r>
  <r>
    <n v="3295"/>
    <n v="17567"/>
    <x v="1"/>
    <n v="35650.58"/>
    <x v="0"/>
    <n v="17"/>
    <x v="1"/>
    <d v="2024-03-06T00:00:00"/>
    <d v="2024-03-23T00:00:00"/>
    <x v="5"/>
  </r>
  <r>
    <n v="3296"/>
    <n v="10398"/>
    <x v="1"/>
    <n v="46040.13"/>
    <x v="0"/>
    <n v="6"/>
    <x v="1"/>
    <d v="2024-04-20T00:00:00"/>
    <d v="2024-04-26T00:00:00"/>
    <x v="10"/>
  </r>
  <r>
    <n v="3297"/>
    <n v="16630"/>
    <x v="3"/>
    <n v="76372.61"/>
    <x v="0"/>
    <n v="35"/>
    <x v="3"/>
    <d v="2024-07-02T00:00:00"/>
    <d v="2024-08-06T00:00:00"/>
    <x v="2"/>
  </r>
  <r>
    <n v="3298"/>
    <n v="11047"/>
    <x v="2"/>
    <n v="176667.9"/>
    <x v="0"/>
    <n v="39"/>
    <x v="1"/>
    <d v="2024-09-24T00:00:00"/>
    <d v="2024-11-02T00:00:00"/>
    <x v="9"/>
  </r>
  <r>
    <n v="3299"/>
    <n v="11942"/>
    <x v="2"/>
    <n v="30698.400000000001"/>
    <x v="1"/>
    <n v="12"/>
    <x v="3"/>
    <d v="2024-06-18T00:00:00"/>
    <d v="2024-06-30T00:00:00"/>
    <x v="7"/>
  </r>
  <r>
    <n v="3300"/>
    <n v="10239"/>
    <x v="3"/>
    <n v="28835.67"/>
    <x v="0"/>
    <n v="3"/>
    <x v="2"/>
    <d v="2024-12-27T00:00:00"/>
    <d v="2024-12-30T00:00:00"/>
    <x v="11"/>
  </r>
  <r>
    <n v="3301"/>
    <n v="16464"/>
    <x v="3"/>
    <n v="101325.12"/>
    <x v="0"/>
    <n v="26"/>
    <x v="3"/>
    <d v="2024-08-31T00:00:00"/>
    <d v="2024-09-26T00:00:00"/>
    <x v="8"/>
  </r>
  <r>
    <n v="3302"/>
    <n v="10671"/>
    <x v="3"/>
    <n v="58900.06"/>
    <x v="1"/>
    <n v="26"/>
    <x v="1"/>
    <d v="2024-11-26T00:00:00"/>
    <d v="2024-12-22T00:00:00"/>
    <x v="1"/>
  </r>
  <r>
    <n v="3303"/>
    <n v="12619"/>
    <x v="3"/>
    <n v="115901.95"/>
    <x v="0"/>
    <n v="2"/>
    <x v="2"/>
    <d v="2024-05-17T00:00:00"/>
    <d v="2024-05-19T00:00:00"/>
    <x v="3"/>
  </r>
  <r>
    <n v="3304"/>
    <n v="17919"/>
    <x v="0"/>
    <n v="93069.15"/>
    <x v="2"/>
    <m/>
    <x v="0"/>
    <d v="2024-01-28T00:00:00"/>
    <m/>
    <x v="0"/>
  </r>
  <r>
    <n v="3305"/>
    <n v="12461"/>
    <x v="3"/>
    <n v="89817.03"/>
    <x v="2"/>
    <m/>
    <x v="3"/>
    <d v="2024-01-07T00:00:00"/>
    <m/>
    <x v="0"/>
  </r>
  <r>
    <n v="3306"/>
    <n v="18593"/>
    <x v="3"/>
    <n v="26834.73"/>
    <x v="0"/>
    <n v="41"/>
    <x v="2"/>
    <d v="2024-11-28T00:00:00"/>
    <d v="2025-01-08T00:00:00"/>
    <x v="1"/>
  </r>
  <r>
    <n v="3307"/>
    <n v="12106"/>
    <x v="3"/>
    <n v="32504.69"/>
    <x v="0"/>
    <n v="5"/>
    <x v="3"/>
    <d v="2024-11-12T00:00:00"/>
    <d v="2024-11-17T00:00:00"/>
    <x v="1"/>
  </r>
  <r>
    <n v="3308"/>
    <n v="14148"/>
    <x v="2"/>
    <n v="165110.32"/>
    <x v="0"/>
    <n v="6"/>
    <x v="2"/>
    <d v="2024-02-20T00:00:00"/>
    <d v="2024-02-26T00:00:00"/>
    <x v="4"/>
  </r>
  <r>
    <n v="3309"/>
    <n v="11087"/>
    <x v="1"/>
    <n v="177747.13"/>
    <x v="1"/>
    <n v="6"/>
    <x v="2"/>
    <d v="2024-05-15T00:00:00"/>
    <d v="2024-05-21T00:00:00"/>
    <x v="3"/>
  </r>
  <r>
    <n v="3310"/>
    <n v="16776"/>
    <x v="3"/>
    <n v="50763.29"/>
    <x v="0"/>
    <n v="17"/>
    <x v="3"/>
    <d v="2024-06-26T00:00:00"/>
    <d v="2024-07-13T00:00:00"/>
    <x v="7"/>
  </r>
  <r>
    <n v="3311"/>
    <n v="19334"/>
    <x v="3"/>
    <n v="27124.799999999999"/>
    <x v="0"/>
    <n v="19"/>
    <x v="0"/>
    <d v="2024-05-08T00:00:00"/>
    <d v="2024-05-27T00:00:00"/>
    <x v="3"/>
  </r>
  <r>
    <n v="3312"/>
    <n v="14381"/>
    <x v="2"/>
    <n v="15416.25"/>
    <x v="1"/>
    <n v="44"/>
    <x v="2"/>
    <d v="2024-07-15T00:00:00"/>
    <d v="2024-08-28T00:00:00"/>
    <x v="2"/>
  </r>
  <r>
    <n v="3313"/>
    <n v="15124"/>
    <x v="0"/>
    <n v="123618.03"/>
    <x v="0"/>
    <n v="18"/>
    <x v="2"/>
    <d v="2024-09-23T00:00:00"/>
    <d v="2024-10-11T00:00:00"/>
    <x v="9"/>
  </r>
  <r>
    <n v="3314"/>
    <n v="17559"/>
    <x v="3"/>
    <n v="144493.88"/>
    <x v="1"/>
    <n v="36"/>
    <x v="2"/>
    <d v="2024-04-16T00:00:00"/>
    <d v="2024-05-22T00:00:00"/>
    <x v="10"/>
  </r>
  <r>
    <n v="3315"/>
    <n v="10141"/>
    <x v="3"/>
    <n v="77697.95"/>
    <x v="1"/>
    <n v="19"/>
    <x v="0"/>
    <d v="2024-02-17T00:00:00"/>
    <d v="2024-03-07T00:00:00"/>
    <x v="4"/>
  </r>
  <r>
    <n v="3316"/>
    <n v="10396"/>
    <x v="3"/>
    <n v="137536.79"/>
    <x v="0"/>
    <n v="5"/>
    <x v="0"/>
    <d v="2024-05-17T00:00:00"/>
    <d v="2024-05-22T00:00:00"/>
    <x v="3"/>
  </r>
  <r>
    <n v="3317"/>
    <n v="15137"/>
    <x v="3"/>
    <n v="144026.97"/>
    <x v="1"/>
    <n v="32"/>
    <x v="1"/>
    <d v="2024-04-12T00:00:00"/>
    <d v="2024-05-14T00:00:00"/>
    <x v="10"/>
  </r>
  <r>
    <n v="3318"/>
    <n v="17281"/>
    <x v="1"/>
    <n v="187391.74"/>
    <x v="1"/>
    <n v="32"/>
    <x v="3"/>
    <d v="2024-02-16T00:00:00"/>
    <d v="2024-03-19T00:00:00"/>
    <x v="4"/>
  </r>
  <r>
    <n v="3319"/>
    <n v="11555"/>
    <x v="2"/>
    <n v="17650.36"/>
    <x v="0"/>
    <n v="10"/>
    <x v="0"/>
    <d v="2024-06-01T00:00:00"/>
    <d v="2024-06-11T00:00:00"/>
    <x v="7"/>
  </r>
  <r>
    <n v="3320"/>
    <n v="17054"/>
    <x v="3"/>
    <n v="42496.89"/>
    <x v="0"/>
    <n v="32"/>
    <x v="3"/>
    <d v="2024-01-06T00:00:00"/>
    <d v="2024-02-07T00:00:00"/>
    <x v="0"/>
  </r>
  <r>
    <n v="3321"/>
    <n v="15894"/>
    <x v="0"/>
    <n v="18362.57"/>
    <x v="0"/>
    <n v="6"/>
    <x v="1"/>
    <d v="2024-01-11T00:00:00"/>
    <d v="2024-01-17T00:00:00"/>
    <x v="0"/>
  </r>
  <r>
    <n v="3322"/>
    <n v="11028"/>
    <x v="3"/>
    <n v="174258.82"/>
    <x v="0"/>
    <n v="37"/>
    <x v="3"/>
    <d v="2024-01-17T00:00:00"/>
    <d v="2024-02-23T00:00:00"/>
    <x v="0"/>
  </r>
  <r>
    <n v="3323"/>
    <n v="15051"/>
    <x v="1"/>
    <n v="159554.5"/>
    <x v="2"/>
    <m/>
    <x v="0"/>
    <d v="2024-05-22T00:00:00"/>
    <m/>
    <x v="3"/>
  </r>
  <r>
    <n v="3324"/>
    <n v="10670"/>
    <x v="1"/>
    <n v="117055.2"/>
    <x v="0"/>
    <n v="43"/>
    <x v="3"/>
    <d v="2024-09-28T00:00:00"/>
    <d v="2024-11-10T00:00:00"/>
    <x v="9"/>
  </r>
  <r>
    <n v="3325"/>
    <n v="14594"/>
    <x v="3"/>
    <n v="21314.36"/>
    <x v="0"/>
    <n v="42"/>
    <x v="0"/>
    <d v="2024-11-07T00:00:00"/>
    <d v="2024-12-19T00:00:00"/>
    <x v="1"/>
  </r>
  <r>
    <n v="3326"/>
    <n v="11855"/>
    <x v="3"/>
    <n v="58295.91"/>
    <x v="0"/>
    <n v="17"/>
    <x v="3"/>
    <d v="2024-03-06T00:00:00"/>
    <d v="2024-03-23T00:00:00"/>
    <x v="5"/>
  </r>
  <r>
    <n v="3327"/>
    <n v="13429"/>
    <x v="1"/>
    <n v="63055.37"/>
    <x v="0"/>
    <n v="21"/>
    <x v="0"/>
    <d v="2024-12-04T00:00:00"/>
    <d v="2024-12-25T00:00:00"/>
    <x v="11"/>
  </r>
  <r>
    <n v="3328"/>
    <n v="15276"/>
    <x v="3"/>
    <n v="114344.92"/>
    <x v="2"/>
    <m/>
    <x v="0"/>
    <d v="2024-11-26T00:00:00"/>
    <m/>
    <x v="1"/>
  </r>
  <r>
    <n v="3329"/>
    <n v="16986"/>
    <x v="3"/>
    <n v="55318.559999999998"/>
    <x v="1"/>
    <n v="27"/>
    <x v="3"/>
    <d v="2024-09-12T00:00:00"/>
    <d v="2024-10-09T00:00:00"/>
    <x v="9"/>
  </r>
  <r>
    <n v="3330"/>
    <n v="19880"/>
    <x v="1"/>
    <n v="19227.169999999998"/>
    <x v="0"/>
    <n v="32"/>
    <x v="1"/>
    <d v="2024-05-06T00:00:00"/>
    <d v="2024-06-07T00:00:00"/>
    <x v="3"/>
  </r>
  <r>
    <n v="3331"/>
    <n v="14431"/>
    <x v="2"/>
    <n v="147498.65"/>
    <x v="0"/>
    <n v="16"/>
    <x v="2"/>
    <d v="2024-05-10T00:00:00"/>
    <d v="2024-05-26T00:00:00"/>
    <x v="3"/>
  </r>
  <r>
    <n v="3332"/>
    <n v="10569"/>
    <x v="3"/>
    <n v="63320.639999999999"/>
    <x v="0"/>
    <n v="42"/>
    <x v="1"/>
    <d v="2024-01-18T00:00:00"/>
    <d v="2024-02-29T00:00:00"/>
    <x v="0"/>
  </r>
  <r>
    <n v="3333"/>
    <n v="16456"/>
    <x v="0"/>
    <n v="93212.96"/>
    <x v="0"/>
    <n v="39"/>
    <x v="3"/>
    <d v="2024-07-25T00:00:00"/>
    <d v="2024-09-02T00:00:00"/>
    <x v="2"/>
  </r>
  <r>
    <n v="3334"/>
    <n v="11146"/>
    <x v="3"/>
    <n v="29894.99"/>
    <x v="0"/>
    <n v="39"/>
    <x v="1"/>
    <d v="2024-03-29T00:00:00"/>
    <d v="2024-05-07T00:00:00"/>
    <x v="5"/>
  </r>
  <r>
    <n v="3335"/>
    <n v="19056"/>
    <x v="1"/>
    <n v="161496.92000000001"/>
    <x v="0"/>
    <n v="44"/>
    <x v="0"/>
    <d v="2024-08-30T00:00:00"/>
    <d v="2024-10-13T00:00:00"/>
    <x v="8"/>
  </r>
  <r>
    <n v="3336"/>
    <n v="16514"/>
    <x v="1"/>
    <n v="115278.72"/>
    <x v="2"/>
    <m/>
    <x v="2"/>
    <d v="2024-12-15T00:00:00"/>
    <m/>
    <x v="11"/>
  </r>
  <r>
    <n v="3337"/>
    <n v="14900"/>
    <x v="0"/>
    <n v="180809.2"/>
    <x v="0"/>
    <n v="36"/>
    <x v="3"/>
    <d v="2024-01-17T00:00:00"/>
    <d v="2024-02-22T00:00:00"/>
    <x v="0"/>
  </r>
  <r>
    <n v="3338"/>
    <n v="10027"/>
    <x v="3"/>
    <n v="101616.95"/>
    <x v="1"/>
    <n v="24"/>
    <x v="3"/>
    <d v="2024-08-10T00:00:00"/>
    <d v="2024-09-03T00:00:00"/>
    <x v="8"/>
  </r>
  <r>
    <n v="3339"/>
    <n v="15349"/>
    <x v="1"/>
    <n v="188578.01"/>
    <x v="0"/>
    <n v="40"/>
    <x v="3"/>
    <d v="2024-12-28T00:00:00"/>
    <d v="2025-02-06T00:00:00"/>
    <x v="11"/>
  </r>
  <r>
    <n v="3340"/>
    <n v="11029"/>
    <x v="1"/>
    <n v="178914.3"/>
    <x v="0"/>
    <n v="26"/>
    <x v="2"/>
    <d v="2024-07-28T00:00:00"/>
    <d v="2024-08-23T00:00:00"/>
    <x v="2"/>
  </r>
  <r>
    <n v="3341"/>
    <n v="16616"/>
    <x v="3"/>
    <n v="117409.67"/>
    <x v="1"/>
    <n v="23"/>
    <x v="0"/>
    <d v="2024-04-08T00:00:00"/>
    <d v="2024-05-01T00:00:00"/>
    <x v="10"/>
  </r>
  <r>
    <n v="3342"/>
    <n v="11996"/>
    <x v="3"/>
    <n v="187109.22"/>
    <x v="0"/>
    <n v="9"/>
    <x v="3"/>
    <d v="2024-01-13T00:00:00"/>
    <d v="2024-01-22T00:00:00"/>
    <x v="0"/>
  </r>
  <r>
    <n v="3343"/>
    <n v="11341"/>
    <x v="3"/>
    <n v="68002.31"/>
    <x v="1"/>
    <n v="10"/>
    <x v="1"/>
    <d v="2024-11-14T00:00:00"/>
    <d v="2024-11-24T00:00:00"/>
    <x v="1"/>
  </r>
  <r>
    <n v="3344"/>
    <n v="19440"/>
    <x v="3"/>
    <n v="76300.22"/>
    <x v="0"/>
    <n v="16"/>
    <x v="3"/>
    <d v="2024-09-26T00:00:00"/>
    <d v="2024-10-12T00:00:00"/>
    <x v="9"/>
  </r>
  <r>
    <n v="3345"/>
    <n v="12087"/>
    <x v="0"/>
    <n v="13868.2"/>
    <x v="0"/>
    <n v="21"/>
    <x v="3"/>
    <d v="2024-07-05T00:00:00"/>
    <d v="2024-07-26T00:00:00"/>
    <x v="2"/>
  </r>
  <r>
    <n v="3346"/>
    <n v="18872"/>
    <x v="3"/>
    <n v="119894.18"/>
    <x v="1"/>
    <n v="36"/>
    <x v="3"/>
    <d v="2024-09-30T00:00:00"/>
    <d v="2024-11-05T00:00:00"/>
    <x v="9"/>
  </r>
  <r>
    <n v="3347"/>
    <n v="10374"/>
    <x v="3"/>
    <n v="145775.17000000001"/>
    <x v="0"/>
    <n v="38"/>
    <x v="3"/>
    <d v="2024-05-12T00:00:00"/>
    <d v="2024-06-19T00:00:00"/>
    <x v="3"/>
  </r>
  <r>
    <n v="3348"/>
    <n v="13045"/>
    <x v="1"/>
    <n v="155836.24"/>
    <x v="1"/>
    <n v="4"/>
    <x v="0"/>
    <d v="2024-01-14T00:00:00"/>
    <d v="2024-01-18T00:00:00"/>
    <x v="0"/>
  </r>
  <r>
    <n v="3349"/>
    <n v="16275"/>
    <x v="3"/>
    <n v="34214.18"/>
    <x v="2"/>
    <m/>
    <x v="1"/>
    <d v="2024-10-07T00:00:00"/>
    <m/>
    <x v="6"/>
  </r>
  <r>
    <n v="3350"/>
    <n v="15949"/>
    <x v="1"/>
    <n v="91611.02"/>
    <x v="0"/>
    <n v="35"/>
    <x v="0"/>
    <d v="2024-02-13T00:00:00"/>
    <d v="2024-03-19T00:00:00"/>
    <x v="4"/>
  </r>
  <r>
    <n v="3351"/>
    <n v="10805"/>
    <x v="3"/>
    <n v="39488.33"/>
    <x v="0"/>
    <n v="37"/>
    <x v="1"/>
    <d v="2024-10-21T00:00:00"/>
    <d v="2024-11-27T00:00:00"/>
    <x v="6"/>
  </r>
  <r>
    <n v="3352"/>
    <n v="16352"/>
    <x v="2"/>
    <n v="134114.82999999999"/>
    <x v="0"/>
    <n v="36"/>
    <x v="3"/>
    <d v="2024-04-13T00:00:00"/>
    <d v="2024-05-19T00:00:00"/>
    <x v="10"/>
  </r>
  <r>
    <n v="3353"/>
    <n v="16470"/>
    <x v="0"/>
    <n v="35799.54"/>
    <x v="0"/>
    <n v="10"/>
    <x v="2"/>
    <d v="2024-03-02T00:00:00"/>
    <d v="2024-03-12T00:00:00"/>
    <x v="5"/>
  </r>
  <r>
    <n v="3354"/>
    <n v="16646"/>
    <x v="0"/>
    <n v="181311.92"/>
    <x v="1"/>
    <n v="31"/>
    <x v="0"/>
    <d v="2024-02-22T00:00:00"/>
    <d v="2024-03-24T00:00:00"/>
    <x v="4"/>
  </r>
  <r>
    <n v="3355"/>
    <n v="10278"/>
    <x v="3"/>
    <n v="49973.760000000002"/>
    <x v="0"/>
    <n v="27"/>
    <x v="2"/>
    <d v="2024-11-04T00:00:00"/>
    <d v="2024-12-01T00:00:00"/>
    <x v="1"/>
  </r>
  <r>
    <n v="3356"/>
    <n v="11405"/>
    <x v="1"/>
    <n v="61823.44"/>
    <x v="0"/>
    <n v="13"/>
    <x v="0"/>
    <d v="2024-04-27T00:00:00"/>
    <d v="2024-05-10T00:00:00"/>
    <x v="10"/>
  </r>
  <r>
    <n v="3357"/>
    <n v="18979"/>
    <x v="3"/>
    <n v="170926.73"/>
    <x v="1"/>
    <n v="25"/>
    <x v="3"/>
    <d v="2024-11-16T00:00:00"/>
    <d v="2024-12-11T00:00:00"/>
    <x v="1"/>
  </r>
  <r>
    <n v="3358"/>
    <n v="17150"/>
    <x v="3"/>
    <n v="94401.18"/>
    <x v="0"/>
    <n v="42"/>
    <x v="0"/>
    <d v="2024-05-10T00:00:00"/>
    <d v="2024-06-21T00:00:00"/>
    <x v="3"/>
  </r>
  <r>
    <n v="3359"/>
    <n v="11332"/>
    <x v="3"/>
    <n v="9679.2099999999991"/>
    <x v="1"/>
    <n v="20"/>
    <x v="3"/>
    <d v="2024-10-25T00:00:00"/>
    <d v="2024-11-14T00:00:00"/>
    <x v="6"/>
  </r>
  <r>
    <n v="3360"/>
    <n v="18065"/>
    <x v="1"/>
    <n v="101444.32"/>
    <x v="0"/>
    <n v="17"/>
    <x v="0"/>
    <d v="2024-11-01T00:00:00"/>
    <d v="2024-11-18T00:00:00"/>
    <x v="1"/>
  </r>
  <r>
    <n v="3361"/>
    <n v="13147"/>
    <x v="3"/>
    <n v="21485.95"/>
    <x v="2"/>
    <m/>
    <x v="3"/>
    <d v="2024-07-17T00:00:00"/>
    <m/>
    <x v="2"/>
  </r>
  <r>
    <n v="3362"/>
    <n v="17992"/>
    <x v="1"/>
    <n v="197142.22"/>
    <x v="0"/>
    <n v="24"/>
    <x v="3"/>
    <d v="2024-02-05T00:00:00"/>
    <d v="2024-02-29T00:00:00"/>
    <x v="4"/>
  </r>
  <r>
    <n v="3363"/>
    <n v="13449"/>
    <x v="3"/>
    <n v="119681.76"/>
    <x v="0"/>
    <n v="34"/>
    <x v="1"/>
    <d v="2024-10-05T00:00:00"/>
    <d v="2024-11-08T00:00:00"/>
    <x v="6"/>
  </r>
  <r>
    <n v="3364"/>
    <n v="10432"/>
    <x v="3"/>
    <n v="55023.86"/>
    <x v="0"/>
    <n v="43"/>
    <x v="3"/>
    <d v="2024-08-03T00:00:00"/>
    <d v="2024-09-15T00:00:00"/>
    <x v="8"/>
  </r>
  <r>
    <n v="3365"/>
    <n v="18026"/>
    <x v="1"/>
    <n v="114924.95"/>
    <x v="0"/>
    <n v="31"/>
    <x v="1"/>
    <d v="2024-03-14T00:00:00"/>
    <d v="2024-04-14T00:00:00"/>
    <x v="5"/>
  </r>
  <r>
    <n v="3366"/>
    <n v="11009"/>
    <x v="3"/>
    <n v="19989.09"/>
    <x v="2"/>
    <m/>
    <x v="3"/>
    <d v="2024-11-01T00:00:00"/>
    <m/>
    <x v="1"/>
  </r>
  <r>
    <n v="3367"/>
    <n v="17279"/>
    <x v="1"/>
    <n v="160978.79999999999"/>
    <x v="0"/>
    <n v="11"/>
    <x v="2"/>
    <d v="2024-02-24T00:00:00"/>
    <d v="2024-03-06T00:00:00"/>
    <x v="4"/>
  </r>
  <r>
    <n v="3368"/>
    <n v="15191"/>
    <x v="3"/>
    <n v="185438.97"/>
    <x v="1"/>
    <n v="37"/>
    <x v="3"/>
    <d v="2024-01-12T00:00:00"/>
    <d v="2024-02-18T00:00:00"/>
    <x v="0"/>
  </r>
  <r>
    <n v="3369"/>
    <n v="18508"/>
    <x v="0"/>
    <n v="175516.66"/>
    <x v="0"/>
    <n v="32"/>
    <x v="2"/>
    <d v="2024-03-23T00:00:00"/>
    <d v="2024-04-24T00:00:00"/>
    <x v="5"/>
  </r>
  <r>
    <n v="3370"/>
    <n v="15307"/>
    <x v="1"/>
    <n v="71642.73"/>
    <x v="0"/>
    <n v="44"/>
    <x v="2"/>
    <d v="2024-02-01T00:00:00"/>
    <d v="2024-03-16T00:00:00"/>
    <x v="4"/>
  </r>
  <r>
    <n v="3371"/>
    <n v="14216"/>
    <x v="3"/>
    <n v="68524.78"/>
    <x v="0"/>
    <n v="23"/>
    <x v="3"/>
    <d v="2024-03-26T00:00:00"/>
    <d v="2024-04-18T00:00:00"/>
    <x v="5"/>
  </r>
  <r>
    <n v="3372"/>
    <n v="11365"/>
    <x v="3"/>
    <n v="11842.08"/>
    <x v="0"/>
    <n v="44"/>
    <x v="2"/>
    <d v="2024-08-19T00:00:00"/>
    <d v="2024-10-02T00:00:00"/>
    <x v="8"/>
  </r>
  <r>
    <n v="3373"/>
    <n v="16796"/>
    <x v="1"/>
    <n v="132023.07"/>
    <x v="0"/>
    <n v="44"/>
    <x v="1"/>
    <d v="2024-10-01T00:00:00"/>
    <d v="2024-11-14T00:00:00"/>
    <x v="6"/>
  </r>
  <r>
    <n v="3374"/>
    <n v="19127"/>
    <x v="0"/>
    <n v="109306.43"/>
    <x v="0"/>
    <n v="39"/>
    <x v="0"/>
    <d v="2024-07-19T00:00:00"/>
    <d v="2024-08-27T00:00:00"/>
    <x v="2"/>
  </r>
  <r>
    <n v="3375"/>
    <n v="13518"/>
    <x v="3"/>
    <n v="94572.54"/>
    <x v="2"/>
    <m/>
    <x v="3"/>
    <d v="2024-02-20T00:00:00"/>
    <m/>
    <x v="4"/>
  </r>
  <r>
    <n v="3376"/>
    <n v="12768"/>
    <x v="3"/>
    <n v="181988.04"/>
    <x v="0"/>
    <n v="24"/>
    <x v="2"/>
    <d v="2024-11-15T00:00:00"/>
    <d v="2024-12-09T00:00:00"/>
    <x v="1"/>
  </r>
  <r>
    <n v="3377"/>
    <n v="10495"/>
    <x v="0"/>
    <n v="37736.39"/>
    <x v="0"/>
    <n v="36"/>
    <x v="3"/>
    <d v="2024-09-12T00:00:00"/>
    <d v="2024-10-18T00:00:00"/>
    <x v="9"/>
  </r>
  <r>
    <n v="3378"/>
    <n v="13592"/>
    <x v="1"/>
    <n v="6884.92"/>
    <x v="0"/>
    <n v="38"/>
    <x v="1"/>
    <d v="2024-08-28T00:00:00"/>
    <d v="2024-10-05T00:00:00"/>
    <x v="8"/>
  </r>
  <r>
    <n v="3379"/>
    <n v="12232"/>
    <x v="3"/>
    <n v="19296.71"/>
    <x v="0"/>
    <n v="33"/>
    <x v="3"/>
    <d v="2024-07-23T00:00:00"/>
    <d v="2024-08-25T00:00:00"/>
    <x v="2"/>
  </r>
  <r>
    <n v="3380"/>
    <n v="18048"/>
    <x v="3"/>
    <n v="48557.43"/>
    <x v="2"/>
    <m/>
    <x v="3"/>
    <d v="2024-07-14T00:00:00"/>
    <m/>
    <x v="2"/>
  </r>
  <r>
    <n v="3381"/>
    <n v="12935"/>
    <x v="3"/>
    <n v="11490.68"/>
    <x v="0"/>
    <n v="13"/>
    <x v="2"/>
    <d v="2024-08-31T00:00:00"/>
    <d v="2024-09-13T00:00:00"/>
    <x v="8"/>
  </r>
  <r>
    <n v="3382"/>
    <n v="16719"/>
    <x v="1"/>
    <n v="103054.52"/>
    <x v="0"/>
    <n v="36"/>
    <x v="1"/>
    <d v="2024-11-15T00:00:00"/>
    <d v="2024-12-21T00:00:00"/>
    <x v="1"/>
  </r>
  <r>
    <n v="3383"/>
    <n v="14445"/>
    <x v="3"/>
    <n v="66247.64"/>
    <x v="0"/>
    <n v="42"/>
    <x v="0"/>
    <d v="2024-01-01T00:00:00"/>
    <d v="2024-02-12T00:00:00"/>
    <x v="0"/>
  </r>
  <r>
    <n v="3384"/>
    <n v="12367"/>
    <x v="2"/>
    <n v="40194.19"/>
    <x v="0"/>
    <n v="4"/>
    <x v="0"/>
    <d v="2024-03-29T00:00:00"/>
    <d v="2024-04-02T00:00:00"/>
    <x v="5"/>
  </r>
  <r>
    <n v="3385"/>
    <n v="16555"/>
    <x v="3"/>
    <n v="151266.39000000001"/>
    <x v="0"/>
    <n v="35"/>
    <x v="2"/>
    <d v="2024-10-08T00:00:00"/>
    <d v="2024-11-12T00:00:00"/>
    <x v="6"/>
  </r>
  <r>
    <n v="3386"/>
    <n v="10905"/>
    <x v="3"/>
    <n v="44868.01"/>
    <x v="0"/>
    <n v="39"/>
    <x v="3"/>
    <d v="2024-05-18T00:00:00"/>
    <d v="2024-06-26T00:00:00"/>
    <x v="3"/>
  </r>
  <r>
    <n v="3387"/>
    <n v="18168"/>
    <x v="1"/>
    <n v="139082.99"/>
    <x v="0"/>
    <n v="25"/>
    <x v="2"/>
    <d v="2024-03-27T00:00:00"/>
    <d v="2024-04-21T00:00:00"/>
    <x v="5"/>
  </r>
  <r>
    <n v="3388"/>
    <n v="17900"/>
    <x v="2"/>
    <n v="73106.66"/>
    <x v="0"/>
    <n v="39"/>
    <x v="2"/>
    <d v="2024-01-02T00:00:00"/>
    <d v="2024-02-10T00:00:00"/>
    <x v="0"/>
  </r>
  <r>
    <n v="3389"/>
    <n v="14597"/>
    <x v="0"/>
    <n v="104806.41"/>
    <x v="1"/>
    <n v="18"/>
    <x v="2"/>
    <d v="2024-12-14T00:00:00"/>
    <d v="2025-01-01T00:00:00"/>
    <x v="11"/>
  </r>
  <r>
    <n v="3390"/>
    <n v="17653"/>
    <x v="3"/>
    <n v="187104.07"/>
    <x v="0"/>
    <n v="41"/>
    <x v="3"/>
    <d v="2024-06-16T00:00:00"/>
    <d v="2024-07-27T00:00:00"/>
    <x v="7"/>
  </r>
  <r>
    <n v="3391"/>
    <n v="15009"/>
    <x v="1"/>
    <n v="12283.57"/>
    <x v="1"/>
    <n v="2"/>
    <x v="1"/>
    <d v="2024-04-28T00:00:00"/>
    <d v="2024-04-30T00:00:00"/>
    <x v="10"/>
  </r>
  <r>
    <n v="3392"/>
    <n v="17235"/>
    <x v="1"/>
    <n v="102551.58"/>
    <x v="0"/>
    <n v="9"/>
    <x v="2"/>
    <d v="2024-03-20T00:00:00"/>
    <d v="2024-03-29T00:00:00"/>
    <x v="5"/>
  </r>
  <r>
    <n v="3393"/>
    <n v="19707"/>
    <x v="3"/>
    <n v="171612.48"/>
    <x v="1"/>
    <n v="16"/>
    <x v="3"/>
    <d v="2024-04-20T00:00:00"/>
    <d v="2024-05-06T00:00:00"/>
    <x v="10"/>
  </r>
  <r>
    <n v="3394"/>
    <n v="17208"/>
    <x v="3"/>
    <n v="119654.98"/>
    <x v="0"/>
    <n v="26"/>
    <x v="1"/>
    <d v="2024-06-13T00:00:00"/>
    <d v="2024-07-09T00:00:00"/>
    <x v="7"/>
  </r>
  <r>
    <n v="3395"/>
    <n v="17958"/>
    <x v="3"/>
    <n v="58989.75"/>
    <x v="0"/>
    <n v="9"/>
    <x v="2"/>
    <d v="2024-08-06T00:00:00"/>
    <d v="2024-08-15T00:00:00"/>
    <x v="8"/>
  </r>
  <r>
    <n v="3396"/>
    <n v="15288"/>
    <x v="3"/>
    <n v="82547.820000000007"/>
    <x v="0"/>
    <n v="33"/>
    <x v="0"/>
    <d v="2024-01-05T00:00:00"/>
    <d v="2024-02-07T00:00:00"/>
    <x v="0"/>
  </r>
  <r>
    <n v="3397"/>
    <n v="17813"/>
    <x v="2"/>
    <n v="137651.79999999999"/>
    <x v="0"/>
    <n v="14"/>
    <x v="1"/>
    <d v="2024-08-02T00:00:00"/>
    <d v="2024-08-16T00:00:00"/>
    <x v="8"/>
  </r>
  <r>
    <n v="3398"/>
    <n v="16136"/>
    <x v="3"/>
    <n v="178708.32"/>
    <x v="0"/>
    <n v="16"/>
    <x v="2"/>
    <d v="2024-07-13T00:00:00"/>
    <d v="2024-07-29T00:00:00"/>
    <x v="2"/>
  </r>
  <r>
    <n v="3399"/>
    <n v="18303"/>
    <x v="2"/>
    <n v="13007.94"/>
    <x v="0"/>
    <n v="7"/>
    <x v="1"/>
    <d v="2024-10-08T00:00:00"/>
    <d v="2024-10-15T00:00:00"/>
    <x v="6"/>
  </r>
  <r>
    <n v="3400"/>
    <n v="16606"/>
    <x v="1"/>
    <n v="18950.07"/>
    <x v="0"/>
    <n v="34"/>
    <x v="1"/>
    <d v="2024-01-06T00:00:00"/>
    <d v="2024-02-09T00:00:00"/>
    <x v="0"/>
  </r>
  <r>
    <n v="3401"/>
    <n v="19864"/>
    <x v="1"/>
    <n v="68385.05"/>
    <x v="0"/>
    <n v="8"/>
    <x v="1"/>
    <d v="2024-10-26T00:00:00"/>
    <d v="2024-11-03T00:00:00"/>
    <x v="6"/>
  </r>
  <r>
    <n v="3402"/>
    <n v="12302"/>
    <x v="1"/>
    <n v="50392.04"/>
    <x v="0"/>
    <n v="34"/>
    <x v="1"/>
    <d v="2024-02-27T00:00:00"/>
    <d v="2024-04-01T00:00:00"/>
    <x v="4"/>
  </r>
  <r>
    <n v="3403"/>
    <n v="19842"/>
    <x v="3"/>
    <n v="56661.52"/>
    <x v="1"/>
    <n v="30"/>
    <x v="1"/>
    <d v="2024-12-02T00:00:00"/>
    <d v="2025-01-01T00:00:00"/>
    <x v="11"/>
  </r>
  <r>
    <n v="3404"/>
    <n v="17325"/>
    <x v="3"/>
    <n v="48147.65"/>
    <x v="0"/>
    <n v="39"/>
    <x v="1"/>
    <d v="2024-10-28T00:00:00"/>
    <d v="2024-12-06T00:00:00"/>
    <x v="6"/>
  </r>
  <r>
    <n v="3405"/>
    <n v="14395"/>
    <x v="3"/>
    <n v="43185.88"/>
    <x v="0"/>
    <n v="38"/>
    <x v="2"/>
    <d v="2024-04-11T00:00:00"/>
    <d v="2024-05-19T00:00:00"/>
    <x v="10"/>
  </r>
  <r>
    <n v="3406"/>
    <n v="13995"/>
    <x v="1"/>
    <n v="30471.67"/>
    <x v="0"/>
    <n v="33"/>
    <x v="0"/>
    <d v="2024-02-17T00:00:00"/>
    <d v="2024-03-21T00:00:00"/>
    <x v="4"/>
  </r>
  <r>
    <n v="3407"/>
    <n v="18498"/>
    <x v="3"/>
    <n v="187121.06"/>
    <x v="0"/>
    <n v="4"/>
    <x v="3"/>
    <d v="2024-10-02T00:00:00"/>
    <d v="2024-10-06T00:00:00"/>
    <x v="6"/>
  </r>
  <r>
    <n v="3408"/>
    <n v="18312"/>
    <x v="1"/>
    <n v="33116.949999999997"/>
    <x v="0"/>
    <n v="21"/>
    <x v="1"/>
    <d v="2024-06-11T00:00:00"/>
    <d v="2024-07-02T00:00:00"/>
    <x v="7"/>
  </r>
  <r>
    <n v="3409"/>
    <n v="17769"/>
    <x v="3"/>
    <n v="44858.74"/>
    <x v="1"/>
    <n v="15"/>
    <x v="3"/>
    <d v="2024-11-27T00:00:00"/>
    <d v="2024-12-12T00:00:00"/>
    <x v="1"/>
  </r>
  <r>
    <n v="3410"/>
    <n v="19469"/>
    <x v="3"/>
    <n v="53021.82"/>
    <x v="0"/>
    <n v="29"/>
    <x v="2"/>
    <d v="2024-07-14T00:00:00"/>
    <d v="2024-08-12T00:00:00"/>
    <x v="2"/>
  </r>
  <r>
    <n v="3411"/>
    <n v="11427"/>
    <x v="3"/>
    <n v="186937.9"/>
    <x v="0"/>
    <n v="39"/>
    <x v="1"/>
    <d v="2024-12-30T00:00:00"/>
    <d v="2025-02-07T00:00:00"/>
    <x v="11"/>
  </r>
  <r>
    <n v="3412"/>
    <n v="15613"/>
    <x v="2"/>
    <n v="152364.26"/>
    <x v="0"/>
    <n v="5"/>
    <x v="0"/>
    <d v="2024-11-19T00:00:00"/>
    <d v="2024-11-24T00:00:00"/>
    <x v="1"/>
  </r>
  <r>
    <n v="3413"/>
    <n v="13102"/>
    <x v="1"/>
    <n v="158991.39000000001"/>
    <x v="0"/>
    <n v="16"/>
    <x v="3"/>
    <d v="2024-05-11T00:00:00"/>
    <d v="2024-05-27T00:00:00"/>
    <x v="3"/>
  </r>
  <r>
    <n v="3414"/>
    <n v="19377"/>
    <x v="3"/>
    <n v="25427.86"/>
    <x v="1"/>
    <n v="18"/>
    <x v="1"/>
    <d v="2024-03-06T00:00:00"/>
    <d v="2024-03-24T00:00:00"/>
    <x v="5"/>
  </r>
  <r>
    <n v="3415"/>
    <n v="11455"/>
    <x v="1"/>
    <n v="168080.43"/>
    <x v="1"/>
    <n v="38"/>
    <x v="2"/>
    <d v="2024-03-23T00:00:00"/>
    <d v="2024-04-30T00:00:00"/>
    <x v="5"/>
  </r>
  <r>
    <n v="3416"/>
    <n v="19371"/>
    <x v="3"/>
    <n v="84597.65"/>
    <x v="0"/>
    <n v="25"/>
    <x v="0"/>
    <d v="2024-09-21T00:00:00"/>
    <d v="2024-10-16T00:00:00"/>
    <x v="9"/>
  </r>
  <r>
    <n v="3417"/>
    <n v="11346"/>
    <x v="2"/>
    <n v="56250.49"/>
    <x v="0"/>
    <n v="39"/>
    <x v="3"/>
    <d v="2024-08-16T00:00:00"/>
    <d v="2024-09-24T00:00:00"/>
    <x v="8"/>
  </r>
  <r>
    <n v="3418"/>
    <n v="18820"/>
    <x v="1"/>
    <n v="117271.27"/>
    <x v="0"/>
    <n v="43"/>
    <x v="3"/>
    <d v="2024-09-29T00:00:00"/>
    <d v="2024-11-11T00:00:00"/>
    <x v="9"/>
  </r>
  <r>
    <n v="3419"/>
    <n v="11214"/>
    <x v="3"/>
    <n v="165325.67000000001"/>
    <x v="0"/>
    <n v="42"/>
    <x v="1"/>
    <d v="2024-08-06T00:00:00"/>
    <d v="2024-09-17T00:00:00"/>
    <x v="8"/>
  </r>
  <r>
    <n v="3420"/>
    <n v="11961"/>
    <x v="1"/>
    <n v="156837.17000000001"/>
    <x v="0"/>
    <n v="37"/>
    <x v="0"/>
    <d v="2024-08-12T00:00:00"/>
    <d v="2024-09-18T00:00:00"/>
    <x v="8"/>
  </r>
  <r>
    <n v="3421"/>
    <n v="12995"/>
    <x v="3"/>
    <n v="178549.51"/>
    <x v="1"/>
    <n v="42"/>
    <x v="0"/>
    <d v="2024-04-22T00:00:00"/>
    <d v="2024-06-03T00:00:00"/>
    <x v="10"/>
  </r>
  <r>
    <n v="3422"/>
    <n v="14612"/>
    <x v="2"/>
    <n v="185985.78"/>
    <x v="0"/>
    <n v="9"/>
    <x v="0"/>
    <d v="2024-05-19T00:00:00"/>
    <d v="2024-05-28T00:00:00"/>
    <x v="3"/>
  </r>
  <r>
    <n v="3423"/>
    <n v="19739"/>
    <x v="3"/>
    <n v="51433.8"/>
    <x v="0"/>
    <n v="4"/>
    <x v="0"/>
    <d v="2024-07-03T00:00:00"/>
    <d v="2024-07-07T00:00:00"/>
    <x v="2"/>
  </r>
  <r>
    <n v="3424"/>
    <n v="15690"/>
    <x v="1"/>
    <n v="87652.29"/>
    <x v="0"/>
    <n v="31"/>
    <x v="2"/>
    <d v="2024-06-21T00:00:00"/>
    <d v="2024-07-22T00:00:00"/>
    <x v="7"/>
  </r>
  <r>
    <n v="3425"/>
    <n v="12858"/>
    <x v="3"/>
    <n v="7852.57"/>
    <x v="1"/>
    <n v="23"/>
    <x v="0"/>
    <d v="2024-01-11T00:00:00"/>
    <d v="2024-02-03T00:00:00"/>
    <x v="0"/>
  </r>
  <r>
    <n v="3426"/>
    <n v="10761"/>
    <x v="1"/>
    <n v="176467.72"/>
    <x v="0"/>
    <n v="34"/>
    <x v="3"/>
    <d v="2024-06-07T00:00:00"/>
    <d v="2024-07-11T00:00:00"/>
    <x v="7"/>
  </r>
  <r>
    <n v="3427"/>
    <n v="15458"/>
    <x v="1"/>
    <n v="35141.57"/>
    <x v="1"/>
    <n v="26"/>
    <x v="3"/>
    <d v="2024-07-23T00:00:00"/>
    <d v="2024-08-18T00:00:00"/>
    <x v="2"/>
  </r>
  <r>
    <n v="3428"/>
    <n v="18047"/>
    <x v="1"/>
    <n v="172987.59"/>
    <x v="0"/>
    <n v="31"/>
    <x v="2"/>
    <d v="2024-08-17T00:00:00"/>
    <d v="2024-09-17T00:00:00"/>
    <x v="8"/>
  </r>
  <r>
    <n v="3429"/>
    <n v="14902"/>
    <x v="1"/>
    <n v="69230.53"/>
    <x v="0"/>
    <n v="38"/>
    <x v="3"/>
    <d v="2024-01-26T00:00:00"/>
    <d v="2024-03-04T00:00:00"/>
    <x v="0"/>
  </r>
  <r>
    <n v="3430"/>
    <n v="18105"/>
    <x v="0"/>
    <n v="76786.05"/>
    <x v="1"/>
    <n v="4"/>
    <x v="3"/>
    <d v="2024-11-14T00:00:00"/>
    <d v="2024-11-18T00:00:00"/>
    <x v="1"/>
  </r>
  <r>
    <n v="3431"/>
    <n v="11496"/>
    <x v="3"/>
    <n v="12630.79"/>
    <x v="1"/>
    <n v="5"/>
    <x v="0"/>
    <d v="2024-06-07T00:00:00"/>
    <d v="2024-06-12T00:00:00"/>
    <x v="7"/>
  </r>
  <r>
    <n v="3432"/>
    <n v="19435"/>
    <x v="3"/>
    <n v="68741.36"/>
    <x v="0"/>
    <n v="30"/>
    <x v="3"/>
    <d v="2024-10-04T00:00:00"/>
    <d v="2024-11-03T00:00:00"/>
    <x v="6"/>
  </r>
  <r>
    <n v="3433"/>
    <n v="14582"/>
    <x v="3"/>
    <n v="178230.92"/>
    <x v="0"/>
    <n v="33"/>
    <x v="2"/>
    <d v="2024-05-27T00:00:00"/>
    <d v="2024-06-29T00:00:00"/>
    <x v="3"/>
  </r>
  <r>
    <n v="3434"/>
    <n v="12043"/>
    <x v="2"/>
    <n v="9981.74"/>
    <x v="1"/>
    <n v="24"/>
    <x v="0"/>
    <d v="2024-09-22T00:00:00"/>
    <d v="2024-10-16T00:00:00"/>
    <x v="9"/>
  </r>
  <r>
    <n v="3435"/>
    <n v="13376"/>
    <x v="3"/>
    <n v="84233.86"/>
    <x v="0"/>
    <n v="20"/>
    <x v="1"/>
    <d v="2024-03-23T00:00:00"/>
    <d v="2024-04-12T00:00:00"/>
    <x v="5"/>
  </r>
  <r>
    <n v="3436"/>
    <n v="18708"/>
    <x v="1"/>
    <n v="11122.93"/>
    <x v="0"/>
    <n v="16"/>
    <x v="0"/>
    <d v="2024-01-26T00:00:00"/>
    <d v="2024-02-11T00:00:00"/>
    <x v="0"/>
  </r>
  <r>
    <n v="3437"/>
    <n v="10834"/>
    <x v="1"/>
    <n v="77330.070000000007"/>
    <x v="2"/>
    <m/>
    <x v="2"/>
    <d v="2024-03-11T00:00:00"/>
    <m/>
    <x v="5"/>
  </r>
  <r>
    <n v="3438"/>
    <n v="10623"/>
    <x v="3"/>
    <n v="38664.92"/>
    <x v="0"/>
    <n v="24"/>
    <x v="0"/>
    <d v="2024-02-06T00:00:00"/>
    <d v="2024-03-01T00:00:00"/>
    <x v="4"/>
  </r>
  <r>
    <n v="3439"/>
    <n v="11047"/>
    <x v="3"/>
    <n v="54182.59"/>
    <x v="0"/>
    <n v="41"/>
    <x v="0"/>
    <d v="2024-05-12T00:00:00"/>
    <d v="2024-06-22T00:00:00"/>
    <x v="3"/>
  </r>
  <r>
    <n v="3440"/>
    <n v="11564"/>
    <x v="3"/>
    <n v="176131.68"/>
    <x v="0"/>
    <n v="38"/>
    <x v="2"/>
    <d v="2024-05-05T00:00:00"/>
    <d v="2024-06-12T00:00:00"/>
    <x v="3"/>
  </r>
  <r>
    <n v="3441"/>
    <n v="13982"/>
    <x v="3"/>
    <n v="90029.6"/>
    <x v="0"/>
    <n v="2"/>
    <x v="0"/>
    <d v="2024-04-24T00:00:00"/>
    <d v="2024-04-26T00:00:00"/>
    <x v="10"/>
  </r>
  <r>
    <n v="3442"/>
    <n v="15440"/>
    <x v="3"/>
    <n v="58390.61"/>
    <x v="0"/>
    <n v="20"/>
    <x v="2"/>
    <d v="2024-04-01T00:00:00"/>
    <d v="2024-04-21T00:00:00"/>
    <x v="10"/>
  </r>
  <r>
    <n v="3443"/>
    <n v="10496"/>
    <x v="3"/>
    <n v="119920.98"/>
    <x v="0"/>
    <n v="38"/>
    <x v="2"/>
    <d v="2024-08-29T00:00:00"/>
    <d v="2024-10-06T00:00:00"/>
    <x v="8"/>
  </r>
  <r>
    <n v="3444"/>
    <n v="10542"/>
    <x v="0"/>
    <n v="32710.86"/>
    <x v="0"/>
    <n v="36"/>
    <x v="1"/>
    <d v="2024-07-18T00:00:00"/>
    <d v="2024-08-23T00:00:00"/>
    <x v="2"/>
  </r>
  <r>
    <n v="3445"/>
    <n v="10915"/>
    <x v="2"/>
    <n v="55581.36"/>
    <x v="0"/>
    <n v="31"/>
    <x v="3"/>
    <d v="2024-07-25T00:00:00"/>
    <d v="2024-08-25T00:00:00"/>
    <x v="2"/>
  </r>
  <r>
    <n v="3446"/>
    <n v="11801"/>
    <x v="3"/>
    <n v="111518.35"/>
    <x v="0"/>
    <n v="18"/>
    <x v="3"/>
    <d v="2024-04-26T00:00:00"/>
    <d v="2024-05-14T00:00:00"/>
    <x v="10"/>
  </r>
  <r>
    <n v="3447"/>
    <n v="10081"/>
    <x v="3"/>
    <n v="51316.99"/>
    <x v="0"/>
    <n v="40"/>
    <x v="0"/>
    <d v="2024-08-06T00:00:00"/>
    <d v="2024-09-15T00:00:00"/>
    <x v="8"/>
  </r>
  <r>
    <n v="3448"/>
    <n v="11179"/>
    <x v="3"/>
    <n v="137429.91"/>
    <x v="2"/>
    <m/>
    <x v="0"/>
    <d v="2024-10-31T00:00:00"/>
    <m/>
    <x v="6"/>
  </r>
  <r>
    <n v="3449"/>
    <n v="18357"/>
    <x v="1"/>
    <n v="100840.8"/>
    <x v="0"/>
    <n v="14"/>
    <x v="1"/>
    <d v="2024-08-30T00:00:00"/>
    <d v="2024-09-13T00:00:00"/>
    <x v="8"/>
  </r>
  <r>
    <n v="3450"/>
    <n v="12071"/>
    <x v="0"/>
    <n v="155537.87"/>
    <x v="2"/>
    <m/>
    <x v="1"/>
    <d v="2024-10-18T00:00:00"/>
    <m/>
    <x v="6"/>
  </r>
  <r>
    <n v="3451"/>
    <n v="18998"/>
    <x v="3"/>
    <n v="189907.68"/>
    <x v="0"/>
    <n v="24"/>
    <x v="1"/>
    <d v="2024-10-08T00:00:00"/>
    <d v="2024-11-01T00:00:00"/>
    <x v="6"/>
  </r>
  <r>
    <n v="3452"/>
    <n v="17030"/>
    <x v="3"/>
    <n v="27581.95"/>
    <x v="1"/>
    <n v="44"/>
    <x v="2"/>
    <d v="2024-10-27T00:00:00"/>
    <d v="2024-12-10T00:00:00"/>
    <x v="6"/>
  </r>
  <r>
    <n v="3453"/>
    <n v="10331"/>
    <x v="1"/>
    <n v="70259.679999999993"/>
    <x v="0"/>
    <n v="34"/>
    <x v="1"/>
    <d v="2024-11-12T00:00:00"/>
    <d v="2024-12-16T00:00:00"/>
    <x v="1"/>
  </r>
  <r>
    <n v="3454"/>
    <n v="17145"/>
    <x v="1"/>
    <n v="67312.070000000007"/>
    <x v="0"/>
    <n v="28"/>
    <x v="1"/>
    <d v="2024-06-20T00:00:00"/>
    <d v="2024-07-18T00:00:00"/>
    <x v="7"/>
  </r>
  <r>
    <n v="3455"/>
    <n v="19726"/>
    <x v="3"/>
    <n v="34480.67"/>
    <x v="1"/>
    <n v="36"/>
    <x v="0"/>
    <d v="2024-03-16T00:00:00"/>
    <d v="2024-04-21T00:00:00"/>
    <x v="5"/>
  </r>
  <r>
    <n v="3456"/>
    <n v="16979"/>
    <x v="1"/>
    <n v="163009.10999999999"/>
    <x v="1"/>
    <n v="13"/>
    <x v="1"/>
    <d v="2024-07-27T00:00:00"/>
    <d v="2024-08-09T00:00:00"/>
    <x v="2"/>
  </r>
  <r>
    <n v="3457"/>
    <n v="18372"/>
    <x v="3"/>
    <n v="153176.35"/>
    <x v="0"/>
    <n v="10"/>
    <x v="2"/>
    <d v="2024-11-09T00:00:00"/>
    <d v="2024-11-19T00:00:00"/>
    <x v="1"/>
  </r>
  <r>
    <n v="3458"/>
    <n v="19508"/>
    <x v="3"/>
    <n v="99462.97"/>
    <x v="1"/>
    <n v="35"/>
    <x v="2"/>
    <d v="2024-04-14T00:00:00"/>
    <d v="2024-05-19T00:00:00"/>
    <x v="10"/>
  </r>
  <r>
    <n v="3459"/>
    <n v="16112"/>
    <x v="1"/>
    <n v="109865.3"/>
    <x v="0"/>
    <n v="15"/>
    <x v="0"/>
    <d v="2024-01-26T00:00:00"/>
    <d v="2024-02-10T00:00:00"/>
    <x v="0"/>
  </r>
  <r>
    <n v="3460"/>
    <n v="19298"/>
    <x v="0"/>
    <n v="16611.11"/>
    <x v="1"/>
    <n v="38"/>
    <x v="1"/>
    <d v="2024-12-16T00:00:00"/>
    <d v="2025-01-23T00:00:00"/>
    <x v="11"/>
  </r>
  <r>
    <n v="3461"/>
    <n v="11589"/>
    <x v="3"/>
    <n v="113323.93"/>
    <x v="0"/>
    <n v="4"/>
    <x v="1"/>
    <d v="2024-03-19T00:00:00"/>
    <d v="2024-03-23T00:00:00"/>
    <x v="5"/>
  </r>
  <r>
    <n v="3462"/>
    <n v="12486"/>
    <x v="2"/>
    <n v="159311.6"/>
    <x v="0"/>
    <n v="22"/>
    <x v="2"/>
    <d v="2024-05-07T00:00:00"/>
    <d v="2024-05-29T00:00:00"/>
    <x v="3"/>
  </r>
  <r>
    <n v="3463"/>
    <n v="15834"/>
    <x v="3"/>
    <n v="116896.38"/>
    <x v="0"/>
    <n v="8"/>
    <x v="1"/>
    <d v="2024-05-16T00:00:00"/>
    <d v="2024-05-24T00:00:00"/>
    <x v="3"/>
  </r>
  <r>
    <n v="3464"/>
    <n v="12590"/>
    <x v="1"/>
    <n v="56734.74"/>
    <x v="0"/>
    <n v="34"/>
    <x v="1"/>
    <d v="2024-11-29T00:00:00"/>
    <d v="2025-01-02T00:00:00"/>
    <x v="1"/>
  </r>
  <r>
    <n v="3465"/>
    <n v="18679"/>
    <x v="3"/>
    <n v="135171.91"/>
    <x v="1"/>
    <n v="36"/>
    <x v="1"/>
    <d v="2024-02-05T00:00:00"/>
    <d v="2024-03-12T00:00:00"/>
    <x v="4"/>
  </r>
  <r>
    <n v="3466"/>
    <n v="18803"/>
    <x v="0"/>
    <n v="75490.240000000005"/>
    <x v="0"/>
    <n v="12"/>
    <x v="3"/>
    <d v="2024-02-28T00:00:00"/>
    <d v="2024-03-11T00:00:00"/>
    <x v="4"/>
  </r>
  <r>
    <n v="3467"/>
    <n v="13420"/>
    <x v="2"/>
    <n v="111250.29"/>
    <x v="0"/>
    <n v="33"/>
    <x v="0"/>
    <d v="2024-08-17T00:00:00"/>
    <d v="2024-09-19T00:00:00"/>
    <x v="8"/>
  </r>
  <r>
    <n v="3468"/>
    <n v="15208"/>
    <x v="3"/>
    <n v="100075.25"/>
    <x v="0"/>
    <n v="23"/>
    <x v="3"/>
    <d v="2024-05-03T00:00:00"/>
    <d v="2024-05-26T00:00:00"/>
    <x v="3"/>
  </r>
  <r>
    <n v="3469"/>
    <n v="19589"/>
    <x v="2"/>
    <n v="79329.13"/>
    <x v="0"/>
    <n v="43"/>
    <x v="0"/>
    <d v="2024-03-28T00:00:00"/>
    <d v="2024-05-10T00:00:00"/>
    <x v="5"/>
  </r>
  <r>
    <n v="3470"/>
    <n v="17214"/>
    <x v="0"/>
    <n v="145181.21"/>
    <x v="0"/>
    <n v="20"/>
    <x v="2"/>
    <d v="2024-12-02T00:00:00"/>
    <d v="2024-12-22T00:00:00"/>
    <x v="11"/>
  </r>
  <r>
    <n v="3471"/>
    <n v="11456"/>
    <x v="1"/>
    <n v="177355.84"/>
    <x v="0"/>
    <n v="37"/>
    <x v="1"/>
    <d v="2024-05-20T00:00:00"/>
    <d v="2024-06-26T00:00:00"/>
    <x v="3"/>
  </r>
  <r>
    <n v="3472"/>
    <n v="19529"/>
    <x v="3"/>
    <n v="6016.44"/>
    <x v="2"/>
    <m/>
    <x v="0"/>
    <d v="2024-09-29T00:00:00"/>
    <m/>
    <x v="9"/>
  </r>
  <r>
    <n v="3473"/>
    <n v="14497"/>
    <x v="0"/>
    <n v="187055.22"/>
    <x v="0"/>
    <n v="12"/>
    <x v="3"/>
    <d v="2024-02-20T00:00:00"/>
    <d v="2024-03-03T00:00:00"/>
    <x v="4"/>
  </r>
  <r>
    <n v="3474"/>
    <n v="12867"/>
    <x v="0"/>
    <n v="104745.45"/>
    <x v="0"/>
    <n v="42"/>
    <x v="1"/>
    <d v="2024-02-24T00:00:00"/>
    <d v="2024-04-06T00:00:00"/>
    <x v="4"/>
  </r>
  <r>
    <n v="3475"/>
    <n v="14583"/>
    <x v="3"/>
    <n v="141642.72"/>
    <x v="1"/>
    <n v="14"/>
    <x v="2"/>
    <d v="2024-12-02T00:00:00"/>
    <d v="2024-12-16T00:00:00"/>
    <x v="11"/>
  </r>
  <r>
    <n v="3476"/>
    <n v="15254"/>
    <x v="2"/>
    <n v="171846.79"/>
    <x v="0"/>
    <n v="29"/>
    <x v="0"/>
    <d v="2024-05-29T00:00:00"/>
    <d v="2024-06-27T00:00:00"/>
    <x v="3"/>
  </r>
  <r>
    <n v="3477"/>
    <n v="16345"/>
    <x v="3"/>
    <n v="96085.22"/>
    <x v="2"/>
    <m/>
    <x v="0"/>
    <d v="2024-06-01T00:00:00"/>
    <m/>
    <x v="7"/>
  </r>
  <r>
    <n v="3478"/>
    <n v="16571"/>
    <x v="3"/>
    <n v="167819.94"/>
    <x v="1"/>
    <n v="14"/>
    <x v="0"/>
    <d v="2024-08-06T00:00:00"/>
    <d v="2024-08-20T00:00:00"/>
    <x v="8"/>
  </r>
  <r>
    <n v="3479"/>
    <n v="17083"/>
    <x v="1"/>
    <n v="39635.86"/>
    <x v="0"/>
    <n v="44"/>
    <x v="1"/>
    <d v="2024-08-06T00:00:00"/>
    <d v="2024-09-19T00:00:00"/>
    <x v="8"/>
  </r>
  <r>
    <n v="3480"/>
    <n v="15298"/>
    <x v="1"/>
    <n v="36037.67"/>
    <x v="0"/>
    <n v="34"/>
    <x v="3"/>
    <d v="2024-12-07T00:00:00"/>
    <d v="2025-01-10T00:00:00"/>
    <x v="11"/>
  </r>
  <r>
    <n v="3481"/>
    <n v="10078"/>
    <x v="1"/>
    <n v="133206.92000000001"/>
    <x v="0"/>
    <n v="9"/>
    <x v="3"/>
    <d v="2024-09-14T00:00:00"/>
    <d v="2024-09-23T00:00:00"/>
    <x v="9"/>
  </r>
  <r>
    <n v="3482"/>
    <n v="15652"/>
    <x v="3"/>
    <n v="174677.89"/>
    <x v="0"/>
    <n v="33"/>
    <x v="0"/>
    <d v="2024-02-14T00:00:00"/>
    <d v="2024-03-18T00:00:00"/>
    <x v="4"/>
  </r>
  <r>
    <n v="3483"/>
    <n v="10377"/>
    <x v="2"/>
    <n v="179023.1"/>
    <x v="1"/>
    <n v="38"/>
    <x v="2"/>
    <d v="2024-09-25T00:00:00"/>
    <d v="2024-11-02T00:00:00"/>
    <x v="9"/>
  </r>
  <r>
    <n v="3484"/>
    <n v="10164"/>
    <x v="3"/>
    <n v="130529.39"/>
    <x v="0"/>
    <n v="5"/>
    <x v="2"/>
    <d v="2024-11-06T00:00:00"/>
    <d v="2024-11-11T00:00:00"/>
    <x v="1"/>
  </r>
  <r>
    <n v="3485"/>
    <n v="17967"/>
    <x v="3"/>
    <n v="107470.39999999999"/>
    <x v="0"/>
    <n v="19"/>
    <x v="3"/>
    <d v="2024-06-08T00:00:00"/>
    <d v="2024-06-27T00:00:00"/>
    <x v="7"/>
  </r>
  <r>
    <n v="3486"/>
    <n v="19912"/>
    <x v="3"/>
    <n v="69621.649999999994"/>
    <x v="0"/>
    <n v="24"/>
    <x v="2"/>
    <d v="2024-10-04T00:00:00"/>
    <d v="2024-10-28T00:00:00"/>
    <x v="6"/>
  </r>
  <r>
    <n v="3487"/>
    <n v="15941"/>
    <x v="1"/>
    <n v="196100.08"/>
    <x v="0"/>
    <n v="30"/>
    <x v="3"/>
    <d v="2024-12-10T00:00:00"/>
    <d v="2025-01-09T00:00:00"/>
    <x v="11"/>
  </r>
  <r>
    <n v="3488"/>
    <n v="18346"/>
    <x v="2"/>
    <n v="67340.66"/>
    <x v="0"/>
    <n v="3"/>
    <x v="0"/>
    <d v="2024-02-24T00:00:00"/>
    <d v="2024-02-27T00:00:00"/>
    <x v="4"/>
  </r>
  <r>
    <n v="3489"/>
    <n v="11146"/>
    <x v="1"/>
    <n v="150116.29"/>
    <x v="1"/>
    <n v="14"/>
    <x v="3"/>
    <d v="2024-05-24T00:00:00"/>
    <d v="2024-06-07T00:00:00"/>
    <x v="3"/>
  </r>
  <r>
    <n v="3490"/>
    <n v="19255"/>
    <x v="0"/>
    <n v="108736.45"/>
    <x v="0"/>
    <n v="17"/>
    <x v="3"/>
    <d v="2024-08-22T00:00:00"/>
    <d v="2024-09-08T00:00:00"/>
    <x v="8"/>
  </r>
  <r>
    <n v="3491"/>
    <n v="12216"/>
    <x v="3"/>
    <n v="123659.91"/>
    <x v="0"/>
    <n v="9"/>
    <x v="0"/>
    <d v="2024-06-27T00:00:00"/>
    <d v="2024-07-06T00:00:00"/>
    <x v="7"/>
  </r>
  <r>
    <n v="3492"/>
    <n v="15449"/>
    <x v="1"/>
    <n v="81728.710000000006"/>
    <x v="0"/>
    <n v="20"/>
    <x v="2"/>
    <d v="2024-07-26T00:00:00"/>
    <d v="2024-08-15T00:00:00"/>
    <x v="2"/>
  </r>
  <r>
    <n v="3493"/>
    <n v="11463"/>
    <x v="3"/>
    <n v="193140.51"/>
    <x v="1"/>
    <n v="33"/>
    <x v="3"/>
    <d v="2024-05-15T00:00:00"/>
    <d v="2024-06-17T00:00:00"/>
    <x v="3"/>
  </r>
  <r>
    <n v="3494"/>
    <n v="13470"/>
    <x v="3"/>
    <n v="116478.05"/>
    <x v="0"/>
    <n v="4"/>
    <x v="3"/>
    <d v="2024-12-18T00:00:00"/>
    <d v="2024-12-22T00:00:00"/>
    <x v="11"/>
  </r>
  <r>
    <n v="3495"/>
    <n v="11516"/>
    <x v="3"/>
    <n v="187868.59"/>
    <x v="1"/>
    <n v="33"/>
    <x v="0"/>
    <d v="2024-10-01T00:00:00"/>
    <d v="2024-11-03T00:00:00"/>
    <x v="6"/>
  </r>
  <r>
    <n v="3496"/>
    <n v="14423"/>
    <x v="1"/>
    <n v="6480.33"/>
    <x v="0"/>
    <n v="42"/>
    <x v="2"/>
    <d v="2024-11-18T00:00:00"/>
    <d v="2024-12-30T00:00:00"/>
    <x v="1"/>
  </r>
  <r>
    <n v="3497"/>
    <n v="11526"/>
    <x v="1"/>
    <n v="116670.76"/>
    <x v="2"/>
    <m/>
    <x v="3"/>
    <d v="2024-07-01T00:00:00"/>
    <m/>
    <x v="2"/>
  </r>
  <r>
    <n v="3498"/>
    <n v="10788"/>
    <x v="1"/>
    <n v="144851.44"/>
    <x v="0"/>
    <n v="26"/>
    <x v="0"/>
    <d v="2024-03-01T00:00:00"/>
    <d v="2024-03-27T00:00:00"/>
    <x v="5"/>
  </r>
  <r>
    <n v="3499"/>
    <n v="16520"/>
    <x v="3"/>
    <n v="150290.63"/>
    <x v="0"/>
    <n v="18"/>
    <x v="3"/>
    <d v="2024-03-03T00:00:00"/>
    <d v="2024-03-21T00:00:00"/>
    <x v="5"/>
  </r>
  <r>
    <n v="3500"/>
    <n v="17421"/>
    <x v="3"/>
    <n v="181470.49"/>
    <x v="0"/>
    <n v="26"/>
    <x v="1"/>
    <d v="2024-12-26T00:00:00"/>
    <d v="2025-01-21T00:00:00"/>
    <x v="11"/>
  </r>
  <r>
    <n v="3501"/>
    <n v="16577"/>
    <x v="1"/>
    <n v="5858.31"/>
    <x v="0"/>
    <n v="34"/>
    <x v="0"/>
    <d v="2024-08-02T00:00:00"/>
    <d v="2024-09-05T00:00:00"/>
    <x v="8"/>
  </r>
  <r>
    <n v="3502"/>
    <n v="12548"/>
    <x v="3"/>
    <n v="5064.38"/>
    <x v="0"/>
    <n v="32"/>
    <x v="2"/>
    <d v="2024-12-25T00:00:00"/>
    <d v="2025-01-26T00:00:00"/>
    <x v="11"/>
  </r>
  <r>
    <n v="3503"/>
    <n v="17252"/>
    <x v="0"/>
    <n v="97091.37"/>
    <x v="0"/>
    <n v="37"/>
    <x v="2"/>
    <d v="2024-05-18T00:00:00"/>
    <d v="2024-06-24T00:00:00"/>
    <x v="3"/>
  </r>
  <r>
    <n v="3504"/>
    <n v="14608"/>
    <x v="1"/>
    <n v="10712.27"/>
    <x v="0"/>
    <n v="24"/>
    <x v="2"/>
    <d v="2024-05-13T00:00:00"/>
    <d v="2024-06-06T00:00:00"/>
    <x v="3"/>
  </r>
  <r>
    <n v="3505"/>
    <n v="18707"/>
    <x v="3"/>
    <n v="195033.85"/>
    <x v="0"/>
    <n v="26"/>
    <x v="2"/>
    <d v="2024-02-03T00:00:00"/>
    <d v="2024-02-29T00:00:00"/>
    <x v="4"/>
  </r>
  <r>
    <n v="3506"/>
    <n v="16640"/>
    <x v="2"/>
    <n v="48302.71"/>
    <x v="2"/>
    <m/>
    <x v="3"/>
    <d v="2024-07-11T00:00:00"/>
    <m/>
    <x v="2"/>
  </r>
  <r>
    <n v="3507"/>
    <n v="16745"/>
    <x v="1"/>
    <n v="97169.62"/>
    <x v="0"/>
    <n v="14"/>
    <x v="3"/>
    <d v="2024-12-20T00:00:00"/>
    <d v="2025-01-03T00:00:00"/>
    <x v="11"/>
  </r>
  <r>
    <n v="3508"/>
    <n v="13062"/>
    <x v="3"/>
    <n v="16921.84"/>
    <x v="1"/>
    <n v="44"/>
    <x v="2"/>
    <d v="2024-11-15T00:00:00"/>
    <d v="2024-12-29T00:00:00"/>
    <x v="1"/>
  </r>
  <r>
    <n v="3509"/>
    <n v="15281"/>
    <x v="1"/>
    <n v="106799.44"/>
    <x v="0"/>
    <n v="30"/>
    <x v="2"/>
    <d v="2024-03-27T00:00:00"/>
    <d v="2024-04-26T00:00:00"/>
    <x v="5"/>
  </r>
  <r>
    <n v="3510"/>
    <n v="14762"/>
    <x v="3"/>
    <n v="79091.44"/>
    <x v="0"/>
    <n v="17"/>
    <x v="2"/>
    <d v="2024-07-28T00:00:00"/>
    <d v="2024-08-14T00:00:00"/>
    <x v="2"/>
  </r>
  <r>
    <n v="3511"/>
    <n v="19759"/>
    <x v="0"/>
    <n v="13708.71"/>
    <x v="0"/>
    <n v="39"/>
    <x v="3"/>
    <d v="2024-03-21T00:00:00"/>
    <d v="2024-04-29T00:00:00"/>
    <x v="5"/>
  </r>
  <r>
    <n v="3512"/>
    <n v="19640"/>
    <x v="0"/>
    <n v="70349.23"/>
    <x v="0"/>
    <n v="28"/>
    <x v="2"/>
    <d v="2024-11-17T00:00:00"/>
    <d v="2024-12-15T00:00:00"/>
    <x v="1"/>
  </r>
  <r>
    <n v="3513"/>
    <n v="10966"/>
    <x v="2"/>
    <n v="81330.02"/>
    <x v="2"/>
    <m/>
    <x v="2"/>
    <d v="2024-12-04T00:00:00"/>
    <m/>
    <x v="11"/>
  </r>
  <r>
    <n v="3514"/>
    <n v="16076"/>
    <x v="1"/>
    <n v="198034.69"/>
    <x v="0"/>
    <n v="12"/>
    <x v="1"/>
    <d v="2024-07-08T00:00:00"/>
    <d v="2024-07-20T00:00:00"/>
    <x v="2"/>
  </r>
  <r>
    <n v="3515"/>
    <n v="15694"/>
    <x v="3"/>
    <n v="45537.75"/>
    <x v="1"/>
    <n v="38"/>
    <x v="1"/>
    <d v="2024-12-13T00:00:00"/>
    <d v="2025-01-20T00:00:00"/>
    <x v="11"/>
  </r>
  <r>
    <n v="3516"/>
    <n v="18555"/>
    <x v="1"/>
    <n v="111232.02"/>
    <x v="2"/>
    <m/>
    <x v="2"/>
    <d v="2024-08-20T00:00:00"/>
    <m/>
    <x v="8"/>
  </r>
  <r>
    <n v="3517"/>
    <n v="10107"/>
    <x v="3"/>
    <n v="197526.53"/>
    <x v="0"/>
    <n v="27"/>
    <x v="0"/>
    <d v="2024-06-17T00:00:00"/>
    <d v="2024-07-14T00:00:00"/>
    <x v="7"/>
  </r>
  <r>
    <n v="3518"/>
    <n v="17181"/>
    <x v="1"/>
    <n v="159443.75"/>
    <x v="2"/>
    <m/>
    <x v="2"/>
    <d v="2024-09-07T00:00:00"/>
    <m/>
    <x v="9"/>
  </r>
  <r>
    <n v="3519"/>
    <n v="18814"/>
    <x v="1"/>
    <n v="198706.66"/>
    <x v="0"/>
    <n v="34"/>
    <x v="1"/>
    <d v="2024-06-16T00:00:00"/>
    <d v="2024-07-20T00:00:00"/>
    <x v="7"/>
  </r>
  <r>
    <n v="3520"/>
    <n v="14416"/>
    <x v="3"/>
    <n v="193818.17"/>
    <x v="2"/>
    <m/>
    <x v="0"/>
    <d v="2024-08-18T00:00:00"/>
    <m/>
    <x v="8"/>
  </r>
  <r>
    <n v="3521"/>
    <n v="10509"/>
    <x v="3"/>
    <n v="100460.21"/>
    <x v="1"/>
    <n v="3"/>
    <x v="0"/>
    <d v="2024-05-29T00:00:00"/>
    <d v="2024-06-01T00:00:00"/>
    <x v="3"/>
  </r>
  <r>
    <n v="3522"/>
    <n v="16815"/>
    <x v="0"/>
    <n v="140793.29"/>
    <x v="0"/>
    <n v="29"/>
    <x v="2"/>
    <d v="2024-05-31T00:00:00"/>
    <d v="2024-06-29T00:00:00"/>
    <x v="3"/>
  </r>
  <r>
    <n v="3523"/>
    <n v="19256"/>
    <x v="0"/>
    <n v="26536.41"/>
    <x v="2"/>
    <m/>
    <x v="1"/>
    <d v="2024-02-07T00:00:00"/>
    <m/>
    <x v="4"/>
  </r>
  <r>
    <n v="3524"/>
    <n v="13865"/>
    <x v="3"/>
    <n v="91024.02"/>
    <x v="0"/>
    <n v="39"/>
    <x v="1"/>
    <d v="2024-10-23T00:00:00"/>
    <d v="2024-12-01T00:00:00"/>
    <x v="6"/>
  </r>
  <r>
    <n v="3525"/>
    <n v="18495"/>
    <x v="3"/>
    <n v="162758.62"/>
    <x v="0"/>
    <n v="17"/>
    <x v="0"/>
    <d v="2024-10-01T00:00:00"/>
    <d v="2024-10-18T00:00:00"/>
    <x v="6"/>
  </r>
  <r>
    <n v="3526"/>
    <n v="19160"/>
    <x v="3"/>
    <n v="103540.39"/>
    <x v="0"/>
    <n v="5"/>
    <x v="2"/>
    <d v="2024-04-14T00:00:00"/>
    <d v="2024-04-19T00:00:00"/>
    <x v="10"/>
  </r>
  <r>
    <n v="3527"/>
    <n v="19630"/>
    <x v="0"/>
    <n v="142026.31"/>
    <x v="0"/>
    <n v="9"/>
    <x v="3"/>
    <d v="2024-12-13T00:00:00"/>
    <d v="2024-12-22T00:00:00"/>
    <x v="11"/>
  </r>
  <r>
    <n v="3528"/>
    <n v="13871"/>
    <x v="3"/>
    <n v="150421.51"/>
    <x v="0"/>
    <n v="21"/>
    <x v="3"/>
    <d v="2024-12-17T00:00:00"/>
    <d v="2025-01-07T00:00:00"/>
    <x v="11"/>
  </r>
  <r>
    <n v="3529"/>
    <n v="15513"/>
    <x v="1"/>
    <n v="54426.48"/>
    <x v="1"/>
    <n v="27"/>
    <x v="1"/>
    <d v="2024-03-02T00:00:00"/>
    <d v="2024-03-29T00:00:00"/>
    <x v="5"/>
  </r>
  <r>
    <n v="3530"/>
    <n v="16508"/>
    <x v="3"/>
    <n v="175761.38"/>
    <x v="0"/>
    <n v="33"/>
    <x v="3"/>
    <d v="2024-01-16T00:00:00"/>
    <d v="2024-02-18T00:00:00"/>
    <x v="0"/>
  </r>
  <r>
    <n v="3531"/>
    <n v="17164"/>
    <x v="1"/>
    <n v="94665.37"/>
    <x v="0"/>
    <n v="14"/>
    <x v="1"/>
    <d v="2024-12-15T00:00:00"/>
    <d v="2024-12-29T00:00:00"/>
    <x v="11"/>
  </r>
  <r>
    <n v="3532"/>
    <n v="13500"/>
    <x v="3"/>
    <n v="45986.1"/>
    <x v="0"/>
    <n v="6"/>
    <x v="1"/>
    <d v="2024-05-29T00:00:00"/>
    <d v="2024-06-04T00:00:00"/>
    <x v="3"/>
  </r>
  <r>
    <n v="3533"/>
    <n v="12199"/>
    <x v="1"/>
    <n v="173756.1"/>
    <x v="0"/>
    <n v="43"/>
    <x v="1"/>
    <d v="2024-05-21T00:00:00"/>
    <d v="2024-07-03T00:00:00"/>
    <x v="3"/>
  </r>
  <r>
    <n v="3534"/>
    <n v="13901"/>
    <x v="3"/>
    <n v="86474.67"/>
    <x v="1"/>
    <n v="14"/>
    <x v="3"/>
    <d v="2024-04-25T00:00:00"/>
    <d v="2024-05-09T00:00:00"/>
    <x v="10"/>
  </r>
  <r>
    <n v="3535"/>
    <n v="17758"/>
    <x v="1"/>
    <n v="151310.93"/>
    <x v="1"/>
    <n v="42"/>
    <x v="1"/>
    <d v="2024-11-07T00:00:00"/>
    <d v="2024-12-19T00:00:00"/>
    <x v="1"/>
  </r>
  <r>
    <n v="3536"/>
    <n v="16070"/>
    <x v="3"/>
    <n v="111866.45"/>
    <x v="2"/>
    <m/>
    <x v="0"/>
    <d v="2024-03-05T00:00:00"/>
    <m/>
    <x v="5"/>
  </r>
  <r>
    <n v="3537"/>
    <n v="12270"/>
    <x v="1"/>
    <n v="79464.990000000005"/>
    <x v="0"/>
    <n v="38"/>
    <x v="2"/>
    <d v="2024-11-05T00:00:00"/>
    <d v="2024-12-13T00:00:00"/>
    <x v="1"/>
  </r>
  <r>
    <n v="3538"/>
    <n v="15385"/>
    <x v="0"/>
    <n v="162925.9"/>
    <x v="0"/>
    <n v="33"/>
    <x v="2"/>
    <d v="2024-07-12T00:00:00"/>
    <d v="2024-08-14T00:00:00"/>
    <x v="2"/>
  </r>
  <r>
    <n v="3539"/>
    <n v="10229"/>
    <x v="3"/>
    <n v="118971.64"/>
    <x v="2"/>
    <m/>
    <x v="1"/>
    <d v="2024-12-07T00:00:00"/>
    <m/>
    <x v="11"/>
  </r>
  <r>
    <n v="3540"/>
    <n v="12486"/>
    <x v="0"/>
    <n v="81159.61"/>
    <x v="1"/>
    <n v="19"/>
    <x v="2"/>
    <d v="2024-06-09T00:00:00"/>
    <d v="2024-06-28T00:00:00"/>
    <x v="7"/>
  </r>
  <r>
    <n v="3541"/>
    <n v="18341"/>
    <x v="1"/>
    <n v="26371.58"/>
    <x v="0"/>
    <n v="30"/>
    <x v="3"/>
    <d v="2024-11-01T00:00:00"/>
    <d v="2024-12-01T00:00:00"/>
    <x v="1"/>
  </r>
  <r>
    <n v="3542"/>
    <n v="10909"/>
    <x v="3"/>
    <n v="179611.84"/>
    <x v="0"/>
    <n v="16"/>
    <x v="3"/>
    <d v="2024-12-26T00:00:00"/>
    <d v="2025-01-11T00:00:00"/>
    <x v="11"/>
  </r>
  <r>
    <n v="3543"/>
    <n v="10977"/>
    <x v="3"/>
    <n v="11916.57"/>
    <x v="2"/>
    <m/>
    <x v="2"/>
    <d v="2024-10-04T00:00:00"/>
    <m/>
    <x v="6"/>
  </r>
  <r>
    <n v="3544"/>
    <n v="10634"/>
    <x v="3"/>
    <n v="173321.53"/>
    <x v="1"/>
    <n v="37"/>
    <x v="3"/>
    <d v="2024-10-22T00:00:00"/>
    <d v="2024-11-28T00:00:00"/>
    <x v="6"/>
  </r>
  <r>
    <n v="3545"/>
    <n v="15989"/>
    <x v="1"/>
    <n v="75192.5"/>
    <x v="0"/>
    <n v="6"/>
    <x v="2"/>
    <d v="2024-02-08T00:00:00"/>
    <d v="2024-02-14T00:00:00"/>
    <x v="4"/>
  </r>
  <r>
    <n v="3546"/>
    <n v="14717"/>
    <x v="1"/>
    <n v="129671.06"/>
    <x v="1"/>
    <n v="41"/>
    <x v="2"/>
    <d v="2024-12-26T00:00:00"/>
    <d v="2025-02-05T00:00:00"/>
    <x v="11"/>
  </r>
  <r>
    <n v="3547"/>
    <n v="12190"/>
    <x v="3"/>
    <n v="184828.95"/>
    <x v="0"/>
    <n v="38"/>
    <x v="2"/>
    <d v="2024-06-17T00:00:00"/>
    <d v="2024-07-25T00:00:00"/>
    <x v="7"/>
  </r>
  <r>
    <n v="3548"/>
    <n v="15189"/>
    <x v="1"/>
    <n v="34582.79"/>
    <x v="0"/>
    <n v="34"/>
    <x v="1"/>
    <d v="2024-03-08T00:00:00"/>
    <d v="2024-04-11T00:00:00"/>
    <x v="5"/>
  </r>
  <r>
    <n v="3549"/>
    <n v="14939"/>
    <x v="0"/>
    <n v="115555.34"/>
    <x v="0"/>
    <n v="19"/>
    <x v="2"/>
    <d v="2024-01-07T00:00:00"/>
    <d v="2024-01-26T00:00:00"/>
    <x v="0"/>
  </r>
  <r>
    <n v="3550"/>
    <n v="17081"/>
    <x v="2"/>
    <n v="154064.41"/>
    <x v="0"/>
    <n v="20"/>
    <x v="1"/>
    <d v="2024-03-25T00:00:00"/>
    <d v="2024-04-14T00:00:00"/>
    <x v="5"/>
  </r>
  <r>
    <n v="3551"/>
    <n v="13474"/>
    <x v="1"/>
    <n v="152728.85"/>
    <x v="0"/>
    <n v="33"/>
    <x v="2"/>
    <d v="2024-07-17T00:00:00"/>
    <d v="2024-08-19T00:00:00"/>
    <x v="2"/>
  </r>
  <r>
    <n v="3552"/>
    <n v="16695"/>
    <x v="2"/>
    <n v="107498.22"/>
    <x v="0"/>
    <n v="43"/>
    <x v="2"/>
    <d v="2024-05-11T00:00:00"/>
    <d v="2024-06-23T00:00:00"/>
    <x v="3"/>
  </r>
  <r>
    <n v="3553"/>
    <n v="17194"/>
    <x v="1"/>
    <n v="126824.19"/>
    <x v="0"/>
    <n v="23"/>
    <x v="2"/>
    <d v="2024-03-16T00:00:00"/>
    <d v="2024-04-08T00:00:00"/>
    <x v="5"/>
  </r>
  <r>
    <n v="3554"/>
    <n v="11865"/>
    <x v="3"/>
    <n v="152717.76000000001"/>
    <x v="1"/>
    <n v="42"/>
    <x v="3"/>
    <d v="2024-09-06T00:00:00"/>
    <d v="2024-10-18T00:00:00"/>
    <x v="9"/>
  </r>
  <r>
    <n v="3555"/>
    <n v="10298"/>
    <x v="0"/>
    <n v="169000.39"/>
    <x v="2"/>
    <m/>
    <x v="1"/>
    <d v="2024-12-12T00:00:00"/>
    <m/>
    <x v="11"/>
  </r>
  <r>
    <n v="3556"/>
    <n v="12739"/>
    <x v="3"/>
    <n v="153553.54999999999"/>
    <x v="0"/>
    <n v="26"/>
    <x v="1"/>
    <d v="2024-07-27T00:00:00"/>
    <d v="2024-08-22T00:00:00"/>
    <x v="2"/>
  </r>
  <r>
    <n v="3557"/>
    <n v="16701"/>
    <x v="3"/>
    <n v="74030.960000000006"/>
    <x v="0"/>
    <n v="21"/>
    <x v="2"/>
    <d v="2024-03-24T00:00:00"/>
    <d v="2024-04-14T00:00:00"/>
    <x v="5"/>
  </r>
  <r>
    <n v="3558"/>
    <n v="13725"/>
    <x v="3"/>
    <n v="199361.65"/>
    <x v="2"/>
    <m/>
    <x v="2"/>
    <d v="2024-08-10T00:00:00"/>
    <m/>
    <x v="8"/>
  </r>
  <r>
    <n v="3559"/>
    <n v="14540"/>
    <x v="0"/>
    <n v="89728.03"/>
    <x v="0"/>
    <n v="7"/>
    <x v="3"/>
    <d v="2024-09-09T00:00:00"/>
    <d v="2024-09-16T00:00:00"/>
    <x v="9"/>
  </r>
  <r>
    <n v="3560"/>
    <n v="18289"/>
    <x v="0"/>
    <n v="9770.6200000000008"/>
    <x v="1"/>
    <n v="7"/>
    <x v="3"/>
    <d v="2024-01-31T00:00:00"/>
    <d v="2024-02-07T00:00:00"/>
    <x v="0"/>
  </r>
  <r>
    <n v="3561"/>
    <n v="14814"/>
    <x v="3"/>
    <n v="75710.31"/>
    <x v="1"/>
    <n v="38"/>
    <x v="3"/>
    <d v="2024-12-20T00:00:00"/>
    <d v="2025-01-27T00:00:00"/>
    <x v="11"/>
  </r>
  <r>
    <n v="3562"/>
    <n v="16134"/>
    <x v="3"/>
    <n v="29917.68"/>
    <x v="0"/>
    <n v="4"/>
    <x v="1"/>
    <d v="2024-07-19T00:00:00"/>
    <d v="2024-07-23T00:00:00"/>
    <x v="2"/>
  </r>
  <r>
    <n v="3563"/>
    <n v="13522"/>
    <x v="3"/>
    <n v="28681.31"/>
    <x v="1"/>
    <n v="38"/>
    <x v="1"/>
    <d v="2024-02-21T00:00:00"/>
    <d v="2024-03-30T00:00:00"/>
    <x v="4"/>
  </r>
  <r>
    <n v="3564"/>
    <n v="14418"/>
    <x v="1"/>
    <n v="59899.33"/>
    <x v="1"/>
    <n v="32"/>
    <x v="1"/>
    <d v="2024-03-12T00:00:00"/>
    <d v="2024-04-13T00:00:00"/>
    <x v="5"/>
  </r>
  <r>
    <n v="3565"/>
    <n v="16818"/>
    <x v="3"/>
    <n v="15408.22"/>
    <x v="0"/>
    <n v="36"/>
    <x v="2"/>
    <d v="2024-01-21T00:00:00"/>
    <d v="2024-02-26T00:00:00"/>
    <x v="0"/>
  </r>
  <r>
    <n v="3566"/>
    <n v="18124"/>
    <x v="1"/>
    <n v="139259.88"/>
    <x v="0"/>
    <n v="16"/>
    <x v="1"/>
    <d v="2024-01-16T00:00:00"/>
    <d v="2024-02-01T00:00:00"/>
    <x v="0"/>
  </r>
  <r>
    <n v="3567"/>
    <n v="18162"/>
    <x v="3"/>
    <n v="19427.830000000002"/>
    <x v="0"/>
    <n v="18"/>
    <x v="0"/>
    <d v="2024-01-16T00:00:00"/>
    <d v="2024-02-03T00:00:00"/>
    <x v="0"/>
  </r>
  <r>
    <n v="3568"/>
    <n v="15489"/>
    <x v="3"/>
    <n v="44641.46"/>
    <x v="0"/>
    <n v="16"/>
    <x v="0"/>
    <d v="2024-06-23T00:00:00"/>
    <d v="2024-07-09T00:00:00"/>
    <x v="7"/>
  </r>
  <r>
    <n v="3569"/>
    <n v="16085"/>
    <x v="3"/>
    <n v="23115.439999999999"/>
    <x v="0"/>
    <n v="6"/>
    <x v="3"/>
    <d v="2024-11-07T00:00:00"/>
    <d v="2024-11-13T00:00:00"/>
    <x v="1"/>
  </r>
  <r>
    <n v="3570"/>
    <n v="19037"/>
    <x v="3"/>
    <n v="17317.71"/>
    <x v="0"/>
    <n v="23"/>
    <x v="1"/>
    <d v="2024-12-03T00:00:00"/>
    <d v="2024-12-26T00:00:00"/>
    <x v="11"/>
  </r>
  <r>
    <n v="3571"/>
    <n v="14185"/>
    <x v="2"/>
    <n v="57211.57"/>
    <x v="0"/>
    <n v="12"/>
    <x v="0"/>
    <d v="2024-03-18T00:00:00"/>
    <d v="2024-03-30T00:00:00"/>
    <x v="5"/>
  </r>
  <r>
    <n v="3572"/>
    <n v="14226"/>
    <x v="3"/>
    <n v="116520.3"/>
    <x v="2"/>
    <m/>
    <x v="3"/>
    <d v="2024-08-27T00:00:00"/>
    <m/>
    <x v="8"/>
  </r>
  <r>
    <n v="3573"/>
    <n v="18096"/>
    <x v="3"/>
    <n v="193113.68"/>
    <x v="0"/>
    <n v="15"/>
    <x v="1"/>
    <d v="2024-02-06T00:00:00"/>
    <d v="2024-02-21T00:00:00"/>
    <x v="4"/>
  </r>
  <r>
    <n v="3574"/>
    <n v="13881"/>
    <x v="3"/>
    <n v="175733.55"/>
    <x v="0"/>
    <n v="40"/>
    <x v="2"/>
    <d v="2024-08-19T00:00:00"/>
    <d v="2024-09-28T00:00:00"/>
    <x v="8"/>
  </r>
  <r>
    <n v="3575"/>
    <n v="17692"/>
    <x v="3"/>
    <n v="175807.12"/>
    <x v="0"/>
    <n v="4"/>
    <x v="0"/>
    <d v="2024-07-31T00:00:00"/>
    <d v="2024-08-04T00:00:00"/>
    <x v="2"/>
  </r>
  <r>
    <n v="3576"/>
    <n v="19244"/>
    <x v="3"/>
    <n v="39333.07"/>
    <x v="0"/>
    <n v="43"/>
    <x v="2"/>
    <d v="2024-07-11T00:00:00"/>
    <d v="2024-08-23T00:00:00"/>
    <x v="2"/>
  </r>
  <r>
    <n v="3577"/>
    <n v="13615"/>
    <x v="3"/>
    <n v="56656.9"/>
    <x v="0"/>
    <n v="12"/>
    <x v="1"/>
    <d v="2024-02-29T00:00:00"/>
    <d v="2024-03-12T00:00:00"/>
    <x v="4"/>
  </r>
  <r>
    <n v="3578"/>
    <n v="16805"/>
    <x v="1"/>
    <n v="19896.7"/>
    <x v="0"/>
    <n v="31"/>
    <x v="0"/>
    <d v="2024-07-07T00:00:00"/>
    <d v="2024-08-07T00:00:00"/>
    <x v="2"/>
  </r>
  <r>
    <n v="3579"/>
    <n v="13157"/>
    <x v="1"/>
    <n v="156801.32999999999"/>
    <x v="0"/>
    <n v="39"/>
    <x v="1"/>
    <d v="2024-09-23T00:00:00"/>
    <d v="2024-11-01T00:00:00"/>
    <x v="9"/>
  </r>
  <r>
    <n v="3580"/>
    <n v="12105"/>
    <x v="3"/>
    <n v="18614.18"/>
    <x v="1"/>
    <n v="6"/>
    <x v="2"/>
    <d v="2024-05-05T00:00:00"/>
    <d v="2024-05-11T00:00:00"/>
    <x v="3"/>
  </r>
  <r>
    <n v="3581"/>
    <n v="15176"/>
    <x v="3"/>
    <n v="113555.66"/>
    <x v="2"/>
    <m/>
    <x v="0"/>
    <d v="2024-07-21T00:00:00"/>
    <m/>
    <x v="2"/>
  </r>
  <r>
    <n v="3582"/>
    <n v="10993"/>
    <x v="2"/>
    <n v="53335.74"/>
    <x v="0"/>
    <n v="14"/>
    <x v="2"/>
    <d v="2024-11-17T00:00:00"/>
    <d v="2024-12-01T00:00:00"/>
    <x v="1"/>
  </r>
  <r>
    <n v="3583"/>
    <n v="13096"/>
    <x v="3"/>
    <n v="52471.9"/>
    <x v="0"/>
    <n v="22"/>
    <x v="1"/>
    <d v="2024-02-01T00:00:00"/>
    <d v="2024-02-23T00:00:00"/>
    <x v="4"/>
  </r>
  <r>
    <n v="3584"/>
    <n v="10189"/>
    <x v="3"/>
    <n v="198191.39"/>
    <x v="0"/>
    <n v="38"/>
    <x v="1"/>
    <d v="2024-11-07T00:00:00"/>
    <d v="2024-12-15T00:00:00"/>
    <x v="1"/>
  </r>
  <r>
    <n v="3585"/>
    <n v="12898"/>
    <x v="3"/>
    <n v="152572.06"/>
    <x v="1"/>
    <n v="26"/>
    <x v="2"/>
    <d v="2024-09-17T00:00:00"/>
    <d v="2024-10-13T00:00:00"/>
    <x v="9"/>
  </r>
  <r>
    <n v="3586"/>
    <n v="15856"/>
    <x v="3"/>
    <n v="168203.17"/>
    <x v="0"/>
    <n v="22"/>
    <x v="0"/>
    <d v="2024-12-11T00:00:00"/>
    <d v="2025-01-02T00:00:00"/>
    <x v="11"/>
  </r>
  <r>
    <n v="3587"/>
    <n v="14249"/>
    <x v="1"/>
    <n v="116536.62"/>
    <x v="2"/>
    <m/>
    <x v="2"/>
    <d v="2024-04-03T00:00:00"/>
    <m/>
    <x v="10"/>
  </r>
  <r>
    <n v="3588"/>
    <n v="15388"/>
    <x v="3"/>
    <n v="174847.79"/>
    <x v="0"/>
    <n v="42"/>
    <x v="1"/>
    <d v="2024-11-23T00:00:00"/>
    <d v="2025-01-04T00:00:00"/>
    <x v="1"/>
  </r>
  <r>
    <n v="3589"/>
    <n v="17046"/>
    <x v="1"/>
    <n v="130870.66"/>
    <x v="0"/>
    <n v="5"/>
    <x v="2"/>
    <d v="2024-04-09T00:00:00"/>
    <d v="2024-04-14T00:00:00"/>
    <x v="10"/>
  </r>
  <r>
    <n v="3590"/>
    <n v="13411"/>
    <x v="3"/>
    <n v="189503.87"/>
    <x v="0"/>
    <n v="30"/>
    <x v="1"/>
    <d v="2024-10-11T00:00:00"/>
    <d v="2024-11-10T00:00:00"/>
    <x v="6"/>
  </r>
  <r>
    <n v="3591"/>
    <n v="19238"/>
    <x v="3"/>
    <n v="59861.02"/>
    <x v="2"/>
    <m/>
    <x v="2"/>
    <d v="2024-11-10T00:00:00"/>
    <m/>
    <x v="1"/>
  </r>
  <r>
    <n v="3592"/>
    <n v="10605"/>
    <x v="1"/>
    <n v="121087.31"/>
    <x v="1"/>
    <n v="24"/>
    <x v="0"/>
    <d v="2024-01-25T00:00:00"/>
    <d v="2024-02-18T00:00:00"/>
    <x v="0"/>
  </r>
  <r>
    <n v="3593"/>
    <n v="11366"/>
    <x v="3"/>
    <n v="139575.60999999999"/>
    <x v="0"/>
    <n v="8"/>
    <x v="0"/>
    <d v="2024-12-18T00:00:00"/>
    <d v="2024-12-26T00:00:00"/>
    <x v="11"/>
  </r>
  <r>
    <n v="3594"/>
    <n v="16482"/>
    <x v="1"/>
    <n v="81622.77"/>
    <x v="0"/>
    <n v="10"/>
    <x v="2"/>
    <d v="2024-12-22T00:00:00"/>
    <d v="2025-01-01T00:00:00"/>
    <x v="11"/>
  </r>
  <r>
    <n v="3595"/>
    <n v="19256"/>
    <x v="3"/>
    <n v="176543.06"/>
    <x v="0"/>
    <n v="24"/>
    <x v="2"/>
    <d v="2024-04-26T00:00:00"/>
    <d v="2024-05-20T00:00:00"/>
    <x v="10"/>
  </r>
  <r>
    <n v="3596"/>
    <n v="15795"/>
    <x v="1"/>
    <n v="196061.62"/>
    <x v="0"/>
    <n v="4"/>
    <x v="0"/>
    <d v="2024-07-17T00:00:00"/>
    <d v="2024-07-21T00:00:00"/>
    <x v="2"/>
  </r>
  <r>
    <n v="3597"/>
    <n v="10517"/>
    <x v="3"/>
    <n v="101285.05"/>
    <x v="1"/>
    <n v="10"/>
    <x v="1"/>
    <d v="2024-10-05T00:00:00"/>
    <d v="2024-10-15T00:00:00"/>
    <x v="6"/>
  </r>
  <r>
    <n v="3598"/>
    <n v="15218"/>
    <x v="0"/>
    <n v="81174.929999999993"/>
    <x v="1"/>
    <n v="5"/>
    <x v="0"/>
    <d v="2024-03-10T00:00:00"/>
    <d v="2024-03-15T00:00:00"/>
    <x v="5"/>
  </r>
  <r>
    <n v="3599"/>
    <n v="13807"/>
    <x v="3"/>
    <n v="97027.9"/>
    <x v="1"/>
    <n v="26"/>
    <x v="1"/>
    <d v="2024-11-30T00:00:00"/>
    <d v="2024-12-26T00:00:00"/>
    <x v="1"/>
  </r>
  <r>
    <n v="3600"/>
    <n v="15435"/>
    <x v="0"/>
    <n v="171283.67"/>
    <x v="2"/>
    <m/>
    <x v="2"/>
    <d v="2024-03-19T00:00:00"/>
    <m/>
    <x v="5"/>
  </r>
  <r>
    <n v="3601"/>
    <n v="12272"/>
    <x v="3"/>
    <n v="130866.34"/>
    <x v="0"/>
    <n v="19"/>
    <x v="2"/>
    <d v="2024-12-19T00:00:00"/>
    <d v="2025-01-07T00:00:00"/>
    <x v="11"/>
  </r>
  <r>
    <n v="3602"/>
    <n v="12308"/>
    <x v="1"/>
    <n v="13730.61"/>
    <x v="1"/>
    <n v="8"/>
    <x v="1"/>
    <d v="2024-01-14T00:00:00"/>
    <d v="2024-01-22T00:00:00"/>
    <x v="0"/>
  </r>
  <r>
    <n v="3603"/>
    <n v="19294"/>
    <x v="3"/>
    <n v="110723.13"/>
    <x v="1"/>
    <n v="36"/>
    <x v="2"/>
    <d v="2024-01-29T00:00:00"/>
    <d v="2024-03-05T00:00:00"/>
    <x v="0"/>
  </r>
  <r>
    <n v="3604"/>
    <n v="14792"/>
    <x v="2"/>
    <n v="8373.52"/>
    <x v="0"/>
    <n v="32"/>
    <x v="1"/>
    <d v="2024-05-23T00:00:00"/>
    <d v="2024-06-24T00:00:00"/>
    <x v="3"/>
  </r>
  <r>
    <n v="3605"/>
    <n v="10810"/>
    <x v="3"/>
    <n v="156814.39999999999"/>
    <x v="1"/>
    <n v="39"/>
    <x v="3"/>
    <d v="2024-12-08T00:00:00"/>
    <d v="2025-01-16T00:00:00"/>
    <x v="11"/>
  </r>
  <r>
    <n v="3606"/>
    <n v="18268"/>
    <x v="3"/>
    <n v="69020.89"/>
    <x v="0"/>
    <n v="33"/>
    <x v="0"/>
    <d v="2024-01-10T00:00:00"/>
    <d v="2024-02-12T00:00:00"/>
    <x v="0"/>
  </r>
  <r>
    <n v="3607"/>
    <n v="12309"/>
    <x v="3"/>
    <n v="97041.46"/>
    <x v="1"/>
    <n v="36"/>
    <x v="3"/>
    <d v="2024-02-16T00:00:00"/>
    <d v="2024-03-23T00:00:00"/>
    <x v="4"/>
  </r>
  <r>
    <n v="3608"/>
    <n v="17908"/>
    <x v="3"/>
    <n v="160742.23000000001"/>
    <x v="0"/>
    <n v="29"/>
    <x v="1"/>
    <d v="2024-09-16T00:00:00"/>
    <d v="2024-10-15T00:00:00"/>
    <x v="9"/>
  </r>
  <r>
    <n v="3609"/>
    <n v="19217"/>
    <x v="3"/>
    <n v="14057.52"/>
    <x v="0"/>
    <n v="6"/>
    <x v="0"/>
    <d v="2024-01-12T00:00:00"/>
    <d v="2024-01-18T00:00:00"/>
    <x v="0"/>
  </r>
  <r>
    <n v="3610"/>
    <n v="14439"/>
    <x v="2"/>
    <n v="35915.599999999999"/>
    <x v="0"/>
    <n v="31"/>
    <x v="1"/>
    <d v="2024-10-24T00:00:00"/>
    <d v="2024-11-24T00:00:00"/>
    <x v="6"/>
  </r>
  <r>
    <n v="3611"/>
    <n v="16389"/>
    <x v="2"/>
    <n v="82602.27"/>
    <x v="0"/>
    <n v="23"/>
    <x v="0"/>
    <d v="2024-08-13T00:00:00"/>
    <d v="2024-09-05T00:00:00"/>
    <x v="8"/>
  </r>
  <r>
    <n v="3612"/>
    <n v="13558"/>
    <x v="3"/>
    <n v="49835.41"/>
    <x v="0"/>
    <n v="18"/>
    <x v="0"/>
    <d v="2024-09-16T00:00:00"/>
    <d v="2024-10-04T00:00:00"/>
    <x v="9"/>
  </r>
  <r>
    <n v="3613"/>
    <n v="18008"/>
    <x v="2"/>
    <n v="70890.78"/>
    <x v="0"/>
    <n v="11"/>
    <x v="0"/>
    <d v="2024-03-24T00:00:00"/>
    <d v="2024-04-04T00:00:00"/>
    <x v="5"/>
  </r>
  <r>
    <n v="3614"/>
    <n v="10845"/>
    <x v="1"/>
    <n v="199644.07"/>
    <x v="0"/>
    <n v="8"/>
    <x v="0"/>
    <d v="2024-12-13T00:00:00"/>
    <d v="2024-12-21T00:00:00"/>
    <x v="11"/>
  </r>
  <r>
    <n v="3615"/>
    <n v="18884"/>
    <x v="3"/>
    <n v="165955.82"/>
    <x v="0"/>
    <n v="5"/>
    <x v="1"/>
    <d v="2024-12-13T00:00:00"/>
    <d v="2024-12-18T00:00:00"/>
    <x v="11"/>
  </r>
  <r>
    <n v="3616"/>
    <n v="11332"/>
    <x v="1"/>
    <n v="177360.85"/>
    <x v="1"/>
    <n v="43"/>
    <x v="0"/>
    <d v="2024-01-06T00:00:00"/>
    <d v="2024-02-18T00:00:00"/>
    <x v="0"/>
  </r>
  <r>
    <n v="3617"/>
    <n v="16300"/>
    <x v="1"/>
    <n v="187725.65"/>
    <x v="2"/>
    <m/>
    <x v="0"/>
    <d v="2024-09-03T00:00:00"/>
    <m/>
    <x v="9"/>
  </r>
  <r>
    <n v="3618"/>
    <n v="11274"/>
    <x v="2"/>
    <n v="71482.5"/>
    <x v="0"/>
    <n v="8"/>
    <x v="3"/>
    <d v="2024-02-04T00:00:00"/>
    <d v="2024-02-12T00:00:00"/>
    <x v="4"/>
  </r>
  <r>
    <n v="3619"/>
    <n v="17166"/>
    <x v="3"/>
    <n v="62930.01"/>
    <x v="1"/>
    <n v="24"/>
    <x v="2"/>
    <d v="2024-06-23T00:00:00"/>
    <d v="2024-07-17T00:00:00"/>
    <x v="7"/>
  </r>
  <r>
    <n v="3620"/>
    <n v="19436"/>
    <x v="1"/>
    <n v="50642.19"/>
    <x v="0"/>
    <n v="12"/>
    <x v="2"/>
    <d v="2024-03-05T00:00:00"/>
    <d v="2024-03-17T00:00:00"/>
    <x v="5"/>
  </r>
  <r>
    <n v="3621"/>
    <n v="10337"/>
    <x v="3"/>
    <n v="166872.79999999999"/>
    <x v="1"/>
    <n v="9"/>
    <x v="3"/>
    <d v="2024-05-26T00:00:00"/>
    <d v="2024-06-04T00:00:00"/>
    <x v="3"/>
  </r>
  <r>
    <n v="3622"/>
    <n v="13294"/>
    <x v="3"/>
    <n v="137512.60999999999"/>
    <x v="0"/>
    <n v="9"/>
    <x v="3"/>
    <d v="2024-02-26T00:00:00"/>
    <d v="2024-03-06T00:00:00"/>
    <x v="4"/>
  </r>
  <r>
    <n v="3623"/>
    <n v="10336"/>
    <x v="3"/>
    <n v="51053.54"/>
    <x v="0"/>
    <n v="38"/>
    <x v="1"/>
    <d v="2024-07-11T00:00:00"/>
    <d v="2024-08-18T00:00:00"/>
    <x v="2"/>
  </r>
  <r>
    <n v="3624"/>
    <n v="11867"/>
    <x v="2"/>
    <n v="78513.8"/>
    <x v="0"/>
    <n v="6"/>
    <x v="1"/>
    <d v="2024-01-13T00:00:00"/>
    <d v="2024-01-19T00:00:00"/>
    <x v="0"/>
  </r>
  <r>
    <n v="3625"/>
    <n v="16914"/>
    <x v="0"/>
    <n v="103808.79"/>
    <x v="0"/>
    <n v="8"/>
    <x v="1"/>
    <d v="2024-01-18T00:00:00"/>
    <d v="2024-01-26T00:00:00"/>
    <x v="0"/>
  </r>
  <r>
    <n v="3626"/>
    <n v="10494"/>
    <x v="1"/>
    <n v="107987.31"/>
    <x v="1"/>
    <n v="23"/>
    <x v="3"/>
    <d v="2024-09-02T00:00:00"/>
    <d v="2024-09-25T00:00:00"/>
    <x v="9"/>
  </r>
  <r>
    <n v="3627"/>
    <n v="14642"/>
    <x v="1"/>
    <n v="178301.91"/>
    <x v="1"/>
    <n v="37"/>
    <x v="3"/>
    <d v="2024-06-11T00:00:00"/>
    <d v="2024-07-18T00:00:00"/>
    <x v="7"/>
  </r>
  <r>
    <n v="3628"/>
    <n v="13886"/>
    <x v="3"/>
    <n v="79210.399999999994"/>
    <x v="0"/>
    <n v="3"/>
    <x v="0"/>
    <d v="2024-12-08T00:00:00"/>
    <d v="2024-12-11T00:00:00"/>
    <x v="11"/>
  </r>
  <r>
    <n v="3629"/>
    <n v="18352"/>
    <x v="3"/>
    <n v="182162.19"/>
    <x v="0"/>
    <n v="25"/>
    <x v="1"/>
    <d v="2024-04-23T00:00:00"/>
    <d v="2024-05-18T00:00:00"/>
    <x v="10"/>
  </r>
  <r>
    <n v="3630"/>
    <n v="12036"/>
    <x v="3"/>
    <n v="91066.67"/>
    <x v="1"/>
    <n v="3"/>
    <x v="1"/>
    <d v="2024-10-08T00:00:00"/>
    <d v="2024-10-11T00:00:00"/>
    <x v="6"/>
  </r>
  <r>
    <n v="3631"/>
    <n v="19933"/>
    <x v="3"/>
    <n v="150542.67000000001"/>
    <x v="1"/>
    <n v="13"/>
    <x v="1"/>
    <d v="2024-08-20T00:00:00"/>
    <d v="2024-09-02T00:00:00"/>
    <x v="8"/>
  </r>
  <r>
    <n v="3632"/>
    <n v="19699"/>
    <x v="1"/>
    <n v="186399.59"/>
    <x v="0"/>
    <n v="43"/>
    <x v="2"/>
    <d v="2024-06-14T00:00:00"/>
    <d v="2024-07-27T00:00:00"/>
    <x v="7"/>
  </r>
  <r>
    <n v="3633"/>
    <n v="15083"/>
    <x v="1"/>
    <n v="181977.26"/>
    <x v="0"/>
    <n v="27"/>
    <x v="0"/>
    <d v="2024-11-17T00:00:00"/>
    <d v="2024-12-14T00:00:00"/>
    <x v="1"/>
  </r>
  <r>
    <n v="3634"/>
    <n v="13560"/>
    <x v="3"/>
    <n v="16105.81"/>
    <x v="0"/>
    <n v="39"/>
    <x v="1"/>
    <d v="2024-01-26T00:00:00"/>
    <d v="2024-03-05T00:00:00"/>
    <x v="0"/>
  </r>
  <r>
    <n v="3635"/>
    <n v="19567"/>
    <x v="3"/>
    <n v="45112.34"/>
    <x v="0"/>
    <n v="7"/>
    <x v="1"/>
    <d v="2024-05-05T00:00:00"/>
    <d v="2024-05-12T00:00:00"/>
    <x v="3"/>
  </r>
  <r>
    <n v="3636"/>
    <n v="19745"/>
    <x v="3"/>
    <n v="97996.56"/>
    <x v="0"/>
    <n v="24"/>
    <x v="1"/>
    <d v="2024-11-08T00:00:00"/>
    <d v="2024-12-02T00:00:00"/>
    <x v="1"/>
  </r>
  <r>
    <n v="3637"/>
    <n v="12281"/>
    <x v="3"/>
    <n v="89153.09"/>
    <x v="0"/>
    <n v="3"/>
    <x v="2"/>
    <d v="2024-10-07T00:00:00"/>
    <d v="2024-10-10T00:00:00"/>
    <x v="6"/>
  </r>
  <r>
    <n v="3638"/>
    <n v="11601"/>
    <x v="2"/>
    <n v="129973.87"/>
    <x v="1"/>
    <n v="27"/>
    <x v="2"/>
    <d v="2024-10-12T00:00:00"/>
    <d v="2024-11-08T00:00:00"/>
    <x v="6"/>
  </r>
  <r>
    <n v="3639"/>
    <n v="11299"/>
    <x v="1"/>
    <n v="189218.26"/>
    <x v="0"/>
    <n v="15"/>
    <x v="3"/>
    <d v="2024-10-09T00:00:00"/>
    <d v="2024-10-24T00:00:00"/>
    <x v="6"/>
  </r>
  <r>
    <n v="3640"/>
    <n v="18902"/>
    <x v="0"/>
    <n v="26918.92"/>
    <x v="2"/>
    <m/>
    <x v="0"/>
    <d v="2024-05-18T00:00:00"/>
    <m/>
    <x v="3"/>
  </r>
  <r>
    <n v="3641"/>
    <n v="14167"/>
    <x v="3"/>
    <n v="93112.44"/>
    <x v="1"/>
    <n v="39"/>
    <x v="3"/>
    <d v="2024-04-10T00:00:00"/>
    <d v="2024-05-19T00:00:00"/>
    <x v="10"/>
  </r>
  <r>
    <n v="3642"/>
    <n v="12046"/>
    <x v="3"/>
    <n v="42520.15"/>
    <x v="2"/>
    <m/>
    <x v="0"/>
    <d v="2024-01-11T00:00:00"/>
    <m/>
    <x v="0"/>
  </r>
  <r>
    <n v="3643"/>
    <n v="12881"/>
    <x v="3"/>
    <n v="179350.98"/>
    <x v="0"/>
    <n v="15"/>
    <x v="2"/>
    <d v="2024-08-03T00:00:00"/>
    <d v="2024-08-18T00:00:00"/>
    <x v="8"/>
  </r>
  <r>
    <n v="3644"/>
    <n v="15474"/>
    <x v="0"/>
    <n v="193093.14"/>
    <x v="1"/>
    <n v="31"/>
    <x v="1"/>
    <d v="2024-01-30T00:00:00"/>
    <d v="2024-03-01T00:00:00"/>
    <x v="0"/>
  </r>
  <r>
    <n v="3645"/>
    <n v="11817"/>
    <x v="1"/>
    <n v="98346.83"/>
    <x v="0"/>
    <n v="14"/>
    <x v="3"/>
    <d v="2024-04-03T00:00:00"/>
    <d v="2024-04-17T00:00:00"/>
    <x v="10"/>
  </r>
  <r>
    <n v="3646"/>
    <n v="12198"/>
    <x v="3"/>
    <n v="25282.01"/>
    <x v="0"/>
    <n v="41"/>
    <x v="1"/>
    <d v="2024-04-25T00:00:00"/>
    <d v="2024-06-05T00:00:00"/>
    <x v="10"/>
  </r>
  <r>
    <n v="3647"/>
    <n v="13332"/>
    <x v="1"/>
    <n v="158132.46"/>
    <x v="0"/>
    <n v="32"/>
    <x v="3"/>
    <d v="2024-09-27T00:00:00"/>
    <d v="2024-10-29T00:00:00"/>
    <x v="9"/>
  </r>
  <r>
    <n v="3648"/>
    <n v="11103"/>
    <x v="3"/>
    <n v="140942.56"/>
    <x v="0"/>
    <n v="38"/>
    <x v="2"/>
    <d v="2024-10-17T00:00:00"/>
    <d v="2024-11-24T00:00:00"/>
    <x v="6"/>
  </r>
  <r>
    <n v="3649"/>
    <n v="13177"/>
    <x v="1"/>
    <n v="74160.81"/>
    <x v="1"/>
    <n v="39"/>
    <x v="2"/>
    <d v="2024-02-08T00:00:00"/>
    <d v="2024-03-18T00:00:00"/>
    <x v="4"/>
  </r>
  <r>
    <n v="3650"/>
    <n v="14815"/>
    <x v="2"/>
    <n v="178044.46"/>
    <x v="1"/>
    <n v="23"/>
    <x v="2"/>
    <d v="2024-01-24T00:00:00"/>
    <d v="2024-02-16T00:00:00"/>
    <x v="0"/>
  </r>
  <r>
    <n v="3651"/>
    <n v="12177"/>
    <x v="1"/>
    <n v="195287.22"/>
    <x v="0"/>
    <n v="29"/>
    <x v="3"/>
    <d v="2024-09-20T00:00:00"/>
    <d v="2024-10-19T00:00:00"/>
    <x v="9"/>
  </r>
  <r>
    <n v="3652"/>
    <n v="11194"/>
    <x v="1"/>
    <n v="113781.5"/>
    <x v="0"/>
    <n v="20"/>
    <x v="0"/>
    <d v="2024-02-12T00:00:00"/>
    <d v="2024-03-03T00:00:00"/>
    <x v="4"/>
  </r>
  <r>
    <n v="3653"/>
    <n v="14501"/>
    <x v="3"/>
    <n v="115316.94"/>
    <x v="0"/>
    <n v="44"/>
    <x v="3"/>
    <d v="2024-06-18T00:00:00"/>
    <d v="2024-08-01T00:00:00"/>
    <x v="7"/>
  </r>
  <r>
    <n v="3654"/>
    <n v="16041"/>
    <x v="3"/>
    <n v="63015.13"/>
    <x v="0"/>
    <n v="17"/>
    <x v="0"/>
    <d v="2024-12-05T00:00:00"/>
    <d v="2024-12-22T00:00:00"/>
    <x v="11"/>
  </r>
  <r>
    <n v="3655"/>
    <n v="18727"/>
    <x v="3"/>
    <n v="118978.68"/>
    <x v="1"/>
    <n v="6"/>
    <x v="3"/>
    <d v="2024-06-17T00:00:00"/>
    <d v="2024-06-23T00:00:00"/>
    <x v="7"/>
  </r>
  <r>
    <n v="3656"/>
    <n v="17060"/>
    <x v="3"/>
    <n v="90730.25"/>
    <x v="0"/>
    <n v="3"/>
    <x v="3"/>
    <d v="2024-10-29T00:00:00"/>
    <d v="2024-11-01T00:00:00"/>
    <x v="6"/>
  </r>
  <r>
    <n v="3657"/>
    <n v="19261"/>
    <x v="1"/>
    <n v="63927.25"/>
    <x v="2"/>
    <m/>
    <x v="2"/>
    <d v="2024-01-26T00:00:00"/>
    <m/>
    <x v="0"/>
  </r>
  <r>
    <n v="3658"/>
    <n v="18324"/>
    <x v="1"/>
    <n v="18101.11"/>
    <x v="0"/>
    <n v="20"/>
    <x v="1"/>
    <d v="2024-06-28T00:00:00"/>
    <d v="2024-07-18T00:00:00"/>
    <x v="7"/>
  </r>
  <r>
    <n v="3659"/>
    <n v="10263"/>
    <x v="3"/>
    <n v="54278.03"/>
    <x v="0"/>
    <n v="21"/>
    <x v="1"/>
    <d v="2024-05-29T00:00:00"/>
    <d v="2024-06-19T00:00:00"/>
    <x v="3"/>
  </r>
  <r>
    <n v="3660"/>
    <n v="14462"/>
    <x v="0"/>
    <n v="43581.66"/>
    <x v="0"/>
    <n v="30"/>
    <x v="0"/>
    <d v="2024-05-12T00:00:00"/>
    <d v="2024-06-11T00:00:00"/>
    <x v="3"/>
  </r>
  <r>
    <n v="3661"/>
    <n v="16968"/>
    <x v="3"/>
    <n v="110698.19"/>
    <x v="0"/>
    <n v="26"/>
    <x v="1"/>
    <d v="2024-05-22T00:00:00"/>
    <d v="2024-06-17T00:00:00"/>
    <x v="3"/>
  </r>
  <r>
    <n v="3662"/>
    <n v="12052"/>
    <x v="3"/>
    <n v="122325.65"/>
    <x v="0"/>
    <n v="18"/>
    <x v="3"/>
    <d v="2024-06-12T00:00:00"/>
    <d v="2024-06-30T00:00:00"/>
    <x v="7"/>
  </r>
  <r>
    <n v="3663"/>
    <n v="14946"/>
    <x v="3"/>
    <n v="123671.49"/>
    <x v="1"/>
    <n v="14"/>
    <x v="3"/>
    <d v="2024-04-10T00:00:00"/>
    <d v="2024-04-24T00:00:00"/>
    <x v="10"/>
  </r>
  <r>
    <n v="3664"/>
    <n v="15825"/>
    <x v="3"/>
    <n v="80695.3"/>
    <x v="1"/>
    <n v="17"/>
    <x v="2"/>
    <d v="2024-03-03T00:00:00"/>
    <d v="2024-03-20T00:00:00"/>
    <x v="5"/>
  </r>
  <r>
    <n v="3665"/>
    <n v="16044"/>
    <x v="3"/>
    <n v="87139.8"/>
    <x v="0"/>
    <n v="36"/>
    <x v="2"/>
    <d v="2024-04-02T00:00:00"/>
    <d v="2024-05-08T00:00:00"/>
    <x v="10"/>
  </r>
  <r>
    <n v="3666"/>
    <n v="14089"/>
    <x v="3"/>
    <n v="167676.49"/>
    <x v="0"/>
    <n v="37"/>
    <x v="1"/>
    <d v="2024-07-25T00:00:00"/>
    <d v="2024-08-31T00:00:00"/>
    <x v="2"/>
  </r>
  <r>
    <n v="3667"/>
    <n v="10357"/>
    <x v="3"/>
    <n v="97865.4"/>
    <x v="0"/>
    <n v="40"/>
    <x v="0"/>
    <d v="2024-11-06T00:00:00"/>
    <d v="2024-12-16T00:00:00"/>
    <x v="1"/>
  </r>
  <r>
    <n v="3668"/>
    <n v="15505"/>
    <x v="2"/>
    <n v="197615.8"/>
    <x v="0"/>
    <n v="4"/>
    <x v="1"/>
    <d v="2024-03-12T00:00:00"/>
    <d v="2024-03-16T00:00:00"/>
    <x v="5"/>
  </r>
  <r>
    <n v="3669"/>
    <n v="14420"/>
    <x v="3"/>
    <n v="90725.36"/>
    <x v="0"/>
    <n v="10"/>
    <x v="1"/>
    <d v="2024-02-29T00:00:00"/>
    <d v="2024-03-10T00:00:00"/>
    <x v="4"/>
  </r>
  <r>
    <n v="3670"/>
    <n v="18942"/>
    <x v="3"/>
    <n v="131668.28"/>
    <x v="0"/>
    <n v="41"/>
    <x v="1"/>
    <d v="2024-01-29T00:00:00"/>
    <d v="2024-03-10T00:00:00"/>
    <x v="0"/>
  </r>
  <r>
    <n v="3671"/>
    <n v="13250"/>
    <x v="3"/>
    <n v="14820.78"/>
    <x v="1"/>
    <n v="30"/>
    <x v="1"/>
    <d v="2024-01-19T00:00:00"/>
    <d v="2024-02-18T00:00:00"/>
    <x v="0"/>
  </r>
  <r>
    <n v="3672"/>
    <n v="16562"/>
    <x v="1"/>
    <n v="132401.29"/>
    <x v="1"/>
    <n v="6"/>
    <x v="3"/>
    <d v="2024-03-13T00:00:00"/>
    <d v="2024-03-19T00:00:00"/>
    <x v="5"/>
  </r>
  <r>
    <n v="3673"/>
    <n v="12258"/>
    <x v="3"/>
    <n v="171028.15"/>
    <x v="2"/>
    <m/>
    <x v="0"/>
    <d v="2024-12-22T00:00:00"/>
    <m/>
    <x v="11"/>
  </r>
  <r>
    <n v="3674"/>
    <n v="19102"/>
    <x v="0"/>
    <n v="188779.28"/>
    <x v="0"/>
    <n v="11"/>
    <x v="3"/>
    <d v="2024-09-02T00:00:00"/>
    <d v="2024-09-13T00:00:00"/>
    <x v="9"/>
  </r>
  <r>
    <n v="3675"/>
    <n v="13810"/>
    <x v="1"/>
    <n v="199477.52"/>
    <x v="2"/>
    <m/>
    <x v="0"/>
    <d v="2024-11-08T00:00:00"/>
    <m/>
    <x v="1"/>
  </r>
  <r>
    <n v="3676"/>
    <n v="10583"/>
    <x v="1"/>
    <n v="60024.84"/>
    <x v="0"/>
    <n v="12"/>
    <x v="2"/>
    <d v="2024-11-19T00:00:00"/>
    <d v="2024-12-01T00:00:00"/>
    <x v="1"/>
  </r>
  <r>
    <n v="3677"/>
    <n v="13438"/>
    <x v="1"/>
    <n v="117197.16"/>
    <x v="0"/>
    <n v="18"/>
    <x v="1"/>
    <d v="2024-03-27T00:00:00"/>
    <d v="2024-04-14T00:00:00"/>
    <x v="5"/>
  </r>
  <r>
    <n v="3678"/>
    <n v="18768"/>
    <x v="3"/>
    <n v="92890.01"/>
    <x v="2"/>
    <m/>
    <x v="3"/>
    <d v="2024-12-24T00:00:00"/>
    <m/>
    <x v="11"/>
  </r>
  <r>
    <n v="3679"/>
    <n v="16357"/>
    <x v="3"/>
    <n v="114944.41"/>
    <x v="0"/>
    <n v="42"/>
    <x v="0"/>
    <d v="2024-07-01T00:00:00"/>
    <d v="2024-08-12T00:00:00"/>
    <x v="2"/>
  </r>
  <r>
    <n v="3680"/>
    <n v="19344"/>
    <x v="3"/>
    <n v="35703.33"/>
    <x v="0"/>
    <n v="9"/>
    <x v="2"/>
    <d v="2024-07-15T00:00:00"/>
    <d v="2024-07-24T00:00:00"/>
    <x v="2"/>
  </r>
  <r>
    <n v="3681"/>
    <n v="16146"/>
    <x v="1"/>
    <n v="171949.17"/>
    <x v="1"/>
    <n v="3"/>
    <x v="2"/>
    <d v="2024-08-31T00:00:00"/>
    <d v="2024-09-03T00:00:00"/>
    <x v="8"/>
  </r>
  <r>
    <n v="3682"/>
    <n v="14990"/>
    <x v="3"/>
    <n v="182365.94"/>
    <x v="2"/>
    <m/>
    <x v="1"/>
    <d v="2024-11-23T00:00:00"/>
    <m/>
    <x v="1"/>
  </r>
  <r>
    <n v="3683"/>
    <n v="11783"/>
    <x v="3"/>
    <n v="92684.02"/>
    <x v="1"/>
    <n v="17"/>
    <x v="0"/>
    <d v="2024-04-27T00:00:00"/>
    <d v="2024-05-14T00:00:00"/>
    <x v="10"/>
  </r>
  <r>
    <n v="3684"/>
    <n v="11093"/>
    <x v="2"/>
    <n v="59683.82"/>
    <x v="0"/>
    <n v="42"/>
    <x v="3"/>
    <d v="2024-03-22T00:00:00"/>
    <d v="2024-05-03T00:00:00"/>
    <x v="5"/>
  </r>
  <r>
    <n v="3685"/>
    <n v="14532"/>
    <x v="3"/>
    <n v="32462.52"/>
    <x v="0"/>
    <n v="42"/>
    <x v="1"/>
    <d v="2024-09-03T00:00:00"/>
    <d v="2024-10-15T00:00:00"/>
    <x v="9"/>
  </r>
  <r>
    <n v="3686"/>
    <n v="15117"/>
    <x v="0"/>
    <n v="138334.14000000001"/>
    <x v="2"/>
    <m/>
    <x v="3"/>
    <d v="2024-08-21T00:00:00"/>
    <m/>
    <x v="8"/>
  </r>
  <r>
    <n v="3687"/>
    <n v="17938"/>
    <x v="1"/>
    <n v="65885.210000000006"/>
    <x v="0"/>
    <n v="6"/>
    <x v="2"/>
    <d v="2024-12-30T00:00:00"/>
    <d v="2025-01-05T00:00:00"/>
    <x v="11"/>
  </r>
  <r>
    <n v="3688"/>
    <n v="16746"/>
    <x v="3"/>
    <n v="182360.02"/>
    <x v="0"/>
    <n v="36"/>
    <x v="3"/>
    <d v="2024-06-01T00:00:00"/>
    <d v="2024-07-07T00:00:00"/>
    <x v="7"/>
  </r>
  <r>
    <n v="3689"/>
    <n v="12133"/>
    <x v="3"/>
    <n v="135847.43"/>
    <x v="0"/>
    <n v="15"/>
    <x v="3"/>
    <d v="2024-09-28T00:00:00"/>
    <d v="2024-10-13T00:00:00"/>
    <x v="9"/>
  </r>
  <r>
    <n v="3690"/>
    <n v="18709"/>
    <x v="3"/>
    <n v="130908.64"/>
    <x v="0"/>
    <n v="16"/>
    <x v="1"/>
    <d v="2024-02-04T00:00:00"/>
    <d v="2024-02-20T00:00:00"/>
    <x v="4"/>
  </r>
  <r>
    <n v="3691"/>
    <n v="18933"/>
    <x v="1"/>
    <n v="114083.41"/>
    <x v="0"/>
    <n v="7"/>
    <x v="3"/>
    <d v="2024-07-31T00:00:00"/>
    <d v="2024-08-07T00:00:00"/>
    <x v="2"/>
  </r>
  <r>
    <n v="3692"/>
    <n v="16120"/>
    <x v="1"/>
    <n v="13926.39"/>
    <x v="0"/>
    <n v="17"/>
    <x v="1"/>
    <d v="2024-07-29T00:00:00"/>
    <d v="2024-08-15T00:00:00"/>
    <x v="2"/>
  </r>
  <r>
    <n v="3693"/>
    <n v="12477"/>
    <x v="1"/>
    <n v="186724.87"/>
    <x v="0"/>
    <n v="24"/>
    <x v="2"/>
    <d v="2024-05-18T00:00:00"/>
    <d v="2024-06-11T00:00:00"/>
    <x v="3"/>
  </r>
  <r>
    <n v="3694"/>
    <n v="14958"/>
    <x v="2"/>
    <n v="127447.81"/>
    <x v="0"/>
    <n v="32"/>
    <x v="1"/>
    <d v="2024-07-07T00:00:00"/>
    <d v="2024-08-08T00:00:00"/>
    <x v="2"/>
  </r>
  <r>
    <n v="3695"/>
    <n v="16137"/>
    <x v="1"/>
    <n v="198842.09"/>
    <x v="0"/>
    <n v="43"/>
    <x v="1"/>
    <d v="2024-10-26T00:00:00"/>
    <d v="2024-12-08T00:00:00"/>
    <x v="6"/>
  </r>
  <r>
    <n v="3696"/>
    <n v="12876"/>
    <x v="3"/>
    <n v="109784.5"/>
    <x v="0"/>
    <n v="13"/>
    <x v="0"/>
    <d v="2024-09-08T00:00:00"/>
    <d v="2024-09-21T00:00:00"/>
    <x v="9"/>
  </r>
  <r>
    <n v="3697"/>
    <n v="10042"/>
    <x v="3"/>
    <n v="143471.62"/>
    <x v="1"/>
    <n v="42"/>
    <x v="3"/>
    <d v="2024-05-29T00:00:00"/>
    <d v="2024-07-10T00:00:00"/>
    <x v="3"/>
  </r>
  <r>
    <n v="3698"/>
    <n v="15829"/>
    <x v="0"/>
    <n v="15960.86"/>
    <x v="0"/>
    <n v="20"/>
    <x v="2"/>
    <d v="2024-12-06T00:00:00"/>
    <d v="2024-12-26T00:00:00"/>
    <x v="11"/>
  </r>
  <r>
    <n v="3699"/>
    <n v="13441"/>
    <x v="3"/>
    <n v="128188.55"/>
    <x v="0"/>
    <n v="13"/>
    <x v="1"/>
    <d v="2024-08-06T00:00:00"/>
    <d v="2024-08-19T00:00:00"/>
    <x v="8"/>
  </r>
  <r>
    <n v="3700"/>
    <n v="18595"/>
    <x v="3"/>
    <n v="154106.67000000001"/>
    <x v="2"/>
    <m/>
    <x v="2"/>
    <d v="2024-03-22T00:00:00"/>
    <m/>
    <x v="5"/>
  </r>
  <r>
    <n v="3701"/>
    <n v="19518"/>
    <x v="1"/>
    <n v="156810.29"/>
    <x v="0"/>
    <n v="3"/>
    <x v="0"/>
    <d v="2024-07-08T00:00:00"/>
    <d v="2024-07-11T00:00:00"/>
    <x v="2"/>
  </r>
  <r>
    <n v="3702"/>
    <n v="16346"/>
    <x v="3"/>
    <n v="155171.76999999999"/>
    <x v="0"/>
    <n v="21"/>
    <x v="3"/>
    <d v="2024-08-21T00:00:00"/>
    <d v="2024-09-11T00:00:00"/>
    <x v="8"/>
  </r>
  <r>
    <n v="3703"/>
    <n v="16849"/>
    <x v="2"/>
    <n v="49125.11"/>
    <x v="0"/>
    <n v="32"/>
    <x v="1"/>
    <d v="2024-06-24T00:00:00"/>
    <d v="2024-07-26T00:00:00"/>
    <x v="7"/>
  </r>
  <r>
    <n v="3704"/>
    <n v="16686"/>
    <x v="1"/>
    <n v="195202.7"/>
    <x v="1"/>
    <n v="10"/>
    <x v="3"/>
    <d v="2024-08-19T00:00:00"/>
    <d v="2024-08-29T00:00:00"/>
    <x v="8"/>
  </r>
  <r>
    <n v="3705"/>
    <n v="12650"/>
    <x v="3"/>
    <n v="199060.51"/>
    <x v="2"/>
    <m/>
    <x v="0"/>
    <d v="2024-12-23T00:00:00"/>
    <m/>
    <x v="11"/>
  </r>
  <r>
    <n v="3706"/>
    <n v="14345"/>
    <x v="2"/>
    <n v="19741.2"/>
    <x v="2"/>
    <m/>
    <x v="0"/>
    <d v="2024-03-03T00:00:00"/>
    <m/>
    <x v="5"/>
  </r>
  <r>
    <n v="3707"/>
    <n v="10877"/>
    <x v="3"/>
    <n v="187607.05"/>
    <x v="1"/>
    <n v="40"/>
    <x v="2"/>
    <d v="2024-08-24T00:00:00"/>
    <d v="2024-10-03T00:00:00"/>
    <x v="8"/>
  </r>
  <r>
    <n v="3708"/>
    <n v="11886"/>
    <x v="3"/>
    <n v="61442.59"/>
    <x v="0"/>
    <n v="38"/>
    <x v="1"/>
    <d v="2024-02-02T00:00:00"/>
    <d v="2024-03-11T00:00:00"/>
    <x v="4"/>
  </r>
  <r>
    <n v="3709"/>
    <n v="11303"/>
    <x v="3"/>
    <n v="139410.4"/>
    <x v="0"/>
    <n v="30"/>
    <x v="2"/>
    <d v="2024-07-31T00:00:00"/>
    <d v="2024-08-30T00:00:00"/>
    <x v="2"/>
  </r>
  <r>
    <n v="3710"/>
    <n v="11740"/>
    <x v="3"/>
    <n v="70931.63"/>
    <x v="0"/>
    <n v="20"/>
    <x v="0"/>
    <d v="2024-02-29T00:00:00"/>
    <d v="2024-03-20T00:00:00"/>
    <x v="4"/>
  </r>
  <r>
    <n v="3711"/>
    <n v="11112"/>
    <x v="3"/>
    <n v="193712.09"/>
    <x v="0"/>
    <n v="36"/>
    <x v="3"/>
    <d v="2024-01-02T00:00:00"/>
    <d v="2024-02-07T00:00:00"/>
    <x v="0"/>
  </r>
  <r>
    <n v="3712"/>
    <n v="13876"/>
    <x v="3"/>
    <n v="24793.25"/>
    <x v="1"/>
    <n v="39"/>
    <x v="2"/>
    <d v="2024-02-26T00:00:00"/>
    <d v="2024-04-05T00:00:00"/>
    <x v="4"/>
  </r>
  <r>
    <n v="3713"/>
    <n v="16040"/>
    <x v="3"/>
    <n v="102060.63"/>
    <x v="0"/>
    <n v="27"/>
    <x v="2"/>
    <d v="2024-10-27T00:00:00"/>
    <d v="2024-11-23T00:00:00"/>
    <x v="6"/>
  </r>
  <r>
    <n v="3714"/>
    <n v="17452"/>
    <x v="3"/>
    <n v="88469.32"/>
    <x v="0"/>
    <n v="12"/>
    <x v="3"/>
    <d v="2024-10-13T00:00:00"/>
    <d v="2024-10-25T00:00:00"/>
    <x v="6"/>
  </r>
  <r>
    <n v="3715"/>
    <n v="16118"/>
    <x v="1"/>
    <n v="68574.570000000007"/>
    <x v="1"/>
    <n v="37"/>
    <x v="2"/>
    <d v="2024-05-17T00:00:00"/>
    <d v="2024-06-23T00:00:00"/>
    <x v="3"/>
  </r>
  <r>
    <n v="3716"/>
    <n v="18439"/>
    <x v="0"/>
    <n v="130879.13"/>
    <x v="0"/>
    <n v="36"/>
    <x v="3"/>
    <d v="2024-10-05T00:00:00"/>
    <d v="2024-11-10T00:00:00"/>
    <x v="6"/>
  </r>
  <r>
    <n v="3717"/>
    <n v="16795"/>
    <x v="3"/>
    <n v="30555.87"/>
    <x v="0"/>
    <n v="5"/>
    <x v="1"/>
    <d v="2024-08-01T00:00:00"/>
    <d v="2024-08-06T00:00:00"/>
    <x v="8"/>
  </r>
  <r>
    <n v="3718"/>
    <n v="17044"/>
    <x v="3"/>
    <n v="144749.17000000001"/>
    <x v="0"/>
    <n v="4"/>
    <x v="3"/>
    <d v="2024-08-26T00:00:00"/>
    <d v="2024-08-30T00:00:00"/>
    <x v="8"/>
  </r>
  <r>
    <n v="3719"/>
    <n v="10567"/>
    <x v="3"/>
    <n v="196215.46"/>
    <x v="0"/>
    <n v="13"/>
    <x v="1"/>
    <d v="2024-10-11T00:00:00"/>
    <d v="2024-10-24T00:00:00"/>
    <x v="6"/>
  </r>
  <r>
    <n v="3720"/>
    <n v="15958"/>
    <x v="3"/>
    <n v="161888.95000000001"/>
    <x v="0"/>
    <n v="33"/>
    <x v="3"/>
    <d v="2024-01-31T00:00:00"/>
    <d v="2024-03-04T00:00:00"/>
    <x v="0"/>
  </r>
  <r>
    <n v="3721"/>
    <n v="19380"/>
    <x v="1"/>
    <n v="172703.27"/>
    <x v="0"/>
    <n v="27"/>
    <x v="0"/>
    <d v="2024-07-24T00:00:00"/>
    <d v="2024-08-20T00:00:00"/>
    <x v="2"/>
  </r>
  <r>
    <n v="3722"/>
    <n v="11353"/>
    <x v="1"/>
    <n v="75129.16"/>
    <x v="0"/>
    <n v="44"/>
    <x v="0"/>
    <d v="2024-09-30T00:00:00"/>
    <d v="2024-11-13T00:00:00"/>
    <x v="9"/>
  </r>
  <r>
    <n v="3723"/>
    <n v="15029"/>
    <x v="3"/>
    <n v="68352.89"/>
    <x v="1"/>
    <n v="44"/>
    <x v="1"/>
    <d v="2024-01-11T00:00:00"/>
    <d v="2024-02-24T00:00:00"/>
    <x v="0"/>
  </r>
  <r>
    <n v="3724"/>
    <n v="19172"/>
    <x v="3"/>
    <n v="105824.43"/>
    <x v="2"/>
    <m/>
    <x v="1"/>
    <d v="2024-12-24T00:00:00"/>
    <m/>
    <x v="11"/>
  </r>
  <r>
    <n v="3725"/>
    <n v="14965"/>
    <x v="3"/>
    <n v="13916.69"/>
    <x v="0"/>
    <n v="39"/>
    <x v="0"/>
    <d v="2024-02-16T00:00:00"/>
    <d v="2024-03-26T00:00:00"/>
    <x v="4"/>
  </r>
  <r>
    <n v="3726"/>
    <n v="10168"/>
    <x v="1"/>
    <n v="189344.84"/>
    <x v="0"/>
    <n v="30"/>
    <x v="1"/>
    <d v="2024-01-03T00:00:00"/>
    <d v="2024-02-02T00:00:00"/>
    <x v="0"/>
  </r>
  <r>
    <n v="3727"/>
    <n v="17712"/>
    <x v="3"/>
    <n v="33038.11"/>
    <x v="1"/>
    <n v="20"/>
    <x v="3"/>
    <d v="2024-05-09T00:00:00"/>
    <d v="2024-05-29T00:00:00"/>
    <x v="3"/>
  </r>
  <r>
    <n v="3728"/>
    <n v="12671"/>
    <x v="2"/>
    <n v="181087.54"/>
    <x v="2"/>
    <m/>
    <x v="3"/>
    <d v="2024-03-12T00:00:00"/>
    <m/>
    <x v="5"/>
  </r>
  <r>
    <n v="3729"/>
    <n v="10378"/>
    <x v="1"/>
    <n v="21298.53"/>
    <x v="0"/>
    <n v="42"/>
    <x v="0"/>
    <d v="2024-06-07T00:00:00"/>
    <d v="2024-07-19T00:00:00"/>
    <x v="7"/>
  </r>
  <r>
    <n v="3730"/>
    <n v="11932"/>
    <x v="3"/>
    <n v="165411.85999999999"/>
    <x v="0"/>
    <n v="28"/>
    <x v="2"/>
    <d v="2024-05-09T00:00:00"/>
    <d v="2024-06-06T00:00:00"/>
    <x v="3"/>
  </r>
  <r>
    <n v="3731"/>
    <n v="10193"/>
    <x v="1"/>
    <n v="34632.69"/>
    <x v="1"/>
    <n v="32"/>
    <x v="3"/>
    <d v="2024-01-22T00:00:00"/>
    <d v="2024-02-23T00:00:00"/>
    <x v="0"/>
  </r>
  <r>
    <n v="3732"/>
    <n v="18455"/>
    <x v="2"/>
    <n v="12435.66"/>
    <x v="0"/>
    <n v="4"/>
    <x v="1"/>
    <d v="2024-05-14T00:00:00"/>
    <d v="2024-05-18T00:00:00"/>
    <x v="3"/>
  </r>
  <r>
    <n v="3733"/>
    <n v="19663"/>
    <x v="1"/>
    <n v="145300.44"/>
    <x v="0"/>
    <n v="36"/>
    <x v="2"/>
    <d v="2024-01-20T00:00:00"/>
    <d v="2024-02-25T00:00:00"/>
    <x v="0"/>
  </r>
  <r>
    <n v="3734"/>
    <n v="14616"/>
    <x v="3"/>
    <n v="59651.73"/>
    <x v="0"/>
    <n v="25"/>
    <x v="2"/>
    <d v="2024-08-07T00:00:00"/>
    <d v="2024-09-01T00:00:00"/>
    <x v="8"/>
  </r>
  <r>
    <n v="3735"/>
    <n v="15014"/>
    <x v="3"/>
    <n v="144326.75"/>
    <x v="0"/>
    <n v="8"/>
    <x v="3"/>
    <d v="2024-11-28T00:00:00"/>
    <d v="2024-12-06T00:00:00"/>
    <x v="1"/>
  </r>
  <r>
    <n v="3736"/>
    <n v="17878"/>
    <x v="0"/>
    <n v="113241.62"/>
    <x v="0"/>
    <n v="36"/>
    <x v="3"/>
    <d v="2024-05-09T00:00:00"/>
    <d v="2024-06-14T00:00:00"/>
    <x v="3"/>
  </r>
  <r>
    <n v="3737"/>
    <n v="11300"/>
    <x v="1"/>
    <n v="26217.439999999999"/>
    <x v="0"/>
    <n v="22"/>
    <x v="2"/>
    <d v="2024-02-01T00:00:00"/>
    <d v="2024-02-23T00:00:00"/>
    <x v="4"/>
  </r>
  <r>
    <n v="3738"/>
    <n v="13200"/>
    <x v="1"/>
    <n v="186765.36"/>
    <x v="1"/>
    <n v="2"/>
    <x v="2"/>
    <d v="2024-03-30T00:00:00"/>
    <d v="2024-04-01T00:00:00"/>
    <x v="5"/>
  </r>
  <r>
    <n v="3739"/>
    <n v="13373"/>
    <x v="0"/>
    <n v="93201.26"/>
    <x v="0"/>
    <n v="7"/>
    <x v="0"/>
    <d v="2024-09-15T00:00:00"/>
    <d v="2024-09-22T00:00:00"/>
    <x v="9"/>
  </r>
  <r>
    <n v="3740"/>
    <n v="18765"/>
    <x v="0"/>
    <n v="148217.22"/>
    <x v="0"/>
    <n v="40"/>
    <x v="1"/>
    <d v="2024-10-24T00:00:00"/>
    <d v="2024-12-03T00:00:00"/>
    <x v="6"/>
  </r>
  <r>
    <n v="3741"/>
    <n v="19729"/>
    <x v="2"/>
    <n v="102699.01"/>
    <x v="0"/>
    <n v="35"/>
    <x v="0"/>
    <d v="2024-11-28T00:00:00"/>
    <d v="2025-01-02T00:00:00"/>
    <x v="1"/>
  </r>
  <r>
    <n v="3742"/>
    <n v="11383"/>
    <x v="3"/>
    <n v="122850.49"/>
    <x v="1"/>
    <n v="19"/>
    <x v="3"/>
    <d v="2024-09-05T00:00:00"/>
    <d v="2024-09-24T00:00:00"/>
    <x v="9"/>
  </r>
  <r>
    <n v="3743"/>
    <n v="19572"/>
    <x v="1"/>
    <n v="64040.85"/>
    <x v="0"/>
    <n v="26"/>
    <x v="0"/>
    <d v="2024-06-21T00:00:00"/>
    <d v="2024-07-17T00:00:00"/>
    <x v="7"/>
  </r>
  <r>
    <n v="3744"/>
    <n v="13537"/>
    <x v="1"/>
    <n v="44070.26"/>
    <x v="0"/>
    <n v="16"/>
    <x v="0"/>
    <d v="2024-12-22T00:00:00"/>
    <d v="2025-01-07T00:00:00"/>
    <x v="11"/>
  </r>
  <r>
    <n v="3745"/>
    <n v="17924"/>
    <x v="1"/>
    <n v="110801.19"/>
    <x v="0"/>
    <n v="33"/>
    <x v="0"/>
    <d v="2024-02-16T00:00:00"/>
    <d v="2024-03-20T00:00:00"/>
    <x v="4"/>
  </r>
  <r>
    <n v="3746"/>
    <n v="19715"/>
    <x v="1"/>
    <n v="90842.7"/>
    <x v="1"/>
    <n v="43"/>
    <x v="0"/>
    <d v="2024-07-15T00:00:00"/>
    <d v="2024-08-27T00:00:00"/>
    <x v="2"/>
  </r>
  <r>
    <n v="3747"/>
    <n v="14991"/>
    <x v="3"/>
    <n v="81072.08"/>
    <x v="0"/>
    <n v="19"/>
    <x v="1"/>
    <d v="2024-02-03T00:00:00"/>
    <d v="2024-02-22T00:00:00"/>
    <x v="4"/>
  </r>
  <r>
    <n v="3748"/>
    <n v="15202"/>
    <x v="1"/>
    <n v="136150.6"/>
    <x v="0"/>
    <n v="32"/>
    <x v="1"/>
    <d v="2024-09-10T00:00:00"/>
    <d v="2024-10-12T00:00:00"/>
    <x v="9"/>
  </r>
  <r>
    <n v="3749"/>
    <n v="13932"/>
    <x v="1"/>
    <n v="139648.79"/>
    <x v="0"/>
    <n v="30"/>
    <x v="2"/>
    <d v="2024-09-04T00:00:00"/>
    <d v="2024-10-04T00:00:00"/>
    <x v="9"/>
  </r>
  <r>
    <n v="3750"/>
    <n v="13622"/>
    <x v="3"/>
    <n v="13954.41"/>
    <x v="1"/>
    <n v="16"/>
    <x v="3"/>
    <d v="2024-02-11T00:00:00"/>
    <d v="2024-02-27T00:00:00"/>
    <x v="4"/>
  </r>
  <r>
    <n v="3751"/>
    <n v="19087"/>
    <x v="3"/>
    <n v="71055.179999999993"/>
    <x v="0"/>
    <n v="24"/>
    <x v="0"/>
    <d v="2024-10-15T00:00:00"/>
    <d v="2024-11-08T00:00:00"/>
    <x v="6"/>
  </r>
  <r>
    <n v="3752"/>
    <n v="10464"/>
    <x v="3"/>
    <n v="85294.09"/>
    <x v="1"/>
    <n v="39"/>
    <x v="2"/>
    <d v="2024-05-02T00:00:00"/>
    <d v="2024-06-10T00:00:00"/>
    <x v="3"/>
  </r>
  <r>
    <n v="3753"/>
    <n v="17980"/>
    <x v="3"/>
    <n v="23893.97"/>
    <x v="1"/>
    <n v="42"/>
    <x v="2"/>
    <d v="2024-01-27T00:00:00"/>
    <d v="2024-03-09T00:00:00"/>
    <x v="0"/>
  </r>
  <r>
    <n v="3754"/>
    <n v="11610"/>
    <x v="3"/>
    <n v="51000.67"/>
    <x v="2"/>
    <m/>
    <x v="2"/>
    <d v="2024-02-28T00:00:00"/>
    <m/>
    <x v="4"/>
  </r>
  <r>
    <n v="3755"/>
    <n v="18804"/>
    <x v="3"/>
    <n v="15070.15"/>
    <x v="0"/>
    <n v="16"/>
    <x v="1"/>
    <d v="2024-05-26T00:00:00"/>
    <d v="2024-06-11T00:00:00"/>
    <x v="3"/>
  </r>
  <r>
    <n v="3756"/>
    <n v="10604"/>
    <x v="1"/>
    <n v="199267.21"/>
    <x v="2"/>
    <m/>
    <x v="0"/>
    <d v="2024-04-24T00:00:00"/>
    <m/>
    <x v="10"/>
  </r>
  <r>
    <n v="3757"/>
    <n v="17967"/>
    <x v="1"/>
    <n v="148628.65"/>
    <x v="0"/>
    <n v="4"/>
    <x v="0"/>
    <d v="2024-07-17T00:00:00"/>
    <d v="2024-07-21T00:00:00"/>
    <x v="2"/>
  </r>
  <r>
    <n v="3758"/>
    <n v="10620"/>
    <x v="1"/>
    <n v="22052.78"/>
    <x v="0"/>
    <n v="20"/>
    <x v="3"/>
    <d v="2024-05-07T00:00:00"/>
    <d v="2024-05-27T00:00:00"/>
    <x v="3"/>
  </r>
  <r>
    <n v="3759"/>
    <n v="12602"/>
    <x v="0"/>
    <n v="8948.6299999999992"/>
    <x v="1"/>
    <n v="2"/>
    <x v="0"/>
    <d v="2024-06-01T00:00:00"/>
    <d v="2024-06-03T00:00:00"/>
    <x v="7"/>
  </r>
  <r>
    <n v="3760"/>
    <n v="16473"/>
    <x v="3"/>
    <n v="145261.12"/>
    <x v="0"/>
    <n v="25"/>
    <x v="0"/>
    <d v="2024-09-27T00:00:00"/>
    <d v="2024-10-22T00:00:00"/>
    <x v="9"/>
  </r>
  <r>
    <n v="3761"/>
    <n v="13800"/>
    <x v="3"/>
    <n v="90642.47"/>
    <x v="0"/>
    <n v="12"/>
    <x v="2"/>
    <d v="2024-12-04T00:00:00"/>
    <d v="2024-12-16T00:00:00"/>
    <x v="11"/>
  </r>
  <r>
    <n v="3762"/>
    <n v="17098"/>
    <x v="0"/>
    <n v="158425.35999999999"/>
    <x v="0"/>
    <n v="31"/>
    <x v="3"/>
    <d v="2024-03-23T00:00:00"/>
    <d v="2024-04-23T00:00:00"/>
    <x v="5"/>
  </r>
  <r>
    <n v="3763"/>
    <n v="16538"/>
    <x v="3"/>
    <n v="185077.83"/>
    <x v="0"/>
    <n v="12"/>
    <x v="0"/>
    <d v="2024-01-23T00:00:00"/>
    <d v="2024-02-04T00:00:00"/>
    <x v="0"/>
  </r>
  <r>
    <n v="3764"/>
    <n v="10155"/>
    <x v="2"/>
    <n v="121863.58"/>
    <x v="0"/>
    <n v="40"/>
    <x v="1"/>
    <d v="2024-01-11T00:00:00"/>
    <d v="2024-02-20T00:00:00"/>
    <x v="0"/>
  </r>
  <r>
    <n v="3765"/>
    <n v="18160"/>
    <x v="0"/>
    <n v="41486.14"/>
    <x v="1"/>
    <n v="2"/>
    <x v="0"/>
    <d v="2024-07-05T00:00:00"/>
    <d v="2024-07-07T00:00:00"/>
    <x v="2"/>
  </r>
  <r>
    <n v="3766"/>
    <n v="16681"/>
    <x v="1"/>
    <n v="157527.84"/>
    <x v="1"/>
    <n v="13"/>
    <x v="2"/>
    <d v="2024-04-25T00:00:00"/>
    <d v="2024-05-08T00:00:00"/>
    <x v="10"/>
  </r>
  <r>
    <n v="3767"/>
    <n v="12715"/>
    <x v="2"/>
    <n v="191383.29"/>
    <x v="0"/>
    <n v="5"/>
    <x v="1"/>
    <d v="2024-06-10T00:00:00"/>
    <d v="2024-06-15T00:00:00"/>
    <x v="7"/>
  </r>
  <r>
    <n v="3768"/>
    <n v="14339"/>
    <x v="3"/>
    <n v="118145.1"/>
    <x v="0"/>
    <n v="26"/>
    <x v="2"/>
    <d v="2024-04-12T00:00:00"/>
    <d v="2024-05-08T00:00:00"/>
    <x v="10"/>
  </r>
  <r>
    <n v="3769"/>
    <n v="18070"/>
    <x v="3"/>
    <n v="137989.5"/>
    <x v="2"/>
    <m/>
    <x v="0"/>
    <d v="2024-08-30T00:00:00"/>
    <m/>
    <x v="8"/>
  </r>
  <r>
    <n v="3770"/>
    <n v="16690"/>
    <x v="1"/>
    <n v="70807.570000000007"/>
    <x v="0"/>
    <n v="16"/>
    <x v="1"/>
    <d v="2024-01-07T00:00:00"/>
    <d v="2024-01-23T00:00:00"/>
    <x v="0"/>
  </r>
  <r>
    <n v="3771"/>
    <n v="10449"/>
    <x v="3"/>
    <n v="79397.899999999994"/>
    <x v="0"/>
    <n v="44"/>
    <x v="3"/>
    <d v="2024-12-27T00:00:00"/>
    <d v="2025-02-09T00:00:00"/>
    <x v="11"/>
  </r>
  <r>
    <n v="3772"/>
    <n v="11069"/>
    <x v="2"/>
    <n v="148257.63"/>
    <x v="0"/>
    <n v="31"/>
    <x v="3"/>
    <d v="2024-06-20T00:00:00"/>
    <d v="2024-07-21T00:00:00"/>
    <x v="7"/>
  </r>
  <r>
    <n v="3773"/>
    <n v="14017"/>
    <x v="3"/>
    <n v="185915.36"/>
    <x v="0"/>
    <n v="41"/>
    <x v="1"/>
    <d v="2024-09-12T00:00:00"/>
    <d v="2024-10-23T00:00:00"/>
    <x v="9"/>
  </r>
  <r>
    <n v="3774"/>
    <n v="12819"/>
    <x v="1"/>
    <n v="127652.74"/>
    <x v="0"/>
    <n v="33"/>
    <x v="1"/>
    <d v="2024-09-03T00:00:00"/>
    <d v="2024-10-06T00:00:00"/>
    <x v="9"/>
  </r>
  <r>
    <n v="3775"/>
    <n v="12285"/>
    <x v="1"/>
    <n v="159020.34"/>
    <x v="0"/>
    <n v="36"/>
    <x v="2"/>
    <d v="2024-07-10T00:00:00"/>
    <d v="2024-08-15T00:00:00"/>
    <x v="2"/>
  </r>
  <r>
    <n v="3776"/>
    <n v="19382"/>
    <x v="1"/>
    <n v="38468.83"/>
    <x v="0"/>
    <n v="22"/>
    <x v="1"/>
    <d v="2024-04-23T00:00:00"/>
    <d v="2024-05-15T00:00:00"/>
    <x v="10"/>
  </r>
  <r>
    <n v="3777"/>
    <n v="11399"/>
    <x v="3"/>
    <n v="46332.02"/>
    <x v="0"/>
    <n v="32"/>
    <x v="2"/>
    <d v="2024-01-23T00:00:00"/>
    <d v="2024-02-24T00:00:00"/>
    <x v="0"/>
  </r>
  <r>
    <n v="3778"/>
    <n v="12248"/>
    <x v="3"/>
    <n v="108746.76"/>
    <x v="0"/>
    <n v="37"/>
    <x v="0"/>
    <d v="2024-12-23T00:00:00"/>
    <d v="2025-01-29T00:00:00"/>
    <x v="11"/>
  </r>
  <r>
    <n v="3779"/>
    <n v="16375"/>
    <x v="0"/>
    <n v="39428.07"/>
    <x v="1"/>
    <n v="28"/>
    <x v="2"/>
    <d v="2024-11-09T00:00:00"/>
    <d v="2024-12-07T00:00:00"/>
    <x v="1"/>
  </r>
  <r>
    <n v="3780"/>
    <n v="10723"/>
    <x v="3"/>
    <n v="128824.04"/>
    <x v="1"/>
    <n v="9"/>
    <x v="1"/>
    <d v="2024-10-02T00:00:00"/>
    <d v="2024-10-11T00:00:00"/>
    <x v="6"/>
  </r>
  <r>
    <n v="3781"/>
    <n v="19633"/>
    <x v="0"/>
    <n v="61872.37"/>
    <x v="0"/>
    <n v="24"/>
    <x v="1"/>
    <d v="2024-05-15T00:00:00"/>
    <d v="2024-06-08T00:00:00"/>
    <x v="3"/>
  </r>
  <r>
    <n v="3782"/>
    <n v="15273"/>
    <x v="1"/>
    <n v="159348.85999999999"/>
    <x v="0"/>
    <n v="24"/>
    <x v="0"/>
    <d v="2024-12-22T00:00:00"/>
    <d v="2025-01-15T00:00:00"/>
    <x v="11"/>
  </r>
  <r>
    <n v="3783"/>
    <n v="17535"/>
    <x v="1"/>
    <n v="162581.51999999999"/>
    <x v="2"/>
    <m/>
    <x v="1"/>
    <d v="2024-07-13T00:00:00"/>
    <m/>
    <x v="2"/>
  </r>
  <r>
    <n v="3784"/>
    <n v="14820"/>
    <x v="1"/>
    <n v="95438.55"/>
    <x v="0"/>
    <n v="34"/>
    <x v="1"/>
    <d v="2024-09-14T00:00:00"/>
    <d v="2024-10-18T00:00:00"/>
    <x v="9"/>
  </r>
  <r>
    <n v="3785"/>
    <n v="10086"/>
    <x v="3"/>
    <n v="40258.07"/>
    <x v="1"/>
    <n v="14"/>
    <x v="3"/>
    <d v="2024-10-04T00:00:00"/>
    <d v="2024-10-18T00:00:00"/>
    <x v="6"/>
  </r>
  <r>
    <n v="3786"/>
    <n v="17697"/>
    <x v="1"/>
    <n v="131121.12"/>
    <x v="0"/>
    <n v="40"/>
    <x v="3"/>
    <d v="2024-03-10T00:00:00"/>
    <d v="2024-04-19T00:00:00"/>
    <x v="5"/>
  </r>
  <r>
    <n v="3787"/>
    <n v="16846"/>
    <x v="0"/>
    <n v="198593.47"/>
    <x v="2"/>
    <m/>
    <x v="0"/>
    <d v="2024-12-24T00:00:00"/>
    <m/>
    <x v="11"/>
  </r>
  <r>
    <n v="3788"/>
    <n v="14149"/>
    <x v="3"/>
    <n v="126405.23"/>
    <x v="0"/>
    <n v="17"/>
    <x v="2"/>
    <d v="2024-12-25T00:00:00"/>
    <d v="2025-01-11T00:00:00"/>
    <x v="11"/>
  </r>
  <r>
    <n v="3789"/>
    <n v="11751"/>
    <x v="2"/>
    <n v="11976.06"/>
    <x v="0"/>
    <n v="13"/>
    <x v="3"/>
    <d v="2024-02-05T00:00:00"/>
    <d v="2024-02-18T00:00:00"/>
    <x v="4"/>
  </r>
  <r>
    <n v="3790"/>
    <n v="15161"/>
    <x v="3"/>
    <n v="8372.33"/>
    <x v="1"/>
    <n v="32"/>
    <x v="2"/>
    <d v="2024-04-17T00:00:00"/>
    <d v="2024-05-19T00:00:00"/>
    <x v="10"/>
  </r>
  <r>
    <n v="3791"/>
    <n v="13420"/>
    <x v="3"/>
    <n v="67470.58"/>
    <x v="0"/>
    <n v="6"/>
    <x v="1"/>
    <d v="2024-01-24T00:00:00"/>
    <d v="2024-01-30T00:00:00"/>
    <x v="0"/>
  </r>
  <r>
    <n v="3792"/>
    <n v="14837"/>
    <x v="3"/>
    <n v="43177.84"/>
    <x v="0"/>
    <n v="41"/>
    <x v="3"/>
    <d v="2024-05-19T00:00:00"/>
    <d v="2024-06-29T00:00:00"/>
    <x v="3"/>
  </r>
  <r>
    <n v="3793"/>
    <n v="12483"/>
    <x v="2"/>
    <n v="163544.99"/>
    <x v="0"/>
    <n v="26"/>
    <x v="0"/>
    <d v="2024-01-22T00:00:00"/>
    <d v="2024-02-17T00:00:00"/>
    <x v="0"/>
  </r>
  <r>
    <n v="3794"/>
    <n v="13212"/>
    <x v="3"/>
    <n v="169737.11"/>
    <x v="1"/>
    <n v="22"/>
    <x v="0"/>
    <d v="2024-12-04T00:00:00"/>
    <d v="2024-12-26T00:00:00"/>
    <x v="11"/>
  </r>
  <r>
    <n v="3795"/>
    <n v="13922"/>
    <x v="0"/>
    <n v="55430.66"/>
    <x v="0"/>
    <n v="4"/>
    <x v="0"/>
    <d v="2024-11-24T00:00:00"/>
    <d v="2024-11-28T00:00:00"/>
    <x v="1"/>
  </r>
  <r>
    <n v="3796"/>
    <n v="16310"/>
    <x v="0"/>
    <n v="68500.73"/>
    <x v="0"/>
    <n v="11"/>
    <x v="3"/>
    <d v="2024-07-22T00:00:00"/>
    <d v="2024-08-02T00:00:00"/>
    <x v="2"/>
  </r>
  <r>
    <n v="3797"/>
    <n v="16042"/>
    <x v="3"/>
    <n v="51068.160000000003"/>
    <x v="0"/>
    <n v="24"/>
    <x v="2"/>
    <d v="2024-08-11T00:00:00"/>
    <d v="2024-09-04T00:00:00"/>
    <x v="8"/>
  </r>
  <r>
    <n v="3798"/>
    <n v="18013"/>
    <x v="3"/>
    <n v="182134.6"/>
    <x v="0"/>
    <n v="18"/>
    <x v="1"/>
    <d v="2024-08-10T00:00:00"/>
    <d v="2024-08-28T00:00:00"/>
    <x v="8"/>
  </r>
  <r>
    <n v="3799"/>
    <n v="19678"/>
    <x v="1"/>
    <n v="103016.62"/>
    <x v="0"/>
    <n v="43"/>
    <x v="2"/>
    <d v="2024-03-21T00:00:00"/>
    <d v="2024-05-03T00:00:00"/>
    <x v="5"/>
  </r>
  <r>
    <n v="3800"/>
    <n v="13527"/>
    <x v="3"/>
    <n v="132946.72"/>
    <x v="0"/>
    <n v="36"/>
    <x v="2"/>
    <d v="2024-11-25T00:00:00"/>
    <d v="2024-12-31T00:00:00"/>
    <x v="1"/>
  </r>
  <r>
    <n v="3801"/>
    <n v="18264"/>
    <x v="1"/>
    <n v="86019.01"/>
    <x v="0"/>
    <n v="26"/>
    <x v="1"/>
    <d v="2024-07-09T00:00:00"/>
    <d v="2024-08-04T00:00:00"/>
    <x v="2"/>
  </r>
  <r>
    <n v="3802"/>
    <n v="18916"/>
    <x v="3"/>
    <n v="128047.77"/>
    <x v="0"/>
    <n v="3"/>
    <x v="1"/>
    <d v="2024-10-12T00:00:00"/>
    <d v="2024-10-15T00:00:00"/>
    <x v="6"/>
  </r>
  <r>
    <n v="3803"/>
    <n v="13754"/>
    <x v="3"/>
    <n v="80241.8"/>
    <x v="0"/>
    <n v="28"/>
    <x v="3"/>
    <d v="2024-05-26T00:00:00"/>
    <d v="2024-06-23T00:00:00"/>
    <x v="3"/>
  </r>
  <r>
    <n v="3804"/>
    <n v="18162"/>
    <x v="1"/>
    <n v="71237.3"/>
    <x v="0"/>
    <n v="10"/>
    <x v="3"/>
    <d v="2024-10-08T00:00:00"/>
    <d v="2024-10-18T00:00:00"/>
    <x v="6"/>
  </r>
  <r>
    <n v="3805"/>
    <n v="14365"/>
    <x v="3"/>
    <n v="128723.61"/>
    <x v="0"/>
    <n v="5"/>
    <x v="3"/>
    <d v="2024-01-11T00:00:00"/>
    <d v="2024-01-16T00:00:00"/>
    <x v="0"/>
  </r>
  <r>
    <n v="3806"/>
    <n v="18410"/>
    <x v="3"/>
    <n v="120257.11"/>
    <x v="0"/>
    <n v="27"/>
    <x v="3"/>
    <d v="2024-10-02T00:00:00"/>
    <d v="2024-10-29T00:00:00"/>
    <x v="6"/>
  </r>
  <r>
    <n v="3807"/>
    <n v="10546"/>
    <x v="3"/>
    <n v="62237.95"/>
    <x v="2"/>
    <m/>
    <x v="3"/>
    <d v="2024-02-25T00:00:00"/>
    <m/>
    <x v="4"/>
  </r>
  <r>
    <n v="3808"/>
    <n v="13729"/>
    <x v="3"/>
    <n v="34122.949999999997"/>
    <x v="0"/>
    <n v="30"/>
    <x v="1"/>
    <d v="2024-06-21T00:00:00"/>
    <d v="2024-07-21T00:00:00"/>
    <x v="7"/>
  </r>
  <r>
    <n v="3809"/>
    <n v="17350"/>
    <x v="1"/>
    <n v="76872.460000000006"/>
    <x v="1"/>
    <n v="23"/>
    <x v="2"/>
    <d v="2024-10-29T00:00:00"/>
    <d v="2024-11-21T00:00:00"/>
    <x v="6"/>
  </r>
  <r>
    <n v="3810"/>
    <n v="15884"/>
    <x v="0"/>
    <n v="85963.54"/>
    <x v="0"/>
    <n v="14"/>
    <x v="3"/>
    <d v="2024-07-22T00:00:00"/>
    <d v="2024-08-05T00:00:00"/>
    <x v="2"/>
  </r>
  <r>
    <n v="3811"/>
    <n v="11968"/>
    <x v="3"/>
    <n v="127593.45"/>
    <x v="0"/>
    <n v="24"/>
    <x v="3"/>
    <d v="2024-12-10T00:00:00"/>
    <d v="2025-01-03T00:00:00"/>
    <x v="11"/>
  </r>
  <r>
    <n v="3812"/>
    <n v="14516"/>
    <x v="1"/>
    <n v="183333.11"/>
    <x v="0"/>
    <n v="32"/>
    <x v="2"/>
    <d v="2024-09-04T00:00:00"/>
    <d v="2024-10-06T00:00:00"/>
    <x v="9"/>
  </r>
  <r>
    <n v="3813"/>
    <n v="11259"/>
    <x v="1"/>
    <n v="12056.04"/>
    <x v="0"/>
    <n v="42"/>
    <x v="3"/>
    <d v="2024-11-09T00:00:00"/>
    <d v="2024-12-21T00:00:00"/>
    <x v="1"/>
  </r>
  <r>
    <n v="3814"/>
    <n v="16992"/>
    <x v="3"/>
    <n v="52513.9"/>
    <x v="2"/>
    <m/>
    <x v="2"/>
    <d v="2024-09-22T00:00:00"/>
    <m/>
    <x v="9"/>
  </r>
  <r>
    <n v="3815"/>
    <n v="17756"/>
    <x v="3"/>
    <n v="42774.61"/>
    <x v="2"/>
    <m/>
    <x v="2"/>
    <d v="2024-01-22T00:00:00"/>
    <m/>
    <x v="0"/>
  </r>
  <r>
    <n v="3816"/>
    <n v="12933"/>
    <x v="2"/>
    <n v="102947.41"/>
    <x v="1"/>
    <n v="32"/>
    <x v="1"/>
    <d v="2024-11-22T00:00:00"/>
    <d v="2024-12-24T00:00:00"/>
    <x v="1"/>
  </r>
  <r>
    <n v="3817"/>
    <n v="12509"/>
    <x v="1"/>
    <n v="88791.66"/>
    <x v="0"/>
    <n v="16"/>
    <x v="0"/>
    <d v="2024-01-24T00:00:00"/>
    <d v="2024-02-09T00:00:00"/>
    <x v="0"/>
  </r>
  <r>
    <n v="3818"/>
    <n v="11562"/>
    <x v="1"/>
    <n v="147162.34"/>
    <x v="0"/>
    <n v="15"/>
    <x v="1"/>
    <d v="2024-07-12T00:00:00"/>
    <d v="2024-07-27T00:00:00"/>
    <x v="2"/>
  </r>
  <r>
    <n v="3819"/>
    <n v="19981"/>
    <x v="1"/>
    <n v="52271.1"/>
    <x v="0"/>
    <n v="36"/>
    <x v="0"/>
    <d v="2024-04-05T00:00:00"/>
    <d v="2024-05-11T00:00:00"/>
    <x v="10"/>
  </r>
  <r>
    <n v="3820"/>
    <n v="18075"/>
    <x v="3"/>
    <n v="120927.18"/>
    <x v="2"/>
    <m/>
    <x v="0"/>
    <d v="2024-09-19T00:00:00"/>
    <m/>
    <x v="9"/>
  </r>
  <r>
    <n v="3821"/>
    <n v="13669"/>
    <x v="1"/>
    <n v="177352.17"/>
    <x v="0"/>
    <n v="31"/>
    <x v="0"/>
    <d v="2024-03-12T00:00:00"/>
    <d v="2024-04-12T00:00:00"/>
    <x v="5"/>
  </r>
  <r>
    <n v="3822"/>
    <n v="12481"/>
    <x v="1"/>
    <n v="182582.16"/>
    <x v="0"/>
    <n v="31"/>
    <x v="3"/>
    <d v="2024-08-30T00:00:00"/>
    <d v="2024-09-30T00:00:00"/>
    <x v="8"/>
  </r>
  <r>
    <n v="3823"/>
    <n v="17198"/>
    <x v="1"/>
    <n v="191963"/>
    <x v="0"/>
    <n v="28"/>
    <x v="1"/>
    <d v="2024-02-07T00:00:00"/>
    <d v="2024-03-06T00:00:00"/>
    <x v="4"/>
  </r>
  <r>
    <n v="3824"/>
    <n v="10204"/>
    <x v="3"/>
    <n v="155785.92000000001"/>
    <x v="0"/>
    <n v="41"/>
    <x v="0"/>
    <d v="2024-03-29T00:00:00"/>
    <d v="2024-05-09T00:00:00"/>
    <x v="5"/>
  </r>
  <r>
    <n v="3825"/>
    <n v="10741"/>
    <x v="3"/>
    <n v="181667.64"/>
    <x v="2"/>
    <m/>
    <x v="2"/>
    <d v="2024-01-28T00:00:00"/>
    <m/>
    <x v="0"/>
  </r>
  <r>
    <n v="3826"/>
    <n v="17049"/>
    <x v="3"/>
    <n v="50733.52"/>
    <x v="0"/>
    <n v="12"/>
    <x v="3"/>
    <d v="2024-04-01T00:00:00"/>
    <d v="2024-04-13T00:00:00"/>
    <x v="10"/>
  </r>
  <r>
    <n v="3827"/>
    <n v="14263"/>
    <x v="2"/>
    <n v="43528.28"/>
    <x v="0"/>
    <n v="27"/>
    <x v="1"/>
    <d v="2024-02-23T00:00:00"/>
    <d v="2024-03-21T00:00:00"/>
    <x v="4"/>
  </r>
  <r>
    <n v="3828"/>
    <n v="17837"/>
    <x v="3"/>
    <n v="6265.18"/>
    <x v="0"/>
    <n v="22"/>
    <x v="0"/>
    <d v="2024-06-07T00:00:00"/>
    <d v="2024-06-29T00:00:00"/>
    <x v="7"/>
  </r>
  <r>
    <n v="3829"/>
    <n v="14737"/>
    <x v="3"/>
    <n v="142834.65"/>
    <x v="1"/>
    <n v="10"/>
    <x v="2"/>
    <d v="2024-08-15T00:00:00"/>
    <d v="2024-08-25T00:00:00"/>
    <x v="8"/>
  </r>
  <r>
    <n v="3830"/>
    <n v="11105"/>
    <x v="3"/>
    <n v="187806.1"/>
    <x v="0"/>
    <n v="2"/>
    <x v="1"/>
    <d v="2024-02-10T00:00:00"/>
    <d v="2024-02-12T00:00:00"/>
    <x v="4"/>
  </r>
  <r>
    <n v="3831"/>
    <n v="16830"/>
    <x v="3"/>
    <n v="41452.39"/>
    <x v="1"/>
    <n v="7"/>
    <x v="1"/>
    <d v="2024-02-06T00:00:00"/>
    <d v="2024-02-13T00:00:00"/>
    <x v="4"/>
  </r>
  <r>
    <n v="3832"/>
    <n v="14197"/>
    <x v="1"/>
    <n v="129204"/>
    <x v="0"/>
    <n v="2"/>
    <x v="3"/>
    <d v="2024-05-04T00:00:00"/>
    <d v="2024-05-06T00:00:00"/>
    <x v="3"/>
  </r>
  <r>
    <n v="3833"/>
    <n v="10088"/>
    <x v="1"/>
    <n v="150559.65"/>
    <x v="1"/>
    <n v="23"/>
    <x v="1"/>
    <d v="2024-06-27T00:00:00"/>
    <d v="2024-07-20T00:00:00"/>
    <x v="7"/>
  </r>
  <r>
    <n v="3834"/>
    <n v="16488"/>
    <x v="1"/>
    <n v="185884.78"/>
    <x v="1"/>
    <n v="14"/>
    <x v="3"/>
    <d v="2024-11-27T00:00:00"/>
    <d v="2024-12-11T00:00:00"/>
    <x v="1"/>
  </r>
  <r>
    <n v="3835"/>
    <n v="13381"/>
    <x v="3"/>
    <n v="131137.74"/>
    <x v="0"/>
    <n v="39"/>
    <x v="0"/>
    <d v="2024-02-06T00:00:00"/>
    <d v="2024-03-16T00:00:00"/>
    <x v="4"/>
  </r>
  <r>
    <n v="3836"/>
    <n v="13185"/>
    <x v="1"/>
    <n v="194207.28"/>
    <x v="0"/>
    <n v="42"/>
    <x v="3"/>
    <d v="2024-04-10T00:00:00"/>
    <d v="2024-05-22T00:00:00"/>
    <x v="10"/>
  </r>
  <r>
    <n v="3837"/>
    <n v="16679"/>
    <x v="3"/>
    <n v="72211.259999999995"/>
    <x v="0"/>
    <n v="41"/>
    <x v="2"/>
    <d v="2024-01-31T00:00:00"/>
    <d v="2024-03-12T00:00:00"/>
    <x v="0"/>
  </r>
  <r>
    <n v="3838"/>
    <n v="16306"/>
    <x v="3"/>
    <n v="73236.06"/>
    <x v="0"/>
    <n v="32"/>
    <x v="3"/>
    <d v="2024-07-08T00:00:00"/>
    <d v="2024-08-09T00:00:00"/>
    <x v="2"/>
  </r>
  <r>
    <n v="3839"/>
    <n v="10864"/>
    <x v="3"/>
    <n v="110887.44"/>
    <x v="1"/>
    <n v="16"/>
    <x v="2"/>
    <d v="2024-05-25T00:00:00"/>
    <d v="2024-06-10T00:00:00"/>
    <x v="3"/>
  </r>
  <r>
    <n v="3840"/>
    <n v="18246"/>
    <x v="3"/>
    <n v="79782.87"/>
    <x v="0"/>
    <n v="3"/>
    <x v="3"/>
    <d v="2024-03-30T00:00:00"/>
    <d v="2024-04-02T00:00:00"/>
    <x v="5"/>
  </r>
  <r>
    <n v="3841"/>
    <n v="14671"/>
    <x v="3"/>
    <n v="5278.02"/>
    <x v="0"/>
    <n v="32"/>
    <x v="1"/>
    <d v="2024-01-06T00:00:00"/>
    <d v="2024-02-07T00:00:00"/>
    <x v="0"/>
  </r>
  <r>
    <n v="3842"/>
    <n v="10557"/>
    <x v="1"/>
    <n v="147695.54"/>
    <x v="0"/>
    <n v="27"/>
    <x v="0"/>
    <d v="2024-05-18T00:00:00"/>
    <d v="2024-06-14T00:00:00"/>
    <x v="3"/>
  </r>
  <r>
    <n v="3843"/>
    <n v="19184"/>
    <x v="1"/>
    <n v="151584.82"/>
    <x v="0"/>
    <n v="3"/>
    <x v="2"/>
    <d v="2024-04-04T00:00:00"/>
    <d v="2024-04-07T00:00:00"/>
    <x v="10"/>
  </r>
  <r>
    <n v="3844"/>
    <n v="14291"/>
    <x v="0"/>
    <n v="150660.04999999999"/>
    <x v="1"/>
    <n v="12"/>
    <x v="3"/>
    <d v="2024-04-28T00:00:00"/>
    <d v="2024-05-10T00:00:00"/>
    <x v="10"/>
  </r>
  <r>
    <n v="3845"/>
    <n v="10447"/>
    <x v="3"/>
    <n v="72279.03"/>
    <x v="0"/>
    <n v="34"/>
    <x v="3"/>
    <d v="2024-04-29T00:00:00"/>
    <d v="2024-06-02T00:00:00"/>
    <x v="10"/>
  </r>
  <r>
    <n v="3846"/>
    <n v="11821"/>
    <x v="3"/>
    <n v="106846.45"/>
    <x v="2"/>
    <m/>
    <x v="3"/>
    <d v="2024-05-02T00:00:00"/>
    <m/>
    <x v="3"/>
  </r>
  <r>
    <n v="3847"/>
    <n v="13819"/>
    <x v="3"/>
    <n v="75194.84"/>
    <x v="2"/>
    <m/>
    <x v="1"/>
    <d v="2024-10-11T00:00:00"/>
    <m/>
    <x v="6"/>
  </r>
  <r>
    <n v="3848"/>
    <n v="10091"/>
    <x v="2"/>
    <n v="8127.1"/>
    <x v="0"/>
    <n v="32"/>
    <x v="1"/>
    <d v="2024-06-27T00:00:00"/>
    <d v="2024-07-29T00:00:00"/>
    <x v="7"/>
  </r>
  <r>
    <n v="3849"/>
    <n v="10607"/>
    <x v="1"/>
    <n v="114677.54"/>
    <x v="0"/>
    <n v="27"/>
    <x v="2"/>
    <d v="2024-11-20T00:00:00"/>
    <d v="2024-12-17T00:00:00"/>
    <x v="1"/>
  </r>
  <r>
    <n v="3850"/>
    <n v="19443"/>
    <x v="1"/>
    <n v="29133.33"/>
    <x v="1"/>
    <n v="31"/>
    <x v="2"/>
    <d v="2024-01-07T00:00:00"/>
    <d v="2024-02-07T00:00:00"/>
    <x v="0"/>
  </r>
  <r>
    <n v="3851"/>
    <n v="10285"/>
    <x v="3"/>
    <n v="20608.060000000001"/>
    <x v="0"/>
    <n v="40"/>
    <x v="1"/>
    <d v="2024-11-07T00:00:00"/>
    <d v="2024-12-17T00:00:00"/>
    <x v="1"/>
  </r>
  <r>
    <n v="3852"/>
    <n v="12921"/>
    <x v="1"/>
    <n v="152322.32"/>
    <x v="0"/>
    <n v="22"/>
    <x v="2"/>
    <d v="2024-05-06T00:00:00"/>
    <d v="2024-05-28T00:00:00"/>
    <x v="3"/>
  </r>
  <r>
    <n v="3853"/>
    <n v="10101"/>
    <x v="3"/>
    <n v="6853.71"/>
    <x v="0"/>
    <n v="17"/>
    <x v="0"/>
    <d v="2024-03-17T00:00:00"/>
    <d v="2024-04-03T00:00:00"/>
    <x v="5"/>
  </r>
  <r>
    <n v="3854"/>
    <n v="13835"/>
    <x v="1"/>
    <n v="192006.65"/>
    <x v="0"/>
    <n v="8"/>
    <x v="0"/>
    <d v="2024-08-21T00:00:00"/>
    <d v="2024-08-29T00:00:00"/>
    <x v="8"/>
  </r>
  <r>
    <n v="3855"/>
    <n v="18169"/>
    <x v="2"/>
    <n v="105474.8"/>
    <x v="1"/>
    <n v="23"/>
    <x v="1"/>
    <d v="2024-11-13T00:00:00"/>
    <d v="2024-12-06T00:00:00"/>
    <x v="1"/>
  </r>
  <r>
    <n v="3856"/>
    <n v="14235"/>
    <x v="2"/>
    <n v="196688.2"/>
    <x v="0"/>
    <n v="8"/>
    <x v="2"/>
    <d v="2024-03-14T00:00:00"/>
    <d v="2024-03-22T00:00:00"/>
    <x v="5"/>
  </r>
  <r>
    <n v="3857"/>
    <n v="19870"/>
    <x v="1"/>
    <n v="16309.53"/>
    <x v="0"/>
    <n v="3"/>
    <x v="3"/>
    <d v="2024-09-27T00:00:00"/>
    <d v="2024-09-30T00:00:00"/>
    <x v="9"/>
  </r>
  <r>
    <n v="3858"/>
    <n v="17509"/>
    <x v="3"/>
    <n v="118788.26"/>
    <x v="2"/>
    <m/>
    <x v="0"/>
    <d v="2024-11-04T00:00:00"/>
    <m/>
    <x v="1"/>
  </r>
  <r>
    <n v="3859"/>
    <n v="16716"/>
    <x v="2"/>
    <n v="73118.77"/>
    <x v="1"/>
    <n v="15"/>
    <x v="1"/>
    <d v="2024-04-29T00:00:00"/>
    <d v="2024-05-14T00:00:00"/>
    <x v="10"/>
  </r>
  <r>
    <n v="3860"/>
    <n v="10534"/>
    <x v="1"/>
    <n v="169479.09"/>
    <x v="0"/>
    <n v="9"/>
    <x v="2"/>
    <d v="2024-02-04T00:00:00"/>
    <d v="2024-02-13T00:00:00"/>
    <x v="4"/>
  </r>
  <r>
    <n v="3861"/>
    <n v="16666"/>
    <x v="3"/>
    <n v="75438.429999999993"/>
    <x v="1"/>
    <n v="30"/>
    <x v="1"/>
    <d v="2024-07-25T00:00:00"/>
    <d v="2024-08-24T00:00:00"/>
    <x v="2"/>
  </r>
  <r>
    <n v="3862"/>
    <n v="18207"/>
    <x v="3"/>
    <n v="55795.08"/>
    <x v="0"/>
    <n v="8"/>
    <x v="3"/>
    <d v="2024-09-26T00:00:00"/>
    <d v="2024-10-04T00:00:00"/>
    <x v="9"/>
  </r>
  <r>
    <n v="3863"/>
    <n v="18752"/>
    <x v="3"/>
    <n v="172222.86"/>
    <x v="1"/>
    <n v="39"/>
    <x v="0"/>
    <d v="2024-04-02T00:00:00"/>
    <d v="2024-05-11T00:00:00"/>
    <x v="10"/>
  </r>
  <r>
    <n v="3864"/>
    <n v="12925"/>
    <x v="3"/>
    <n v="78057.350000000006"/>
    <x v="0"/>
    <n v="23"/>
    <x v="1"/>
    <d v="2024-06-25T00:00:00"/>
    <d v="2024-07-18T00:00:00"/>
    <x v="7"/>
  </r>
  <r>
    <n v="3865"/>
    <n v="10909"/>
    <x v="3"/>
    <n v="8282.5"/>
    <x v="0"/>
    <n v="18"/>
    <x v="1"/>
    <d v="2024-09-30T00:00:00"/>
    <d v="2024-10-18T00:00:00"/>
    <x v="9"/>
  </r>
  <r>
    <n v="3866"/>
    <n v="19605"/>
    <x v="1"/>
    <n v="81106.37"/>
    <x v="1"/>
    <n v="17"/>
    <x v="1"/>
    <d v="2024-06-27T00:00:00"/>
    <d v="2024-07-14T00:00:00"/>
    <x v="7"/>
  </r>
  <r>
    <n v="3867"/>
    <n v="15008"/>
    <x v="3"/>
    <n v="132631.84"/>
    <x v="0"/>
    <n v="34"/>
    <x v="3"/>
    <d v="2024-05-08T00:00:00"/>
    <d v="2024-06-11T00:00:00"/>
    <x v="3"/>
  </r>
  <r>
    <n v="3868"/>
    <n v="10118"/>
    <x v="3"/>
    <n v="54600.11"/>
    <x v="2"/>
    <m/>
    <x v="1"/>
    <d v="2024-05-04T00:00:00"/>
    <m/>
    <x v="3"/>
  </r>
  <r>
    <n v="3869"/>
    <n v="13113"/>
    <x v="1"/>
    <n v="89237.58"/>
    <x v="0"/>
    <n v="36"/>
    <x v="3"/>
    <d v="2024-01-27T00:00:00"/>
    <d v="2024-03-03T00:00:00"/>
    <x v="0"/>
  </r>
  <r>
    <n v="3870"/>
    <n v="16153"/>
    <x v="0"/>
    <n v="16059.45"/>
    <x v="2"/>
    <m/>
    <x v="3"/>
    <d v="2024-03-04T00:00:00"/>
    <m/>
    <x v="5"/>
  </r>
  <r>
    <n v="3871"/>
    <n v="11491"/>
    <x v="1"/>
    <n v="119678.09"/>
    <x v="2"/>
    <m/>
    <x v="3"/>
    <d v="2024-02-29T00:00:00"/>
    <m/>
    <x v="4"/>
  </r>
  <r>
    <n v="3872"/>
    <n v="12096"/>
    <x v="3"/>
    <n v="152477.51"/>
    <x v="0"/>
    <n v="4"/>
    <x v="0"/>
    <d v="2024-08-06T00:00:00"/>
    <d v="2024-08-10T00:00:00"/>
    <x v="8"/>
  </r>
  <r>
    <n v="3873"/>
    <n v="17944"/>
    <x v="2"/>
    <n v="85595.95"/>
    <x v="1"/>
    <n v="4"/>
    <x v="0"/>
    <d v="2024-08-04T00:00:00"/>
    <d v="2024-08-08T00:00:00"/>
    <x v="8"/>
  </r>
  <r>
    <n v="3874"/>
    <n v="12254"/>
    <x v="2"/>
    <n v="86945.36"/>
    <x v="0"/>
    <n v="9"/>
    <x v="1"/>
    <d v="2024-06-17T00:00:00"/>
    <d v="2024-06-26T00:00:00"/>
    <x v="7"/>
  </r>
  <r>
    <n v="3875"/>
    <n v="18705"/>
    <x v="3"/>
    <n v="22215.09"/>
    <x v="2"/>
    <m/>
    <x v="1"/>
    <d v="2024-05-28T00:00:00"/>
    <m/>
    <x v="3"/>
  </r>
  <r>
    <n v="3876"/>
    <n v="16103"/>
    <x v="3"/>
    <n v="44378.47"/>
    <x v="0"/>
    <n v="10"/>
    <x v="0"/>
    <d v="2024-09-26T00:00:00"/>
    <d v="2024-10-06T00:00:00"/>
    <x v="9"/>
  </r>
  <r>
    <n v="3877"/>
    <n v="11233"/>
    <x v="1"/>
    <n v="35161.68"/>
    <x v="1"/>
    <n v="6"/>
    <x v="2"/>
    <d v="2024-04-25T00:00:00"/>
    <d v="2024-05-01T00:00:00"/>
    <x v="10"/>
  </r>
  <r>
    <n v="3878"/>
    <n v="15258"/>
    <x v="0"/>
    <n v="98929.11"/>
    <x v="0"/>
    <n v="29"/>
    <x v="0"/>
    <d v="2024-09-01T00:00:00"/>
    <d v="2024-09-30T00:00:00"/>
    <x v="9"/>
  </r>
  <r>
    <n v="3879"/>
    <n v="19671"/>
    <x v="2"/>
    <n v="108204.83"/>
    <x v="0"/>
    <n v="16"/>
    <x v="3"/>
    <d v="2024-05-27T00:00:00"/>
    <d v="2024-06-12T00:00:00"/>
    <x v="3"/>
  </r>
  <r>
    <n v="3880"/>
    <n v="15631"/>
    <x v="0"/>
    <n v="190043.33"/>
    <x v="0"/>
    <n v="28"/>
    <x v="0"/>
    <d v="2024-04-01T00:00:00"/>
    <d v="2024-04-29T00:00:00"/>
    <x v="10"/>
  </r>
  <r>
    <n v="3881"/>
    <n v="13349"/>
    <x v="1"/>
    <n v="19280.14"/>
    <x v="0"/>
    <n v="43"/>
    <x v="3"/>
    <d v="2024-03-25T00:00:00"/>
    <d v="2024-05-07T00:00:00"/>
    <x v="5"/>
  </r>
  <r>
    <n v="3882"/>
    <n v="19732"/>
    <x v="1"/>
    <n v="121974.25"/>
    <x v="1"/>
    <n v="32"/>
    <x v="1"/>
    <d v="2024-03-27T00:00:00"/>
    <d v="2024-04-28T00:00:00"/>
    <x v="5"/>
  </r>
  <r>
    <n v="3883"/>
    <n v="10129"/>
    <x v="3"/>
    <n v="107667.21"/>
    <x v="0"/>
    <n v="41"/>
    <x v="2"/>
    <d v="2024-04-29T00:00:00"/>
    <d v="2024-06-09T00:00:00"/>
    <x v="10"/>
  </r>
  <r>
    <n v="3884"/>
    <n v="13716"/>
    <x v="3"/>
    <n v="105665.45"/>
    <x v="0"/>
    <n v="19"/>
    <x v="1"/>
    <d v="2024-12-05T00:00:00"/>
    <d v="2024-12-24T00:00:00"/>
    <x v="11"/>
  </r>
  <r>
    <n v="3885"/>
    <n v="16754"/>
    <x v="3"/>
    <n v="175266.06"/>
    <x v="0"/>
    <n v="39"/>
    <x v="3"/>
    <d v="2024-01-24T00:00:00"/>
    <d v="2024-03-03T00:00:00"/>
    <x v="0"/>
  </r>
  <r>
    <n v="3886"/>
    <n v="13743"/>
    <x v="1"/>
    <n v="45080"/>
    <x v="0"/>
    <n v="5"/>
    <x v="3"/>
    <d v="2024-03-29T00:00:00"/>
    <d v="2024-04-03T00:00:00"/>
    <x v="5"/>
  </r>
  <r>
    <n v="3887"/>
    <n v="11771"/>
    <x v="1"/>
    <n v="12950.79"/>
    <x v="0"/>
    <n v="22"/>
    <x v="3"/>
    <d v="2024-02-06T00:00:00"/>
    <d v="2024-02-28T00:00:00"/>
    <x v="4"/>
  </r>
  <r>
    <n v="3888"/>
    <n v="14454"/>
    <x v="1"/>
    <n v="136092.94"/>
    <x v="1"/>
    <n v="43"/>
    <x v="2"/>
    <d v="2024-12-07T00:00:00"/>
    <d v="2025-01-19T00:00:00"/>
    <x v="11"/>
  </r>
  <r>
    <n v="3889"/>
    <n v="16770"/>
    <x v="3"/>
    <n v="72305.710000000006"/>
    <x v="2"/>
    <m/>
    <x v="0"/>
    <d v="2024-09-27T00:00:00"/>
    <m/>
    <x v="9"/>
  </r>
  <r>
    <n v="3890"/>
    <n v="17250"/>
    <x v="1"/>
    <n v="8430.0300000000007"/>
    <x v="0"/>
    <n v="23"/>
    <x v="1"/>
    <d v="2024-01-12T00:00:00"/>
    <d v="2024-02-04T00:00:00"/>
    <x v="0"/>
  </r>
  <r>
    <n v="3891"/>
    <n v="15273"/>
    <x v="3"/>
    <n v="54017.93"/>
    <x v="0"/>
    <n v="2"/>
    <x v="1"/>
    <d v="2024-04-04T00:00:00"/>
    <d v="2024-04-06T00:00:00"/>
    <x v="10"/>
  </r>
  <r>
    <n v="3892"/>
    <n v="18697"/>
    <x v="3"/>
    <n v="65318.720000000001"/>
    <x v="0"/>
    <n v="26"/>
    <x v="0"/>
    <d v="2024-01-31T00:00:00"/>
    <d v="2024-02-26T00:00:00"/>
    <x v="0"/>
  </r>
  <r>
    <n v="3893"/>
    <n v="15628"/>
    <x v="1"/>
    <n v="125283.48"/>
    <x v="0"/>
    <n v="42"/>
    <x v="1"/>
    <d v="2024-12-15T00:00:00"/>
    <d v="2025-01-26T00:00:00"/>
    <x v="11"/>
  </r>
  <r>
    <n v="3894"/>
    <n v="14913"/>
    <x v="1"/>
    <n v="38654.230000000003"/>
    <x v="0"/>
    <n v="29"/>
    <x v="2"/>
    <d v="2024-08-20T00:00:00"/>
    <d v="2024-09-18T00:00:00"/>
    <x v="8"/>
  </r>
  <r>
    <n v="3895"/>
    <n v="19030"/>
    <x v="2"/>
    <n v="85545.600000000006"/>
    <x v="1"/>
    <n v="38"/>
    <x v="1"/>
    <d v="2024-12-05T00:00:00"/>
    <d v="2025-01-12T00:00:00"/>
    <x v="11"/>
  </r>
  <r>
    <n v="3896"/>
    <n v="14718"/>
    <x v="3"/>
    <n v="99082.71"/>
    <x v="0"/>
    <n v="12"/>
    <x v="3"/>
    <d v="2024-11-23T00:00:00"/>
    <d v="2024-12-05T00:00:00"/>
    <x v="1"/>
  </r>
  <r>
    <n v="3897"/>
    <n v="12676"/>
    <x v="3"/>
    <n v="94551.29"/>
    <x v="1"/>
    <n v="23"/>
    <x v="0"/>
    <d v="2024-10-26T00:00:00"/>
    <d v="2024-11-18T00:00:00"/>
    <x v="6"/>
  </r>
  <r>
    <n v="3898"/>
    <n v="10096"/>
    <x v="3"/>
    <n v="194918.45"/>
    <x v="0"/>
    <n v="26"/>
    <x v="2"/>
    <d v="2024-10-12T00:00:00"/>
    <d v="2024-11-07T00:00:00"/>
    <x v="6"/>
  </r>
  <r>
    <n v="3899"/>
    <n v="11963"/>
    <x v="3"/>
    <n v="13873.33"/>
    <x v="0"/>
    <n v="22"/>
    <x v="0"/>
    <d v="2024-02-04T00:00:00"/>
    <d v="2024-02-26T00:00:00"/>
    <x v="4"/>
  </r>
  <r>
    <n v="3900"/>
    <n v="15401"/>
    <x v="0"/>
    <n v="190438.8"/>
    <x v="0"/>
    <n v="37"/>
    <x v="2"/>
    <d v="2024-01-21T00:00:00"/>
    <d v="2024-02-27T00:00:00"/>
    <x v="0"/>
  </r>
  <r>
    <n v="3901"/>
    <n v="17767"/>
    <x v="1"/>
    <n v="118477.75999999999"/>
    <x v="0"/>
    <n v="21"/>
    <x v="3"/>
    <d v="2024-04-20T00:00:00"/>
    <d v="2024-05-11T00:00:00"/>
    <x v="10"/>
  </r>
  <r>
    <n v="3902"/>
    <n v="10598"/>
    <x v="0"/>
    <n v="160166.9"/>
    <x v="0"/>
    <n v="17"/>
    <x v="0"/>
    <d v="2024-11-14T00:00:00"/>
    <d v="2024-12-01T00:00:00"/>
    <x v="1"/>
  </r>
  <r>
    <n v="3903"/>
    <n v="13963"/>
    <x v="3"/>
    <n v="88926.56"/>
    <x v="1"/>
    <n v="29"/>
    <x v="1"/>
    <d v="2024-12-13T00:00:00"/>
    <d v="2025-01-11T00:00:00"/>
    <x v="11"/>
  </r>
  <r>
    <n v="3904"/>
    <n v="18620"/>
    <x v="0"/>
    <n v="93498.39"/>
    <x v="0"/>
    <n v="30"/>
    <x v="2"/>
    <d v="2024-05-24T00:00:00"/>
    <d v="2024-06-23T00:00:00"/>
    <x v="3"/>
  </r>
  <r>
    <n v="3905"/>
    <n v="17293"/>
    <x v="3"/>
    <n v="176468.67"/>
    <x v="1"/>
    <n v="27"/>
    <x v="0"/>
    <d v="2024-01-12T00:00:00"/>
    <d v="2024-02-08T00:00:00"/>
    <x v="0"/>
  </r>
  <r>
    <n v="3906"/>
    <n v="11324"/>
    <x v="0"/>
    <n v="179707.23"/>
    <x v="0"/>
    <n v="41"/>
    <x v="1"/>
    <d v="2024-08-31T00:00:00"/>
    <d v="2024-10-11T00:00:00"/>
    <x v="8"/>
  </r>
  <r>
    <n v="3907"/>
    <n v="18111"/>
    <x v="3"/>
    <n v="51544.33"/>
    <x v="0"/>
    <n v="3"/>
    <x v="0"/>
    <d v="2024-05-25T00:00:00"/>
    <d v="2024-05-28T00:00:00"/>
    <x v="3"/>
  </r>
  <r>
    <n v="3908"/>
    <n v="11767"/>
    <x v="3"/>
    <n v="43852.17"/>
    <x v="0"/>
    <n v="11"/>
    <x v="0"/>
    <d v="2024-08-26T00:00:00"/>
    <d v="2024-09-06T00:00:00"/>
    <x v="8"/>
  </r>
  <r>
    <n v="3909"/>
    <n v="15164"/>
    <x v="1"/>
    <n v="101765.86"/>
    <x v="0"/>
    <n v="14"/>
    <x v="0"/>
    <d v="2024-04-01T00:00:00"/>
    <d v="2024-04-15T00:00:00"/>
    <x v="10"/>
  </r>
  <r>
    <n v="3910"/>
    <n v="19708"/>
    <x v="2"/>
    <n v="180554.02"/>
    <x v="0"/>
    <n v="16"/>
    <x v="2"/>
    <d v="2024-11-11T00:00:00"/>
    <d v="2024-11-27T00:00:00"/>
    <x v="1"/>
  </r>
  <r>
    <n v="3911"/>
    <n v="11339"/>
    <x v="3"/>
    <n v="67859.240000000005"/>
    <x v="0"/>
    <n v="10"/>
    <x v="1"/>
    <d v="2024-11-18T00:00:00"/>
    <d v="2024-11-28T00:00:00"/>
    <x v="1"/>
  </r>
  <r>
    <n v="3912"/>
    <n v="19168"/>
    <x v="3"/>
    <n v="132142.85"/>
    <x v="0"/>
    <n v="28"/>
    <x v="3"/>
    <d v="2024-04-24T00:00:00"/>
    <d v="2024-05-22T00:00:00"/>
    <x v="10"/>
  </r>
  <r>
    <n v="3913"/>
    <n v="16466"/>
    <x v="0"/>
    <n v="143089.57999999999"/>
    <x v="0"/>
    <n v="9"/>
    <x v="2"/>
    <d v="2024-01-15T00:00:00"/>
    <d v="2024-01-24T00:00:00"/>
    <x v="0"/>
  </r>
  <r>
    <n v="3914"/>
    <n v="19806"/>
    <x v="3"/>
    <n v="156841.56"/>
    <x v="0"/>
    <n v="7"/>
    <x v="2"/>
    <d v="2024-09-28T00:00:00"/>
    <d v="2024-10-05T00:00:00"/>
    <x v="9"/>
  </r>
  <r>
    <n v="3915"/>
    <n v="19776"/>
    <x v="3"/>
    <n v="114965.27"/>
    <x v="0"/>
    <n v="37"/>
    <x v="2"/>
    <d v="2024-01-22T00:00:00"/>
    <d v="2024-02-28T00:00:00"/>
    <x v="0"/>
  </r>
  <r>
    <n v="3916"/>
    <n v="15463"/>
    <x v="3"/>
    <n v="83478.759999999995"/>
    <x v="0"/>
    <n v="25"/>
    <x v="3"/>
    <d v="2024-04-27T00:00:00"/>
    <d v="2024-05-22T00:00:00"/>
    <x v="10"/>
  </r>
  <r>
    <n v="3917"/>
    <n v="15490"/>
    <x v="3"/>
    <n v="193568.12"/>
    <x v="2"/>
    <m/>
    <x v="1"/>
    <d v="2024-04-04T00:00:00"/>
    <m/>
    <x v="10"/>
  </r>
  <r>
    <n v="3918"/>
    <n v="14061"/>
    <x v="2"/>
    <n v="124209.5"/>
    <x v="0"/>
    <n v="27"/>
    <x v="1"/>
    <d v="2024-09-13T00:00:00"/>
    <d v="2024-10-10T00:00:00"/>
    <x v="9"/>
  </r>
  <r>
    <n v="3919"/>
    <n v="17604"/>
    <x v="1"/>
    <n v="147070.22"/>
    <x v="1"/>
    <n v="37"/>
    <x v="1"/>
    <d v="2024-11-26T00:00:00"/>
    <d v="2025-01-02T00:00:00"/>
    <x v="1"/>
  </r>
  <r>
    <n v="3920"/>
    <n v="11270"/>
    <x v="1"/>
    <n v="72271.649999999994"/>
    <x v="0"/>
    <n v="22"/>
    <x v="0"/>
    <d v="2024-09-18T00:00:00"/>
    <d v="2024-10-10T00:00:00"/>
    <x v="9"/>
  </r>
  <r>
    <n v="3921"/>
    <n v="10218"/>
    <x v="2"/>
    <n v="135640.09"/>
    <x v="1"/>
    <n v="14"/>
    <x v="0"/>
    <d v="2024-03-27T00:00:00"/>
    <d v="2024-04-10T00:00:00"/>
    <x v="5"/>
  </r>
  <r>
    <n v="3922"/>
    <n v="10533"/>
    <x v="3"/>
    <n v="55270.54"/>
    <x v="0"/>
    <n v="12"/>
    <x v="0"/>
    <d v="2024-11-13T00:00:00"/>
    <d v="2024-11-25T00:00:00"/>
    <x v="1"/>
  </r>
  <r>
    <n v="3923"/>
    <n v="17951"/>
    <x v="3"/>
    <n v="52793.9"/>
    <x v="2"/>
    <m/>
    <x v="3"/>
    <d v="2024-02-27T00:00:00"/>
    <m/>
    <x v="4"/>
  </r>
  <r>
    <n v="3924"/>
    <n v="19687"/>
    <x v="3"/>
    <n v="144370.82999999999"/>
    <x v="0"/>
    <n v="15"/>
    <x v="0"/>
    <d v="2024-08-17T00:00:00"/>
    <d v="2024-09-01T00:00:00"/>
    <x v="8"/>
  </r>
  <r>
    <n v="3925"/>
    <n v="19565"/>
    <x v="3"/>
    <n v="106671.97"/>
    <x v="1"/>
    <n v="34"/>
    <x v="3"/>
    <d v="2024-04-17T00:00:00"/>
    <d v="2024-05-21T00:00:00"/>
    <x v="10"/>
  </r>
  <r>
    <n v="3926"/>
    <n v="13823"/>
    <x v="3"/>
    <n v="138238.94"/>
    <x v="0"/>
    <n v="3"/>
    <x v="1"/>
    <d v="2024-01-19T00:00:00"/>
    <d v="2024-01-22T00:00:00"/>
    <x v="0"/>
  </r>
  <r>
    <n v="3927"/>
    <n v="10064"/>
    <x v="2"/>
    <n v="57540.51"/>
    <x v="0"/>
    <n v="2"/>
    <x v="0"/>
    <d v="2024-12-30T00:00:00"/>
    <d v="2025-01-01T00:00:00"/>
    <x v="11"/>
  </r>
  <r>
    <n v="3928"/>
    <n v="14341"/>
    <x v="1"/>
    <n v="121751.05"/>
    <x v="0"/>
    <n v="12"/>
    <x v="0"/>
    <d v="2024-05-20T00:00:00"/>
    <d v="2024-06-01T00:00:00"/>
    <x v="3"/>
  </r>
  <r>
    <n v="3929"/>
    <n v="15082"/>
    <x v="3"/>
    <n v="91567.06"/>
    <x v="0"/>
    <n v="7"/>
    <x v="2"/>
    <d v="2024-06-08T00:00:00"/>
    <d v="2024-06-15T00:00:00"/>
    <x v="7"/>
  </r>
  <r>
    <n v="3930"/>
    <n v="19916"/>
    <x v="1"/>
    <n v="121407.26"/>
    <x v="0"/>
    <n v="33"/>
    <x v="3"/>
    <d v="2024-04-09T00:00:00"/>
    <d v="2024-05-12T00:00:00"/>
    <x v="10"/>
  </r>
  <r>
    <n v="3931"/>
    <n v="12985"/>
    <x v="1"/>
    <n v="61721.55"/>
    <x v="0"/>
    <n v="16"/>
    <x v="1"/>
    <d v="2024-09-21T00:00:00"/>
    <d v="2024-10-07T00:00:00"/>
    <x v="9"/>
  </r>
  <r>
    <n v="3932"/>
    <n v="15594"/>
    <x v="2"/>
    <n v="144512.94"/>
    <x v="0"/>
    <n v="13"/>
    <x v="2"/>
    <d v="2024-08-25T00:00:00"/>
    <d v="2024-09-07T00:00:00"/>
    <x v="8"/>
  </r>
  <r>
    <n v="3933"/>
    <n v="13913"/>
    <x v="0"/>
    <n v="162156.23000000001"/>
    <x v="2"/>
    <m/>
    <x v="2"/>
    <d v="2024-08-25T00:00:00"/>
    <m/>
    <x v="8"/>
  </r>
  <r>
    <n v="3934"/>
    <n v="19240"/>
    <x v="1"/>
    <n v="55683.71"/>
    <x v="0"/>
    <n v="30"/>
    <x v="1"/>
    <d v="2024-02-18T00:00:00"/>
    <d v="2024-03-19T00:00:00"/>
    <x v="4"/>
  </r>
  <r>
    <n v="3935"/>
    <n v="18017"/>
    <x v="1"/>
    <n v="63621.01"/>
    <x v="1"/>
    <n v="23"/>
    <x v="2"/>
    <d v="2024-06-13T00:00:00"/>
    <d v="2024-07-06T00:00:00"/>
    <x v="7"/>
  </r>
  <r>
    <n v="3936"/>
    <n v="14255"/>
    <x v="1"/>
    <n v="133925.07999999999"/>
    <x v="0"/>
    <n v="15"/>
    <x v="3"/>
    <d v="2024-10-13T00:00:00"/>
    <d v="2024-10-28T00:00:00"/>
    <x v="6"/>
  </r>
  <r>
    <n v="3937"/>
    <n v="11004"/>
    <x v="1"/>
    <n v="140639.10999999999"/>
    <x v="0"/>
    <n v="20"/>
    <x v="3"/>
    <d v="2024-02-28T00:00:00"/>
    <d v="2024-03-19T00:00:00"/>
    <x v="4"/>
  </r>
  <r>
    <n v="3938"/>
    <n v="12122"/>
    <x v="3"/>
    <n v="142299.44"/>
    <x v="2"/>
    <m/>
    <x v="0"/>
    <d v="2024-07-01T00:00:00"/>
    <m/>
    <x v="2"/>
  </r>
  <r>
    <n v="3939"/>
    <n v="16696"/>
    <x v="3"/>
    <n v="138126.21"/>
    <x v="1"/>
    <n v="36"/>
    <x v="2"/>
    <d v="2024-05-26T00:00:00"/>
    <d v="2024-07-01T00:00:00"/>
    <x v="3"/>
  </r>
  <r>
    <n v="3940"/>
    <n v="13981"/>
    <x v="1"/>
    <n v="81597.5"/>
    <x v="1"/>
    <n v="26"/>
    <x v="0"/>
    <d v="2024-10-27T00:00:00"/>
    <d v="2024-11-22T00:00:00"/>
    <x v="6"/>
  </r>
  <r>
    <n v="3941"/>
    <n v="10471"/>
    <x v="3"/>
    <n v="81996.47"/>
    <x v="0"/>
    <n v="39"/>
    <x v="2"/>
    <d v="2024-04-05T00:00:00"/>
    <d v="2024-05-14T00:00:00"/>
    <x v="10"/>
  </r>
  <r>
    <n v="3942"/>
    <n v="13405"/>
    <x v="3"/>
    <n v="54689.440000000002"/>
    <x v="0"/>
    <n v="10"/>
    <x v="3"/>
    <d v="2024-02-12T00:00:00"/>
    <d v="2024-02-22T00:00:00"/>
    <x v="4"/>
  </r>
  <r>
    <n v="3943"/>
    <n v="10308"/>
    <x v="1"/>
    <n v="35582.57"/>
    <x v="0"/>
    <n v="8"/>
    <x v="3"/>
    <d v="2024-12-19T00:00:00"/>
    <d v="2024-12-27T00:00:00"/>
    <x v="11"/>
  </r>
  <r>
    <n v="3944"/>
    <n v="17695"/>
    <x v="3"/>
    <n v="140052.59"/>
    <x v="0"/>
    <n v="19"/>
    <x v="3"/>
    <d v="2024-09-13T00:00:00"/>
    <d v="2024-10-02T00:00:00"/>
    <x v="9"/>
  </r>
  <r>
    <n v="3945"/>
    <n v="17707"/>
    <x v="1"/>
    <n v="23171.81"/>
    <x v="0"/>
    <n v="3"/>
    <x v="2"/>
    <d v="2024-07-31T00:00:00"/>
    <d v="2024-08-03T00:00:00"/>
    <x v="2"/>
  </r>
  <r>
    <n v="3946"/>
    <n v="13047"/>
    <x v="1"/>
    <n v="187869.5"/>
    <x v="1"/>
    <n v="11"/>
    <x v="3"/>
    <d v="2024-07-07T00:00:00"/>
    <d v="2024-07-18T00:00:00"/>
    <x v="2"/>
  </r>
  <r>
    <n v="3947"/>
    <n v="12017"/>
    <x v="2"/>
    <n v="166203.82999999999"/>
    <x v="1"/>
    <n v="3"/>
    <x v="2"/>
    <d v="2024-05-10T00:00:00"/>
    <d v="2024-05-13T00:00:00"/>
    <x v="3"/>
  </r>
  <r>
    <n v="3948"/>
    <n v="14881"/>
    <x v="3"/>
    <n v="172213.62"/>
    <x v="0"/>
    <n v="9"/>
    <x v="0"/>
    <d v="2024-12-12T00:00:00"/>
    <d v="2024-12-21T00:00:00"/>
    <x v="11"/>
  </r>
  <r>
    <n v="3949"/>
    <n v="11478"/>
    <x v="3"/>
    <n v="181800.42"/>
    <x v="0"/>
    <n v="8"/>
    <x v="2"/>
    <d v="2024-10-26T00:00:00"/>
    <d v="2024-11-03T00:00:00"/>
    <x v="6"/>
  </r>
  <r>
    <n v="3950"/>
    <n v="14197"/>
    <x v="1"/>
    <n v="84677.97"/>
    <x v="1"/>
    <n v="36"/>
    <x v="0"/>
    <d v="2024-10-15T00:00:00"/>
    <d v="2024-11-20T00:00:00"/>
    <x v="6"/>
  </r>
  <r>
    <n v="3951"/>
    <n v="17721"/>
    <x v="0"/>
    <n v="170106.64"/>
    <x v="0"/>
    <n v="24"/>
    <x v="2"/>
    <d v="2024-05-16T00:00:00"/>
    <d v="2024-06-09T00:00:00"/>
    <x v="3"/>
  </r>
  <r>
    <n v="3952"/>
    <n v="14870"/>
    <x v="2"/>
    <n v="35821.949999999997"/>
    <x v="0"/>
    <n v="9"/>
    <x v="0"/>
    <d v="2024-01-30T00:00:00"/>
    <d v="2024-02-08T00:00:00"/>
    <x v="0"/>
  </r>
  <r>
    <n v="3953"/>
    <n v="13459"/>
    <x v="3"/>
    <n v="9220.15"/>
    <x v="0"/>
    <n v="22"/>
    <x v="3"/>
    <d v="2024-05-25T00:00:00"/>
    <d v="2024-06-16T00:00:00"/>
    <x v="3"/>
  </r>
  <r>
    <n v="3954"/>
    <n v="19423"/>
    <x v="3"/>
    <n v="158053.82"/>
    <x v="0"/>
    <n v="34"/>
    <x v="0"/>
    <d v="2024-11-07T00:00:00"/>
    <d v="2024-12-11T00:00:00"/>
    <x v="1"/>
  </r>
  <r>
    <n v="3955"/>
    <n v="15434"/>
    <x v="2"/>
    <n v="19585.349999999999"/>
    <x v="2"/>
    <m/>
    <x v="3"/>
    <d v="2024-04-14T00:00:00"/>
    <m/>
    <x v="10"/>
  </r>
  <r>
    <n v="3956"/>
    <n v="10571"/>
    <x v="3"/>
    <n v="197762.31"/>
    <x v="0"/>
    <n v="13"/>
    <x v="3"/>
    <d v="2024-10-13T00:00:00"/>
    <d v="2024-10-26T00:00:00"/>
    <x v="6"/>
  </r>
  <r>
    <n v="3957"/>
    <n v="13589"/>
    <x v="1"/>
    <n v="136585.29999999999"/>
    <x v="0"/>
    <n v="12"/>
    <x v="0"/>
    <d v="2024-07-09T00:00:00"/>
    <d v="2024-07-21T00:00:00"/>
    <x v="2"/>
  </r>
  <r>
    <n v="3958"/>
    <n v="18339"/>
    <x v="3"/>
    <n v="151922.69"/>
    <x v="0"/>
    <n v="31"/>
    <x v="2"/>
    <d v="2024-06-26T00:00:00"/>
    <d v="2024-07-27T00:00:00"/>
    <x v="7"/>
  </r>
  <r>
    <n v="3959"/>
    <n v="15918"/>
    <x v="3"/>
    <n v="52931.75"/>
    <x v="2"/>
    <m/>
    <x v="2"/>
    <d v="2024-12-10T00:00:00"/>
    <m/>
    <x v="11"/>
  </r>
  <r>
    <n v="3960"/>
    <n v="10596"/>
    <x v="3"/>
    <n v="136403.75"/>
    <x v="1"/>
    <n v="35"/>
    <x v="1"/>
    <d v="2024-08-26T00:00:00"/>
    <d v="2024-09-30T00:00:00"/>
    <x v="8"/>
  </r>
  <r>
    <n v="3961"/>
    <n v="15073"/>
    <x v="3"/>
    <n v="13427.89"/>
    <x v="0"/>
    <n v="24"/>
    <x v="2"/>
    <d v="2024-01-01T00:00:00"/>
    <d v="2024-01-25T00:00:00"/>
    <x v="0"/>
  </r>
  <r>
    <n v="3962"/>
    <n v="11070"/>
    <x v="1"/>
    <n v="168376.02"/>
    <x v="0"/>
    <n v="33"/>
    <x v="1"/>
    <d v="2024-04-19T00:00:00"/>
    <d v="2024-05-22T00:00:00"/>
    <x v="10"/>
  </r>
  <r>
    <n v="3963"/>
    <n v="14250"/>
    <x v="2"/>
    <n v="38076.699999999997"/>
    <x v="0"/>
    <n v="4"/>
    <x v="2"/>
    <d v="2024-12-03T00:00:00"/>
    <d v="2024-12-07T00:00:00"/>
    <x v="11"/>
  </r>
  <r>
    <n v="3964"/>
    <n v="14325"/>
    <x v="3"/>
    <n v="140984.82"/>
    <x v="0"/>
    <n v="29"/>
    <x v="2"/>
    <d v="2024-10-01T00:00:00"/>
    <d v="2024-10-30T00:00:00"/>
    <x v="6"/>
  </r>
  <r>
    <n v="3965"/>
    <n v="13371"/>
    <x v="0"/>
    <n v="48773.7"/>
    <x v="0"/>
    <n v="5"/>
    <x v="3"/>
    <d v="2024-08-21T00:00:00"/>
    <d v="2024-08-26T00:00:00"/>
    <x v="8"/>
  </r>
  <r>
    <n v="3966"/>
    <n v="10157"/>
    <x v="3"/>
    <n v="18348.37"/>
    <x v="0"/>
    <n v="13"/>
    <x v="1"/>
    <d v="2024-03-04T00:00:00"/>
    <d v="2024-03-17T00:00:00"/>
    <x v="5"/>
  </r>
  <r>
    <n v="3967"/>
    <n v="19114"/>
    <x v="1"/>
    <n v="98891.27"/>
    <x v="0"/>
    <n v="25"/>
    <x v="2"/>
    <d v="2024-08-31T00:00:00"/>
    <d v="2024-09-25T00:00:00"/>
    <x v="8"/>
  </r>
  <r>
    <n v="3968"/>
    <n v="13318"/>
    <x v="3"/>
    <n v="38010.81"/>
    <x v="0"/>
    <n v="34"/>
    <x v="1"/>
    <d v="2024-02-22T00:00:00"/>
    <d v="2024-03-27T00:00:00"/>
    <x v="4"/>
  </r>
  <r>
    <n v="3969"/>
    <n v="16711"/>
    <x v="2"/>
    <n v="147241.57999999999"/>
    <x v="0"/>
    <n v="4"/>
    <x v="3"/>
    <d v="2024-09-18T00:00:00"/>
    <d v="2024-09-22T00:00:00"/>
    <x v="9"/>
  </r>
  <r>
    <n v="3970"/>
    <n v="17221"/>
    <x v="1"/>
    <n v="51325.34"/>
    <x v="1"/>
    <n v="5"/>
    <x v="3"/>
    <d v="2024-01-17T00:00:00"/>
    <d v="2024-01-22T00:00:00"/>
    <x v="0"/>
  </r>
  <r>
    <n v="3971"/>
    <n v="19438"/>
    <x v="1"/>
    <n v="71782.149999999994"/>
    <x v="0"/>
    <n v="31"/>
    <x v="1"/>
    <d v="2024-10-28T00:00:00"/>
    <d v="2024-11-28T00:00:00"/>
    <x v="6"/>
  </r>
  <r>
    <n v="3972"/>
    <n v="18957"/>
    <x v="0"/>
    <n v="115650.65"/>
    <x v="0"/>
    <n v="7"/>
    <x v="3"/>
    <d v="2024-08-21T00:00:00"/>
    <d v="2024-08-28T00:00:00"/>
    <x v="8"/>
  </r>
  <r>
    <n v="3973"/>
    <n v="12612"/>
    <x v="1"/>
    <n v="60568.81"/>
    <x v="2"/>
    <m/>
    <x v="0"/>
    <d v="2024-03-13T00:00:00"/>
    <m/>
    <x v="5"/>
  </r>
  <r>
    <n v="3974"/>
    <n v="14562"/>
    <x v="2"/>
    <n v="78707.679999999993"/>
    <x v="0"/>
    <n v="9"/>
    <x v="0"/>
    <d v="2024-12-22T00:00:00"/>
    <d v="2024-12-31T00:00:00"/>
    <x v="11"/>
  </r>
  <r>
    <n v="3975"/>
    <n v="10443"/>
    <x v="1"/>
    <n v="164046.25"/>
    <x v="1"/>
    <n v="19"/>
    <x v="3"/>
    <d v="2024-03-31T00:00:00"/>
    <d v="2024-04-19T00:00:00"/>
    <x v="5"/>
  </r>
  <r>
    <n v="3976"/>
    <n v="15973"/>
    <x v="2"/>
    <n v="39945.919999999998"/>
    <x v="0"/>
    <n v="17"/>
    <x v="0"/>
    <d v="2024-01-06T00:00:00"/>
    <d v="2024-01-23T00:00:00"/>
    <x v="0"/>
  </r>
  <r>
    <n v="3977"/>
    <n v="10904"/>
    <x v="1"/>
    <n v="21029.31"/>
    <x v="0"/>
    <n v="7"/>
    <x v="2"/>
    <d v="2024-07-16T00:00:00"/>
    <d v="2024-07-23T00:00:00"/>
    <x v="2"/>
  </r>
  <r>
    <n v="3978"/>
    <n v="12910"/>
    <x v="3"/>
    <n v="69029.77"/>
    <x v="1"/>
    <n v="25"/>
    <x v="1"/>
    <d v="2024-12-30T00:00:00"/>
    <d v="2025-01-24T00:00:00"/>
    <x v="11"/>
  </r>
  <r>
    <n v="3979"/>
    <n v="11801"/>
    <x v="1"/>
    <n v="87753.47"/>
    <x v="0"/>
    <n v="29"/>
    <x v="2"/>
    <d v="2024-07-14T00:00:00"/>
    <d v="2024-08-12T00:00:00"/>
    <x v="2"/>
  </r>
  <r>
    <n v="3980"/>
    <n v="10925"/>
    <x v="3"/>
    <n v="110818.56"/>
    <x v="1"/>
    <n v="33"/>
    <x v="1"/>
    <d v="2024-10-22T00:00:00"/>
    <d v="2024-11-24T00:00:00"/>
    <x v="6"/>
  </r>
  <r>
    <n v="3981"/>
    <n v="17851"/>
    <x v="1"/>
    <n v="77622.62"/>
    <x v="0"/>
    <n v="26"/>
    <x v="3"/>
    <d v="2024-12-12T00:00:00"/>
    <d v="2025-01-07T00:00:00"/>
    <x v="11"/>
  </r>
  <r>
    <n v="3982"/>
    <n v="15930"/>
    <x v="3"/>
    <n v="159032.78"/>
    <x v="0"/>
    <n v="29"/>
    <x v="2"/>
    <d v="2024-11-17T00:00:00"/>
    <d v="2024-12-16T00:00:00"/>
    <x v="1"/>
  </r>
  <r>
    <n v="3983"/>
    <n v="18943"/>
    <x v="1"/>
    <n v="12667.3"/>
    <x v="0"/>
    <n v="22"/>
    <x v="3"/>
    <d v="2024-05-16T00:00:00"/>
    <d v="2024-06-07T00:00:00"/>
    <x v="3"/>
  </r>
  <r>
    <n v="3984"/>
    <n v="19426"/>
    <x v="3"/>
    <n v="89194.67"/>
    <x v="0"/>
    <n v="9"/>
    <x v="3"/>
    <d v="2024-09-23T00:00:00"/>
    <d v="2024-10-02T00:00:00"/>
    <x v="9"/>
  </r>
  <r>
    <n v="3985"/>
    <n v="12922"/>
    <x v="3"/>
    <n v="79539.899999999994"/>
    <x v="0"/>
    <n v="37"/>
    <x v="1"/>
    <d v="2024-04-25T00:00:00"/>
    <d v="2024-06-01T00:00:00"/>
    <x v="10"/>
  </r>
  <r>
    <n v="3986"/>
    <n v="18854"/>
    <x v="3"/>
    <n v="131277.81"/>
    <x v="0"/>
    <n v="10"/>
    <x v="1"/>
    <d v="2024-02-12T00:00:00"/>
    <d v="2024-02-22T00:00:00"/>
    <x v="4"/>
  </r>
  <r>
    <n v="3987"/>
    <n v="17555"/>
    <x v="2"/>
    <n v="193423.87"/>
    <x v="0"/>
    <n v="41"/>
    <x v="1"/>
    <d v="2024-08-18T00:00:00"/>
    <d v="2024-09-28T00:00:00"/>
    <x v="8"/>
  </r>
  <r>
    <n v="3988"/>
    <n v="19776"/>
    <x v="3"/>
    <n v="104523.2"/>
    <x v="0"/>
    <n v="22"/>
    <x v="2"/>
    <d v="2024-02-27T00:00:00"/>
    <d v="2024-03-20T00:00:00"/>
    <x v="4"/>
  </r>
  <r>
    <n v="3989"/>
    <n v="10919"/>
    <x v="3"/>
    <n v="197440.99"/>
    <x v="1"/>
    <n v="2"/>
    <x v="0"/>
    <d v="2024-07-24T00:00:00"/>
    <d v="2024-07-26T00:00:00"/>
    <x v="2"/>
  </r>
  <r>
    <n v="3990"/>
    <n v="15004"/>
    <x v="1"/>
    <n v="63938.63"/>
    <x v="0"/>
    <n v="5"/>
    <x v="1"/>
    <d v="2024-10-20T00:00:00"/>
    <d v="2024-10-25T00:00:00"/>
    <x v="6"/>
  </r>
  <r>
    <n v="3991"/>
    <n v="14219"/>
    <x v="1"/>
    <n v="11019.29"/>
    <x v="2"/>
    <m/>
    <x v="1"/>
    <d v="2024-04-03T00:00:00"/>
    <m/>
    <x v="10"/>
  </r>
  <r>
    <n v="3992"/>
    <n v="18259"/>
    <x v="3"/>
    <n v="37304.32"/>
    <x v="0"/>
    <n v="27"/>
    <x v="2"/>
    <d v="2024-02-05T00:00:00"/>
    <d v="2024-03-03T00:00:00"/>
    <x v="4"/>
  </r>
  <r>
    <n v="3993"/>
    <n v="14570"/>
    <x v="3"/>
    <n v="82049.350000000006"/>
    <x v="0"/>
    <n v="41"/>
    <x v="1"/>
    <d v="2024-08-17T00:00:00"/>
    <d v="2024-09-27T00:00:00"/>
    <x v="8"/>
  </r>
  <r>
    <n v="3994"/>
    <n v="14453"/>
    <x v="3"/>
    <n v="66685.11"/>
    <x v="1"/>
    <n v="4"/>
    <x v="2"/>
    <d v="2024-08-14T00:00:00"/>
    <d v="2024-08-18T00:00:00"/>
    <x v="8"/>
  </r>
  <r>
    <n v="3995"/>
    <n v="19958"/>
    <x v="2"/>
    <n v="23925.56"/>
    <x v="0"/>
    <n v="10"/>
    <x v="3"/>
    <d v="2024-07-01T00:00:00"/>
    <d v="2024-07-11T00:00:00"/>
    <x v="2"/>
  </r>
  <r>
    <n v="3996"/>
    <n v="15575"/>
    <x v="3"/>
    <n v="89368.72"/>
    <x v="0"/>
    <n v="33"/>
    <x v="1"/>
    <d v="2024-09-18T00:00:00"/>
    <d v="2024-10-21T00:00:00"/>
    <x v="9"/>
  </r>
  <r>
    <n v="3997"/>
    <n v="11953"/>
    <x v="3"/>
    <n v="70932.58"/>
    <x v="0"/>
    <n v="4"/>
    <x v="1"/>
    <d v="2024-05-10T00:00:00"/>
    <d v="2024-05-14T00:00:00"/>
    <x v="3"/>
  </r>
  <r>
    <n v="3998"/>
    <n v="12568"/>
    <x v="3"/>
    <n v="28910.75"/>
    <x v="0"/>
    <n v="5"/>
    <x v="3"/>
    <d v="2024-03-05T00:00:00"/>
    <d v="2024-03-10T00:00:00"/>
    <x v="5"/>
  </r>
  <r>
    <n v="3999"/>
    <n v="17945"/>
    <x v="3"/>
    <n v="62742.84"/>
    <x v="0"/>
    <n v="7"/>
    <x v="3"/>
    <d v="2024-07-04T00:00:00"/>
    <d v="2024-07-11T00:00:00"/>
    <x v="2"/>
  </r>
  <r>
    <n v="4000"/>
    <n v="13708"/>
    <x v="1"/>
    <n v="177855.03"/>
    <x v="2"/>
    <m/>
    <x v="3"/>
    <d v="2024-04-26T00:00:00"/>
    <m/>
    <x v="10"/>
  </r>
  <r>
    <n v="4001"/>
    <n v="14928"/>
    <x v="3"/>
    <n v="63899.53"/>
    <x v="0"/>
    <n v="27"/>
    <x v="1"/>
    <d v="2024-07-04T00:00:00"/>
    <d v="2024-07-31T00:00:00"/>
    <x v="2"/>
  </r>
  <r>
    <n v="4002"/>
    <n v="13399"/>
    <x v="3"/>
    <n v="144221.31"/>
    <x v="1"/>
    <n v="3"/>
    <x v="0"/>
    <d v="2024-09-30T00:00:00"/>
    <d v="2024-10-03T00:00:00"/>
    <x v="9"/>
  </r>
  <r>
    <n v="4003"/>
    <n v="19545"/>
    <x v="3"/>
    <n v="124349.18"/>
    <x v="0"/>
    <n v="3"/>
    <x v="0"/>
    <d v="2024-05-30T00:00:00"/>
    <d v="2024-06-02T00:00:00"/>
    <x v="3"/>
  </r>
  <r>
    <n v="4004"/>
    <n v="16570"/>
    <x v="3"/>
    <n v="88300.33"/>
    <x v="0"/>
    <n v="22"/>
    <x v="0"/>
    <d v="2024-12-17T00:00:00"/>
    <d v="2025-01-08T00:00:00"/>
    <x v="11"/>
  </r>
  <r>
    <n v="4005"/>
    <n v="10442"/>
    <x v="3"/>
    <n v="51610"/>
    <x v="0"/>
    <n v="23"/>
    <x v="1"/>
    <d v="2024-05-30T00:00:00"/>
    <d v="2024-06-22T00:00:00"/>
    <x v="3"/>
  </r>
  <r>
    <n v="4006"/>
    <n v="10600"/>
    <x v="0"/>
    <n v="76957.87"/>
    <x v="1"/>
    <n v="4"/>
    <x v="3"/>
    <d v="2024-02-05T00:00:00"/>
    <d v="2024-02-09T00:00:00"/>
    <x v="4"/>
  </r>
  <r>
    <n v="4007"/>
    <n v="14582"/>
    <x v="1"/>
    <n v="120460.91"/>
    <x v="1"/>
    <n v="36"/>
    <x v="1"/>
    <d v="2024-11-21T00:00:00"/>
    <d v="2024-12-27T00:00:00"/>
    <x v="1"/>
  </r>
  <r>
    <n v="4008"/>
    <n v="12786"/>
    <x v="2"/>
    <n v="73396.88"/>
    <x v="0"/>
    <n v="39"/>
    <x v="3"/>
    <d v="2024-04-04T00:00:00"/>
    <d v="2024-05-13T00:00:00"/>
    <x v="10"/>
  </r>
  <r>
    <n v="4009"/>
    <n v="12695"/>
    <x v="0"/>
    <n v="46904.800000000003"/>
    <x v="0"/>
    <n v="34"/>
    <x v="1"/>
    <d v="2024-05-13T00:00:00"/>
    <d v="2024-06-16T00:00:00"/>
    <x v="3"/>
  </r>
  <r>
    <n v="4010"/>
    <n v="12052"/>
    <x v="1"/>
    <n v="27710.240000000002"/>
    <x v="0"/>
    <n v="16"/>
    <x v="1"/>
    <d v="2024-06-10T00:00:00"/>
    <d v="2024-06-26T00:00:00"/>
    <x v="7"/>
  </r>
  <r>
    <n v="4011"/>
    <n v="10631"/>
    <x v="3"/>
    <n v="176554.55"/>
    <x v="0"/>
    <n v="12"/>
    <x v="3"/>
    <d v="2024-02-13T00:00:00"/>
    <d v="2024-02-25T00:00:00"/>
    <x v="4"/>
  </r>
  <r>
    <n v="4012"/>
    <n v="13442"/>
    <x v="1"/>
    <n v="90861.03"/>
    <x v="0"/>
    <n v="11"/>
    <x v="0"/>
    <d v="2024-10-26T00:00:00"/>
    <d v="2024-11-06T00:00:00"/>
    <x v="6"/>
  </r>
  <r>
    <n v="4013"/>
    <n v="11754"/>
    <x v="0"/>
    <n v="126915.62"/>
    <x v="1"/>
    <n v="37"/>
    <x v="3"/>
    <d v="2024-10-09T00:00:00"/>
    <d v="2024-11-15T00:00:00"/>
    <x v="6"/>
  </r>
  <r>
    <n v="4014"/>
    <n v="17020"/>
    <x v="1"/>
    <n v="100630.02"/>
    <x v="0"/>
    <n v="15"/>
    <x v="2"/>
    <d v="2024-12-21T00:00:00"/>
    <d v="2025-01-05T00:00:00"/>
    <x v="11"/>
  </r>
  <r>
    <n v="4015"/>
    <n v="19770"/>
    <x v="1"/>
    <n v="175150.47"/>
    <x v="1"/>
    <n v="3"/>
    <x v="2"/>
    <d v="2024-08-27T00:00:00"/>
    <d v="2024-08-30T00:00:00"/>
    <x v="8"/>
  </r>
  <r>
    <n v="4016"/>
    <n v="10025"/>
    <x v="3"/>
    <n v="111652.3"/>
    <x v="0"/>
    <n v="38"/>
    <x v="3"/>
    <d v="2024-02-21T00:00:00"/>
    <d v="2024-03-30T00:00:00"/>
    <x v="4"/>
  </r>
  <r>
    <n v="4017"/>
    <n v="17946"/>
    <x v="0"/>
    <n v="98752.38"/>
    <x v="0"/>
    <n v="30"/>
    <x v="1"/>
    <d v="2024-10-07T00:00:00"/>
    <d v="2024-11-06T00:00:00"/>
    <x v="6"/>
  </r>
  <r>
    <n v="4018"/>
    <n v="17297"/>
    <x v="1"/>
    <n v="185297.19"/>
    <x v="0"/>
    <n v="36"/>
    <x v="2"/>
    <d v="2024-03-14T00:00:00"/>
    <d v="2024-04-19T00:00:00"/>
    <x v="5"/>
  </r>
  <r>
    <n v="4019"/>
    <n v="16553"/>
    <x v="2"/>
    <n v="145339.47"/>
    <x v="1"/>
    <n v="21"/>
    <x v="2"/>
    <d v="2024-10-21T00:00:00"/>
    <d v="2024-11-11T00:00:00"/>
    <x v="6"/>
  </r>
  <r>
    <n v="4020"/>
    <n v="15759"/>
    <x v="3"/>
    <n v="26752.23"/>
    <x v="1"/>
    <n v="22"/>
    <x v="1"/>
    <d v="2024-08-25T00:00:00"/>
    <d v="2024-09-16T00:00:00"/>
    <x v="8"/>
  </r>
  <r>
    <n v="4021"/>
    <n v="17755"/>
    <x v="3"/>
    <n v="39652.370000000003"/>
    <x v="0"/>
    <n v="35"/>
    <x v="1"/>
    <d v="2024-06-15T00:00:00"/>
    <d v="2024-07-20T00:00:00"/>
    <x v="7"/>
  </r>
  <r>
    <n v="4022"/>
    <n v="11129"/>
    <x v="3"/>
    <n v="158488.95999999999"/>
    <x v="0"/>
    <n v="44"/>
    <x v="0"/>
    <d v="2024-05-19T00:00:00"/>
    <d v="2024-07-02T00:00:00"/>
    <x v="3"/>
  </r>
  <r>
    <n v="4023"/>
    <n v="14996"/>
    <x v="1"/>
    <n v="167991.01"/>
    <x v="0"/>
    <n v="34"/>
    <x v="1"/>
    <d v="2024-05-18T00:00:00"/>
    <d v="2024-06-21T00:00:00"/>
    <x v="3"/>
  </r>
  <r>
    <n v="4024"/>
    <n v="14145"/>
    <x v="3"/>
    <n v="111312.21"/>
    <x v="0"/>
    <n v="20"/>
    <x v="3"/>
    <d v="2024-08-22T00:00:00"/>
    <d v="2024-09-11T00:00:00"/>
    <x v="8"/>
  </r>
  <r>
    <n v="4025"/>
    <n v="15641"/>
    <x v="3"/>
    <n v="113118.77"/>
    <x v="0"/>
    <n v="9"/>
    <x v="3"/>
    <d v="2024-01-03T00:00:00"/>
    <d v="2024-01-12T00:00:00"/>
    <x v="0"/>
  </r>
  <r>
    <n v="4026"/>
    <n v="18633"/>
    <x v="2"/>
    <n v="128226.93"/>
    <x v="1"/>
    <n v="32"/>
    <x v="0"/>
    <d v="2024-09-12T00:00:00"/>
    <d v="2024-10-14T00:00:00"/>
    <x v="9"/>
  </r>
  <r>
    <n v="4027"/>
    <n v="15897"/>
    <x v="3"/>
    <n v="90627.58"/>
    <x v="0"/>
    <n v="12"/>
    <x v="2"/>
    <d v="2024-10-04T00:00:00"/>
    <d v="2024-10-16T00:00:00"/>
    <x v="6"/>
  </r>
  <r>
    <n v="4028"/>
    <n v="17369"/>
    <x v="0"/>
    <n v="137638.82999999999"/>
    <x v="1"/>
    <n v="9"/>
    <x v="2"/>
    <d v="2024-01-04T00:00:00"/>
    <d v="2024-01-13T00:00:00"/>
    <x v="0"/>
  </r>
  <r>
    <n v="4029"/>
    <n v="13895"/>
    <x v="3"/>
    <n v="26153.85"/>
    <x v="0"/>
    <n v="26"/>
    <x v="1"/>
    <d v="2024-09-26T00:00:00"/>
    <d v="2024-10-22T00:00:00"/>
    <x v="9"/>
  </r>
  <r>
    <n v="4030"/>
    <n v="14797"/>
    <x v="0"/>
    <n v="192449.45"/>
    <x v="0"/>
    <n v="21"/>
    <x v="3"/>
    <d v="2024-07-30T00:00:00"/>
    <d v="2024-08-20T00:00:00"/>
    <x v="2"/>
  </r>
  <r>
    <n v="4031"/>
    <n v="11828"/>
    <x v="1"/>
    <n v="151280.19"/>
    <x v="2"/>
    <m/>
    <x v="2"/>
    <d v="2024-08-03T00:00:00"/>
    <m/>
    <x v="8"/>
  </r>
  <r>
    <n v="4032"/>
    <n v="19727"/>
    <x v="2"/>
    <n v="128078.97"/>
    <x v="0"/>
    <n v="8"/>
    <x v="0"/>
    <d v="2024-09-26T00:00:00"/>
    <d v="2024-10-04T00:00:00"/>
    <x v="9"/>
  </r>
  <r>
    <n v="4033"/>
    <n v="10559"/>
    <x v="2"/>
    <n v="66682.8"/>
    <x v="2"/>
    <m/>
    <x v="0"/>
    <d v="2024-01-16T00:00:00"/>
    <m/>
    <x v="0"/>
  </r>
  <r>
    <n v="4034"/>
    <n v="19365"/>
    <x v="3"/>
    <n v="36386.32"/>
    <x v="0"/>
    <n v="40"/>
    <x v="3"/>
    <d v="2024-03-04T00:00:00"/>
    <d v="2024-04-13T00:00:00"/>
    <x v="5"/>
  </r>
  <r>
    <n v="4035"/>
    <n v="19276"/>
    <x v="3"/>
    <n v="84821.88"/>
    <x v="0"/>
    <n v="44"/>
    <x v="0"/>
    <d v="2024-08-26T00:00:00"/>
    <d v="2024-10-09T00:00:00"/>
    <x v="8"/>
  </r>
  <r>
    <n v="4036"/>
    <n v="13914"/>
    <x v="3"/>
    <n v="134007.46"/>
    <x v="1"/>
    <n v="11"/>
    <x v="0"/>
    <d v="2024-01-16T00:00:00"/>
    <d v="2024-01-27T00:00:00"/>
    <x v="0"/>
  </r>
  <r>
    <n v="4037"/>
    <n v="18430"/>
    <x v="1"/>
    <n v="128573.4"/>
    <x v="2"/>
    <m/>
    <x v="3"/>
    <d v="2024-02-21T00:00:00"/>
    <m/>
    <x v="4"/>
  </r>
  <r>
    <n v="4038"/>
    <n v="18050"/>
    <x v="0"/>
    <n v="79615.03"/>
    <x v="0"/>
    <n v="43"/>
    <x v="1"/>
    <d v="2024-01-19T00:00:00"/>
    <d v="2024-03-02T00:00:00"/>
    <x v="0"/>
  </r>
  <r>
    <n v="4039"/>
    <n v="19663"/>
    <x v="3"/>
    <n v="124590.85"/>
    <x v="0"/>
    <n v="44"/>
    <x v="1"/>
    <d v="2024-11-20T00:00:00"/>
    <d v="2025-01-03T00:00:00"/>
    <x v="1"/>
  </r>
  <r>
    <n v="4040"/>
    <n v="16900"/>
    <x v="1"/>
    <n v="163680.92000000001"/>
    <x v="1"/>
    <n v="21"/>
    <x v="0"/>
    <d v="2024-04-02T00:00:00"/>
    <d v="2024-04-23T00:00:00"/>
    <x v="10"/>
  </r>
  <r>
    <n v="4041"/>
    <n v="15587"/>
    <x v="3"/>
    <n v="10125.530000000001"/>
    <x v="1"/>
    <n v="18"/>
    <x v="1"/>
    <d v="2024-09-17T00:00:00"/>
    <d v="2024-10-05T00:00:00"/>
    <x v="9"/>
  </r>
  <r>
    <n v="4042"/>
    <n v="15412"/>
    <x v="0"/>
    <n v="92871.1"/>
    <x v="0"/>
    <n v="12"/>
    <x v="1"/>
    <d v="2024-10-24T00:00:00"/>
    <d v="2024-11-05T00:00:00"/>
    <x v="6"/>
  </r>
  <r>
    <n v="4043"/>
    <n v="14612"/>
    <x v="2"/>
    <n v="152918.26999999999"/>
    <x v="1"/>
    <n v="17"/>
    <x v="0"/>
    <d v="2024-01-17T00:00:00"/>
    <d v="2024-02-03T00:00:00"/>
    <x v="0"/>
  </r>
  <r>
    <n v="4044"/>
    <n v="13683"/>
    <x v="3"/>
    <n v="111498.17"/>
    <x v="0"/>
    <n v="38"/>
    <x v="1"/>
    <d v="2024-04-20T00:00:00"/>
    <d v="2024-05-28T00:00:00"/>
    <x v="10"/>
  </r>
  <r>
    <n v="4045"/>
    <n v="18396"/>
    <x v="3"/>
    <n v="132037.84"/>
    <x v="0"/>
    <n v="43"/>
    <x v="0"/>
    <d v="2024-11-23T00:00:00"/>
    <d v="2025-01-05T00:00:00"/>
    <x v="1"/>
  </r>
  <r>
    <n v="4046"/>
    <n v="17347"/>
    <x v="3"/>
    <n v="105751.9"/>
    <x v="0"/>
    <n v="33"/>
    <x v="2"/>
    <d v="2024-12-25T00:00:00"/>
    <d v="2025-01-27T00:00:00"/>
    <x v="11"/>
  </r>
  <r>
    <n v="4047"/>
    <n v="13600"/>
    <x v="1"/>
    <n v="198415.54"/>
    <x v="0"/>
    <n v="27"/>
    <x v="3"/>
    <d v="2024-04-03T00:00:00"/>
    <d v="2024-04-30T00:00:00"/>
    <x v="10"/>
  </r>
  <r>
    <n v="4048"/>
    <n v="16643"/>
    <x v="1"/>
    <n v="15651.2"/>
    <x v="2"/>
    <m/>
    <x v="3"/>
    <d v="2024-01-10T00:00:00"/>
    <m/>
    <x v="0"/>
  </r>
  <r>
    <n v="4049"/>
    <n v="11213"/>
    <x v="3"/>
    <n v="100753.74"/>
    <x v="0"/>
    <n v="10"/>
    <x v="1"/>
    <d v="2024-07-30T00:00:00"/>
    <d v="2024-08-09T00:00:00"/>
    <x v="2"/>
  </r>
  <r>
    <n v="4050"/>
    <n v="17347"/>
    <x v="3"/>
    <n v="22826.23"/>
    <x v="2"/>
    <m/>
    <x v="1"/>
    <d v="2024-08-24T00:00:00"/>
    <m/>
    <x v="8"/>
  </r>
  <r>
    <n v="4051"/>
    <n v="13091"/>
    <x v="3"/>
    <n v="36158.18"/>
    <x v="0"/>
    <n v="4"/>
    <x v="1"/>
    <d v="2024-09-10T00:00:00"/>
    <d v="2024-09-14T00:00:00"/>
    <x v="9"/>
  </r>
  <r>
    <n v="4052"/>
    <n v="11382"/>
    <x v="1"/>
    <n v="79692.479999999996"/>
    <x v="1"/>
    <n v="32"/>
    <x v="3"/>
    <d v="2024-01-16T00:00:00"/>
    <d v="2024-02-17T00:00:00"/>
    <x v="0"/>
  </r>
  <r>
    <n v="4053"/>
    <n v="13680"/>
    <x v="1"/>
    <n v="35330.32"/>
    <x v="1"/>
    <n v="43"/>
    <x v="2"/>
    <d v="2024-05-23T00:00:00"/>
    <d v="2024-07-05T00:00:00"/>
    <x v="3"/>
  </r>
  <r>
    <n v="4054"/>
    <n v="19871"/>
    <x v="3"/>
    <n v="192919"/>
    <x v="0"/>
    <n v="8"/>
    <x v="2"/>
    <d v="2024-02-11T00:00:00"/>
    <d v="2024-02-19T00:00:00"/>
    <x v="4"/>
  </r>
  <r>
    <n v="4055"/>
    <n v="18198"/>
    <x v="1"/>
    <n v="189624.01"/>
    <x v="0"/>
    <n v="3"/>
    <x v="3"/>
    <d v="2024-01-03T00:00:00"/>
    <d v="2024-01-06T00:00:00"/>
    <x v="0"/>
  </r>
  <r>
    <n v="4056"/>
    <n v="13498"/>
    <x v="1"/>
    <n v="70541.38"/>
    <x v="0"/>
    <n v="26"/>
    <x v="2"/>
    <d v="2024-06-04T00:00:00"/>
    <d v="2024-06-30T00:00:00"/>
    <x v="7"/>
  </r>
  <r>
    <n v="4057"/>
    <n v="18487"/>
    <x v="3"/>
    <n v="129750.8"/>
    <x v="1"/>
    <n v="41"/>
    <x v="3"/>
    <d v="2024-06-21T00:00:00"/>
    <d v="2024-08-01T00:00:00"/>
    <x v="7"/>
  </r>
  <r>
    <n v="4058"/>
    <n v="15506"/>
    <x v="3"/>
    <n v="109081.9"/>
    <x v="1"/>
    <n v="13"/>
    <x v="2"/>
    <d v="2024-01-24T00:00:00"/>
    <d v="2024-02-06T00:00:00"/>
    <x v="0"/>
  </r>
  <r>
    <n v="4059"/>
    <n v="18455"/>
    <x v="1"/>
    <n v="164039.46"/>
    <x v="0"/>
    <n v="31"/>
    <x v="0"/>
    <d v="2024-10-01T00:00:00"/>
    <d v="2024-11-01T00:00:00"/>
    <x v="6"/>
  </r>
  <r>
    <n v="4060"/>
    <n v="12137"/>
    <x v="2"/>
    <n v="127351.89"/>
    <x v="1"/>
    <n v="31"/>
    <x v="0"/>
    <d v="2024-03-15T00:00:00"/>
    <d v="2024-04-15T00:00:00"/>
    <x v="5"/>
  </r>
  <r>
    <n v="4061"/>
    <n v="17655"/>
    <x v="3"/>
    <n v="5049.2299999999996"/>
    <x v="0"/>
    <n v="30"/>
    <x v="3"/>
    <d v="2024-02-09T00:00:00"/>
    <d v="2024-03-10T00:00:00"/>
    <x v="4"/>
  </r>
  <r>
    <n v="4062"/>
    <n v="18124"/>
    <x v="3"/>
    <n v="153819.01"/>
    <x v="0"/>
    <n v="42"/>
    <x v="2"/>
    <d v="2024-10-28T00:00:00"/>
    <d v="2024-12-09T00:00:00"/>
    <x v="6"/>
  </r>
  <r>
    <n v="4063"/>
    <n v="14948"/>
    <x v="3"/>
    <n v="150635.38"/>
    <x v="1"/>
    <n v="12"/>
    <x v="1"/>
    <d v="2024-02-09T00:00:00"/>
    <d v="2024-02-21T00:00:00"/>
    <x v="4"/>
  </r>
  <r>
    <n v="4064"/>
    <n v="13865"/>
    <x v="1"/>
    <n v="104395.93"/>
    <x v="0"/>
    <n v="24"/>
    <x v="2"/>
    <d v="2024-03-02T00:00:00"/>
    <d v="2024-03-26T00:00:00"/>
    <x v="5"/>
  </r>
  <r>
    <n v="4065"/>
    <n v="15460"/>
    <x v="3"/>
    <n v="181069.2"/>
    <x v="1"/>
    <n v="18"/>
    <x v="0"/>
    <d v="2024-08-25T00:00:00"/>
    <d v="2024-09-12T00:00:00"/>
    <x v="8"/>
  </r>
  <r>
    <n v="4066"/>
    <n v="15448"/>
    <x v="3"/>
    <n v="182147.01"/>
    <x v="0"/>
    <n v="14"/>
    <x v="0"/>
    <d v="2024-09-01T00:00:00"/>
    <d v="2024-09-15T00:00:00"/>
    <x v="9"/>
  </r>
  <r>
    <n v="4067"/>
    <n v="14496"/>
    <x v="1"/>
    <n v="107162.78"/>
    <x v="0"/>
    <n v="34"/>
    <x v="2"/>
    <d v="2024-01-18T00:00:00"/>
    <d v="2024-02-21T00:00:00"/>
    <x v="0"/>
  </r>
  <r>
    <n v="4068"/>
    <n v="14452"/>
    <x v="1"/>
    <n v="123557.71"/>
    <x v="0"/>
    <n v="2"/>
    <x v="2"/>
    <d v="2024-05-19T00:00:00"/>
    <d v="2024-05-21T00:00:00"/>
    <x v="3"/>
  </r>
  <r>
    <n v="4069"/>
    <n v="16898"/>
    <x v="3"/>
    <n v="199321.8"/>
    <x v="0"/>
    <n v="41"/>
    <x v="1"/>
    <d v="2024-03-22T00:00:00"/>
    <d v="2024-05-02T00:00:00"/>
    <x v="5"/>
  </r>
  <r>
    <n v="4070"/>
    <n v="12546"/>
    <x v="3"/>
    <n v="63269.95"/>
    <x v="1"/>
    <n v="14"/>
    <x v="1"/>
    <d v="2024-07-07T00:00:00"/>
    <d v="2024-07-21T00:00:00"/>
    <x v="2"/>
  </r>
  <r>
    <n v="4071"/>
    <n v="14929"/>
    <x v="1"/>
    <n v="68300.36"/>
    <x v="0"/>
    <n v="39"/>
    <x v="2"/>
    <d v="2024-04-17T00:00:00"/>
    <d v="2024-05-26T00:00:00"/>
    <x v="10"/>
  </r>
  <r>
    <n v="4072"/>
    <n v="18310"/>
    <x v="3"/>
    <n v="40640.910000000003"/>
    <x v="0"/>
    <n v="4"/>
    <x v="2"/>
    <d v="2024-08-21T00:00:00"/>
    <d v="2024-08-25T00:00:00"/>
    <x v="8"/>
  </r>
  <r>
    <n v="4073"/>
    <n v="17214"/>
    <x v="3"/>
    <n v="179694.05"/>
    <x v="0"/>
    <n v="17"/>
    <x v="2"/>
    <d v="2024-09-24T00:00:00"/>
    <d v="2024-10-11T00:00:00"/>
    <x v="9"/>
  </r>
  <r>
    <n v="4074"/>
    <n v="12395"/>
    <x v="0"/>
    <n v="150175.24"/>
    <x v="0"/>
    <n v="43"/>
    <x v="2"/>
    <d v="2024-04-13T00:00:00"/>
    <d v="2024-05-26T00:00:00"/>
    <x v="10"/>
  </r>
  <r>
    <n v="4075"/>
    <n v="17671"/>
    <x v="3"/>
    <n v="25600.36"/>
    <x v="1"/>
    <n v="8"/>
    <x v="3"/>
    <d v="2024-05-13T00:00:00"/>
    <d v="2024-05-21T00:00:00"/>
    <x v="3"/>
  </r>
  <r>
    <n v="4076"/>
    <n v="15514"/>
    <x v="1"/>
    <n v="196444.63"/>
    <x v="0"/>
    <n v="4"/>
    <x v="2"/>
    <d v="2024-12-09T00:00:00"/>
    <d v="2024-12-13T00:00:00"/>
    <x v="11"/>
  </r>
  <r>
    <n v="4077"/>
    <n v="11702"/>
    <x v="2"/>
    <n v="147537.53"/>
    <x v="0"/>
    <n v="15"/>
    <x v="1"/>
    <d v="2024-02-02T00:00:00"/>
    <d v="2024-02-17T00:00:00"/>
    <x v="4"/>
  </r>
  <r>
    <n v="4078"/>
    <n v="18721"/>
    <x v="3"/>
    <n v="170851.81"/>
    <x v="2"/>
    <m/>
    <x v="0"/>
    <d v="2024-08-24T00:00:00"/>
    <m/>
    <x v="8"/>
  </r>
  <r>
    <n v="4079"/>
    <n v="13674"/>
    <x v="3"/>
    <n v="14389.4"/>
    <x v="0"/>
    <n v="5"/>
    <x v="3"/>
    <d v="2024-12-01T00:00:00"/>
    <d v="2024-12-06T00:00:00"/>
    <x v="11"/>
  </r>
  <r>
    <n v="4080"/>
    <n v="18494"/>
    <x v="1"/>
    <n v="103467.38"/>
    <x v="1"/>
    <n v="32"/>
    <x v="2"/>
    <d v="2024-06-26T00:00:00"/>
    <d v="2024-07-28T00:00:00"/>
    <x v="7"/>
  </r>
  <r>
    <n v="4081"/>
    <n v="14251"/>
    <x v="0"/>
    <n v="141226.67000000001"/>
    <x v="0"/>
    <n v="14"/>
    <x v="0"/>
    <d v="2024-01-12T00:00:00"/>
    <d v="2024-01-26T00:00:00"/>
    <x v="0"/>
  </r>
  <r>
    <n v="4082"/>
    <n v="10013"/>
    <x v="2"/>
    <n v="110874.58"/>
    <x v="0"/>
    <n v="28"/>
    <x v="3"/>
    <d v="2024-12-16T00:00:00"/>
    <d v="2025-01-13T00:00:00"/>
    <x v="11"/>
  </r>
  <r>
    <n v="4083"/>
    <n v="17187"/>
    <x v="1"/>
    <n v="134996.26"/>
    <x v="1"/>
    <n v="2"/>
    <x v="0"/>
    <d v="2024-08-16T00:00:00"/>
    <d v="2024-08-18T00:00:00"/>
    <x v="8"/>
  </r>
  <r>
    <n v="4084"/>
    <n v="12803"/>
    <x v="3"/>
    <n v="164485.44"/>
    <x v="1"/>
    <n v="26"/>
    <x v="2"/>
    <d v="2024-11-04T00:00:00"/>
    <d v="2024-11-30T00:00:00"/>
    <x v="1"/>
  </r>
  <r>
    <n v="4085"/>
    <n v="10888"/>
    <x v="1"/>
    <n v="77995.73"/>
    <x v="0"/>
    <n v="38"/>
    <x v="2"/>
    <d v="2024-09-25T00:00:00"/>
    <d v="2024-11-02T00:00:00"/>
    <x v="9"/>
  </r>
  <r>
    <n v="4086"/>
    <n v="19388"/>
    <x v="3"/>
    <n v="170490.39"/>
    <x v="0"/>
    <n v="12"/>
    <x v="1"/>
    <d v="2024-12-23T00:00:00"/>
    <d v="2025-01-04T00:00:00"/>
    <x v="11"/>
  </r>
  <r>
    <n v="4087"/>
    <n v="14540"/>
    <x v="3"/>
    <n v="36768.639999999999"/>
    <x v="0"/>
    <n v="10"/>
    <x v="2"/>
    <d v="2024-05-10T00:00:00"/>
    <d v="2024-05-20T00:00:00"/>
    <x v="3"/>
  </r>
  <r>
    <n v="4088"/>
    <n v="18090"/>
    <x v="3"/>
    <n v="57822.78"/>
    <x v="0"/>
    <n v="8"/>
    <x v="2"/>
    <d v="2024-09-05T00:00:00"/>
    <d v="2024-09-13T00:00:00"/>
    <x v="9"/>
  </r>
  <r>
    <n v="4089"/>
    <n v="12169"/>
    <x v="3"/>
    <n v="13452.4"/>
    <x v="1"/>
    <n v="15"/>
    <x v="3"/>
    <d v="2024-02-27T00:00:00"/>
    <d v="2024-03-13T00:00:00"/>
    <x v="4"/>
  </r>
  <r>
    <n v="4090"/>
    <n v="13651"/>
    <x v="1"/>
    <n v="76063.23"/>
    <x v="0"/>
    <n v="31"/>
    <x v="1"/>
    <d v="2024-01-04T00:00:00"/>
    <d v="2024-02-04T00:00:00"/>
    <x v="0"/>
  </r>
  <r>
    <n v="4091"/>
    <n v="18017"/>
    <x v="3"/>
    <n v="79082.36"/>
    <x v="0"/>
    <n v="25"/>
    <x v="3"/>
    <d v="2024-08-23T00:00:00"/>
    <d v="2024-09-17T00:00:00"/>
    <x v="8"/>
  </r>
  <r>
    <n v="4092"/>
    <n v="18240"/>
    <x v="3"/>
    <n v="162027.76999999999"/>
    <x v="1"/>
    <n v="4"/>
    <x v="0"/>
    <d v="2024-06-21T00:00:00"/>
    <d v="2024-06-25T00:00:00"/>
    <x v="7"/>
  </r>
  <r>
    <n v="4093"/>
    <n v="10180"/>
    <x v="3"/>
    <n v="132360.48000000001"/>
    <x v="0"/>
    <n v="40"/>
    <x v="2"/>
    <d v="2024-11-17T00:00:00"/>
    <d v="2024-12-27T00:00:00"/>
    <x v="1"/>
  </r>
  <r>
    <n v="4094"/>
    <n v="13878"/>
    <x v="0"/>
    <n v="90160.9"/>
    <x v="0"/>
    <n v="28"/>
    <x v="0"/>
    <d v="2024-02-05T00:00:00"/>
    <d v="2024-03-04T00:00:00"/>
    <x v="4"/>
  </r>
  <r>
    <n v="4095"/>
    <n v="19609"/>
    <x v="1"/>
    <n v="132162.23000000001"/>
    <x v="1"/>
    <n v="2"/>
    <x v="3"/>
    <d v="2024-10-05T00:00:00"/>
    <d v="2024-10-07T00:00:00"/>
    <x v="6"/>
  </r>
  <r>
    <n v="4096"/>
    <n v="13464"/>
    <x v="3"/>
    <n v="15292.75"/>
    <x v="1"/>
    <n v="39"/>
    <x v="2"/>
    <d v="2024-08-24T00:00:00"/>
    <d v="2024-10-02T00:00:00"/>
    <x v="8"/>
  </r>
  <r>
    <n v="4097"/>
    <n v="10529"/>
    <x v="3"/>
    <n v="40152.949999999997"/>
    <x v="0"/>
    <n v="27"/>
    <x v="2"/>
    <d v="2024-10-01T00:00:00"/>
    <d v="2024-10-28T00:00:00"/>
    <x v="6"/>
  </r>
  <r>
    <n v="4098"/>
    <n v="15771"/>
    <x v="3"/>
    <n v="127254.83"/>
    <x v="0"/>
    <n v="7"/>
    <x v="3"/>
    <d v="2024-10-22T00:00:00"/>
    <d v="2024-10-29T00:00:00"/>
    <x v="6"/>
  </r>
  <r>
    <n v="4099"/>
    <n v="14679"/>
    <x v="2"/>
    <n v="130066.53"/>
    <x v="0"/>
    <n v="43"/>
    <x v="3"/>
    <d v="2024-11-23T00:00:00"/>
    <d v="2025-01-05T00:00:00"/>
    <x v="1"/>
  </r>
  <r>
    <n v="4100"/>
    <n v="17940"/>
    <x v="1"/>
    <n v="155956.26"/>
    <x v="0"/>
    <n v="13"/>
    <x v="3"/>
    <d v="2024-02-27T00:00:00"/>
    <d v="2024-03-11T00:00:00"/>
    <x v="4"/>
  </r>
  <r>
    <n v="4101"/>
    <n v="11286"/>
    <x v="1"/>
    <n v="83584.95"/>
    <x v="0"/>
    <n v="39"/>
    <x v="3"/>
    <d v="2024-12-28T00:00:00"/>
    <d v="2025-02-05T00:00:00"/>
    <x v="11"/>
  </r>
  <r>
    <n v="4102"/>
    <n v="12190"/>
    <x v="1"/>
    <n v="145898.04999999999"/>
    <x v="1"/>
    <n v="36"/>
    <x v="3"/>
    <d v="2024-01-18T00:00:00"/>
    <d v="2024-02-23T00:00:00"/>
    <x v="0"/>
  </r>
  <r>
    <n v="4103"/>
    <n v="18898"/>
    <x v="3"/>
    <n v="138376.16"/>
    <x v="2"/>
    <m/>
    <x v="2"/>
    <d v="2024-02-05T00:00:00"/>
    <m/>
    <x v="4"/>
  </r>
  <r>
    <n v="4104"/>
    <n v="18485"/>
    <x v="0"/>
    <n v="192861.71"/>
    <x v="1"/>
    <n v="10"/>
    <x v="3"/>
    <d v="2024-05-08T00:00:00"/>
    <d v="2024-05-18T00:00:00"/>
    <x v="3"/>
  </r>
  <r>
    <n v="4105"/>
    <n v="11561"/>
    <x v="1"/>
    <n v="46950.39"/>
    <x v="0"/>
    <n v="24"/>
    <x v="2"/>
    <d v="2024-01-01T00:00:00"/>
    <d v="2024-01-25T00:00:00"/>
    <x v="0"/>
  </r>
  <r>
    <n v="4106"/>
    <n v="15628"/>
    <x v="3"/>
    <n v="112577.51"/>
    <x v="1"/>
    <n v="31"/>
    <x v="2"/>
    <d v="2024-03-04T00:00:00"/>
    <d v="2024-04-04T00:00:00"/>
    <x v="5"/>
  </r>
  <r>
    <n v="4107"/>
    <n v="12611"/>
    <x v="3"/>
    <n v="122344.07"/>
    <x v="0"/>
    <n v="23"/>
    <x v="3"/>
    <d v="2024-03-02T00:00:00"/>
    <d v="2024-03-25T00:00:00"/>
    <x v="5"/>
  </r>
  <r>
    <n v="4108"/>
    <n v="16560"/>
    <x v="1"/>
    <n v="199736.34"/>
    <x v="0"/>
    <n v="10"/>
    <x v="3"/>
    <d v="2024-11-26T00:00:00"/>
    <d v="2024-12-06T00:00:00"/>
    <x v="1"/>
  </r>
  <r>
    <n v="4109"/>
    <n v="10660"/>
    <x v="2"/>
    <n v="44230.91"/>
    <x v="0"/>
    <n v="20"/>
    <x v="1"/>
    <d v="2024-05-25T00:00:00"/>
    <d v="2024-06-14T00:00:00"/>
    <x v="3"/>
  </r>
  <r>
    <n v="4110"/>
    <n v="13178"/>
    <x v="3"/>
    <n v="107027.51"/>
    <x v="0"/>
    <n v="9"/>
    <x v="2"/>
    <d v="2024-09-28T00:00:00"/>
    <d v="2024-10-07T00:00:00"/>
    <x v="9"/>
  </r>
  <r>
    <n v="4111"/>
    <n v="13389"/>
    <x v="0"/>
    <n v="72506.14"/>
    <x v="2"/>
    <m/>
    <x v="3"/>
    <d v="2024-01-17T00:00:00"/>
    <m/>
    <x v="0"/>
  </r>
  <r>
    <n v="4112"/>
    <n v="13063"/>
    <x v="1"/>
    <n v="107549.13"/>
    <x v="0"/>
    <n v="6"/>
    <x v="3"/>
    <d v="2024-10-06T00:00:00"/>
    <d v="2024-10-12T00:00:00"/>
    <x v="6"/>
  </r>
  <r>
    <n v="4113"/>
    <n v="16401"/>
    <x v="3"/>
    <n v="50265.08"/>
    <x v="0"/>
    <n v="20"/>
    <x v="3"/>
    <d v="2024-04-07T00:00:00"/>
    <d v="2024-04-27T00:00:00"/>
    <x v="10"/>
  </r>
  <r>
    <n v="4114"/>
    <n v="18127"/>
    <x v="3"/>
    <n v="14284.41"/>
    <x v="2"/>
    <m/>
    <x v="1"/>
    <d v="2024-08-14T00:00:00"/>
    <m/>
    <x v="8"/>
  </r>
  <r>
    <n v="4115"/>
    <n v="12840"/>
    <x v="3"/>
    <n v="116650.26"/>
    <x v="0"/>
    <n v="30"/>
    <x v="1"/>
    <d v="2024-08-30T00:00:00"/>
    <d v="2024-09-29T00:00:00"/>
    <x v="8"/>
  </r>
  <r>
    <n v="4116"/>
    <n v="16309"/>
    <x v="1"/>
    <n v="70491.59"/>
    <x v="1"/>
    <n v="20"/>
    <x v="0"/>
    <d v="2024-07-19T00:00:00"/>
    <d v="2024-08-08T00:00:00"/>
    <x v="2"/>
  </r>
  <r>
    <n v="4117"/>
    <n v="17192"/>
    <x v="3"/>
    <n v="40478.57"/>
    <x v="0"/>
    <n v="7"/>
    <x v="2"/>
    <d v="2024-06-27T00:00:00"/>
    <d v="2024-07-04T00:00:00"/>
    <x v="7"/>
  </r>
  <r>
    <n v="4118"/>
    <n v="16054"/>
    <x v="3"/>
    <n v="68167.44"/>
    <x v="0"/>
    <n v="6"/>
    <x v="0"/>
    <d v="2024-09-26T00:00:00"/>
    <d v="2024-10-02T00:00:00"/>
    <x v="9"/>
  </r>
  <r>
    <n v="4119"/>
    <n v="16146"/>
    <x v="1"/>
    <n v="14609.64"/>
    <x v="2"/>
    <m/>
    <x v="3"/>
    <d v="2024-08-21T00:00:00"/>
    <m/>
    <x v="8"/>
  </r>
  <r>
    <n v="4120"/>
    <n v="16561"/>
    <x v="1"/>
    <n v="190336.24"/>
    <x v="0"/>
    <n v="6"/>
    <x v="1"/>
    <d v="2024-04-21T00:00:00"/>
    <d v="2024-04-27T00:00:00"/>
    <x v="10"/>
  </r>
  <r>
    <n v="4121"/>
    <n v="18560"/>
    <x v="3"/>
    <n v="118323.84"/>
    <x v="0"/>
    <n v="9"/>
    <x v="1"/>
    <d v="2024-03-06T00:00:00"/>
    <d v="2024-03-15T00:00:00"/>
    <x v="5"/>
  </r>
  <r>
    <n v="4122"/>
    <n v="10538"/>
    <x v="3"/>
    <n v="163879.89000000001"/>
    <x v="0"/>
    <n v="28"/>
    <x v="0"/>
    <d v="2024-12-03T00:00:00"/>
    <d v="2024-12-31T00:00:00"/>
    <x v="11"/>
  </r>
  <r>
    <n v="4123"/>
    <n v="12927"/>
    <x v="3"/>
    <n v="87508.05"/>
    <x v="0"/>
    <n v="38"/>
    <x v="1"/>
    <d v="2024-12-14T00:00:00"/>
    <d v="2025-01-21T00:00:00"/>
    <x v="11"/>
  </r>
  <r>
    <n v="4124"/>
    <n v="12393"/>
    <x v="1"/>
    <n v="181146.36"/>
    <x v="0"/>
    <n v="44"/>
    <x v="3"/>
    <d v="2024-09-01T00:00:00"/>
    <d v="2024-10-15T00:00:00"/>
    <x v="9"/>
  </r>
  <r>
    <n v="4125"/>
    <n v="18922"/>
    <x v="0"/>
    <n v="99247.05"/>
    <x v="0"/>
    <n v="39"/>
    <x v="1"/>
    <d v="2024-09-01T00:00:00"/>
    <d v="2024-10-10T00:00:00"/>
    <x v="9"/>
  </r>
  <r>
    <n v="4126"/>
    <n v="10896"/>
    <x v="3"/>
    <n v="116919.34"/>
    <x v="0"/>
    <n v="38"/>
    <x v="0"/>
    <d v="2024-03-12T00:00:00"/>
    <d v="2024-04-19T00:00:00"/>
    <x v="5"/>
  </r>
  <r>
    <n v="4127"/>
    <n v="16867"/>
    <x v="0"/>
    <n v="100899.83"/>
    <x v="1"/>
    <n v="19"/>
    <x v="3"/>
    <d v="2024-12-22T00:00:00"/>
    <d v="2025-01-10T00:00:00"/>
    <x v="11"/>
  </r>
  <r>
    <n v="4128"/>
    <n v="16345"/>
    <x v="1"/>
    <n v="147989.26999999999"/>
    <x v="0"/>
    <n v="27"/>
    <x v="0"/>
    <d v="2024-02-18T00:00:00"/>
    <d v="2024-03-16T00:00:00"/>
    <x v="4"/>
  </r>
  <r>
    <n v="4129"/>
    <n v="12368"/>
    <x v="1"/>
    <n v="115497.94"/>
    <x v="0"/>
    <n v="43"/>
    <x v="1"/>
    <d v="2024-12-11T00:00:00"/>
    <d v="2025-01-23T00:00:00"/>
    <x v="11"/>
  </r>
  <r>
    <n v="4130"/>
    <n v="14559"/>
    <x v="1"/>
    <n v="57961.79"/>
    <x v="0"/>
    <n v="17"/>
    <x v="0"/>
    <d v="2024-07-08T00:00:00"/>
    <d v="2024-07-25T00:00:00"/>
    <x v="2"/>
  </r>
  <r>
    <n v="4131"/>
    <n v="17747"/>
    <x v="3"/>
    <n v="33380.21"/>
    <x v="2"/>
    <m/>
    <x v="0"/>
    <d v="2024-10-19T00:00:00"/>
    <m/>
    <x v="6"/>
  </r>
  <r>
    <n v="4132"/>
    <n v="12380"/>
    <x v="3"/>
    <n v="123194.26"/>
    <x v="2"/>
    <m/>
    <x v="2"/>
    <d v="2024-06-25T00:00:00"/>
    <m/>
    <x v="7"/>
  </r>
  <r>
    <n v="4133"/>
    <n v="10014"/>
    <x v="1"/>
    <n v="100390.09"/>
    <x v="1"/>
    <n v="4"/>
    <x v="1"/>
    <d v="2024-06-09T00:00:00"/>
    <d v="2024-06-13T00:00:00"/>
    <x v="7"/>
  </r>
  <r>
    <n v="4134"/>
    <n v="19545"/>
    <x v="1"/>
    <n v="23715.26"/>
    <x v="1"/>
    <n v="4"/>
    <x v="1"/>
    <d v="2024-05-29T00:00:00"/>
    <d v="2024-06-02T00:00:00"/>
    <x v="3"/>
  </r>
  <r>
    <n v="4135"/>
    <n v="13135"/>
    <x v="1"/>
    <n v="82145.41"/>
    <x v="0"/>
    <n v="13"/>
    <x v="0"/>
    <d v="2024-03-10T00:00:00"/>
    <d v="2024-03-23T00:00:00"/>
    <x v="5"/>
  </r>
  <r>
    <n v="4136"/>
    <n v="12277"/>
    <x v="3"/>
    <n v="105381.4"/>
    <x v="0"/>
    <n v="24"/>
    <x v="2"/>
    <d v="2024-02-02T00:00:00"/>
    <d v="2024-02-26T00:00:00"/>
    <x v="4"/>
  </r>
  <r>
    <n v="4137"/>
    <n v="18202"/>
    <x v="2"/>
    <n v="166244.18"/>
    <x v="0"/>
    <n v="12"/>
    <x v="1"/>
    <d v="2024-10-10T00:00:00"/>
    <d v="2024-10-22T00:00:00"/>
    <x v="6"/>
  </r>
  <r>
    <n v="4138"/>
    <n v="11656"/>
    <x v="1"/>
    <n v="19839.71"/>
    <x v="0"/>
    <n v="43"/>
    <x v="3"/>
    <d v="2024-12-09T00:00:00"/>
    <d v="2025-01-21T00:00:00"/>
    <x v="11"/>
  </r>
  <r>
    <n v="4139"/>
    <n v="19439"/>
    <x v="3"/>
    <n v="72956.59"/>
    <x v="0"/>
    <n v="30"/>
    <x v="0"/>
    <d v="2024-09-16T00:00:00"/>
    <d v="2024-10-16T00:00:00"/>
    <x v="9"/>
  </r>
  <r>
    <n v="4140"/>
    <n v="11660"/>
    <x v="3"/>
    <n v="165417.94"/>
    <x v="0"/>
    <n v="7"/>
    <x v="1"/>
    <d v="2024-11-17T00:00:00"/>
    <d v="2024-11-24T00:00:00"/>
    <x v="1"/>
  </r>
  <r>
    <n v="4141"/>
    <n v="11763"/>
    <x v="1"/>
    <n v="131442.67000000001"/>
    <x v="2"/>
    <m/>
    <x v="3"/>
    <d v="2024-03-17T00:00:00"/>
    <m/>
    <x v="5"/>
  </r>
  <r>
    <n v="4142"/>
    <n v="18733"/>
    <x v="1"/>
    <n v="61541.87"/>
    <x v="1"/>
    <n v="35"/>
    <x v="1"/>
    <d v="2024-04-19T00:00:00"/>
    <d v="2024-05-24T00:00:00"/>
    <x v="10"/>
  </r>
  <r>
    <n v="4143"/>
    <n v="11529"/>
    <x v="3"/>
    <n v="169840.35"/>
    <x v="0"/>
    <n v="38"/>
    <x v="3"/>
    <d v="2024-10-31T00:00:00"/>
    <d v="2024-12-08T00:00:00"/>
    <x v="6"/>
  </r>
  <r>
    <n v="4144"/>
    <n v="17865"/>
    <x v="0"/>
    <n v="101192.25"/>
    <x v="1"/>
    <n v="12"/>
    <x v="0"/>
    <d v="2024-05-18T00:00:00"/>
    <d v="2024-05-30T00:00:00"/>
    <x v="3"/>
  </r>
  <r>
    <n v="4145"/>
    <n v="15838"/>
    <x v="3"/>
    <n v="102178.62"/>
    <x v="0"/>
    <n v="12"/>
    <x v="1"/>
    <d v="2024-02-04T00:00:00"/>
    <d v="2024-02-16T00:00:00"/>
    <x v="4"/>
  </r>
  <r>
    <n v="4146"/>
    <n v="16910"/>
    <x v="3"/>
    <n v="195434.53"/>
    <x v="0"/>
    <n v="26"/>
    <x v="1"/>
    <d v="2024-08-22T00:00:00"/>
    <d v="2024-09-17T00:00:00"/>
    <x v="8"/>
  </r>
  <r>
    <n v="4147"/>
    <n v="19372"/>
    <x v="0"/>
    <n v="189687.72"/>
    <x v="0"/>
    <n v="20"/>
    <x v="2"/>
    <d v="2024-11-25T00:00:00"/>
    <d v="2024-12-15T00:00:00"/>
    <x v="1"/>
  </r>
  <r>
    <n v="4148"/>
    <n v="12617"/>
    <x v="0"/>
    <n v="74913.87"/>
    <x v="0"/>
    <n v="33"/>
    <x v="0"/>
    <d v="2024-07-18T00:00:00"/>
    <d v="2024-08-20T00:00:00"/>
    <x v="2"/>
  </r>
  <r>
    <n v="4149"/>
    <n v="12754"/>
    <x v="1"/>
    <n v="32412.93"/>
    <x v="0"/>
    <n v="9"/>
    <x v="3"/>
    <d v="2024-11-20T00:00:00"/>
    <d v="2024-11-29T00:00:00"/>
    <x v="1"/>
  </r>
  <r>
    <n v="4150"/>
    <n v="19120"/>
    <x v="0"/>
    <n v="68505.009999999995"/>
    <x v="1"/>
    <n v="13"/>
    <x v="1"/>
    <d v="2024-05-30T00:00:00"/>
    <d v="2024-06-12T00:00:00"/>
    <x v="3"/>
  </r>
  <r>
    <n v="4151"/>
    <n v="18101"/>
    <x v="3"/>
    <n v="10944.24"/>
    <x v="0"/>
    <n v="42"/>
    <x v="1"/>
    <d v="2024-02-03T00:00:00"/>
    <d v="2024-03-16T00:00:00"/>
    <x v="4"/>
  </r>
  <r>
    <n v="4152"/>
    <n v="11426"/>
    <x v="0"/>
    <n v="9049.74"/>
    <x v="0"/>
    <n v="36"/>
    <x v="3"/>
    <d v="2024-05-03T00:00:00"/>
    <d v="2024-06-08T00:00:00"/>
    <x v="3"/>
  </r>
  <r>
    <n v="4153"/>
    <n v="18067"/>
    <x v="3"/>
    <n v="82126.820000000007"/>
    <x v="0"/>
    <n v="7"/>
    <x v="0"/>
    <d v="2024-02-01T00:00:00"/>
    <d v="2024-02-08T00:00:00"/>
    <x v="4"/>
  </r>
  <r>
    <n v="4154"/>
    <n v="15208"/>
    <x v="3"/>
    <n v="188498.87"/>
    <x v="0"/>
    <n v="22"/>
    <x v="2"/>
    <d v="2024-09-28T00:00:00"/>
    <d v="2024-10-20T00:00:00"/>
    <x v="9"/>
  </r>
  <r>
    <n v="4155"/>
    <n v="16222"/>
    <x v="3"/>
    <n v="174914.68"/>
    <x v="1"/>
    <n v="27"/>
    <x v="2"/>
    <d v="2024-11-19T00:00:00"/>
    <d v="2024-12-16T00:00:00"/>
    <x v="1"/>
  </r>
  <r>
    <n v="4156"/>
    <n v="17808"/>
    <x v="3"/>
    <n v="104731.35"/>
    <x v="0"/>
    <n v="2"/>
    <x v="1"/>
    <d v="2024-11-05T00:00:00"/>
    <d v="2024-11-07T00:00:00"/>
    <x v="1"/>
  </r>
  <r>
    <n v="4157"/>
    <n v="12061"/>
    <x v="3"/>
    <n v="115219.14"/>
    <x v="2"/>
    <m/>
    <x v="3"/>
    <d v="2024-05-03T00:00:00"/>
    <m/>
    <x v="3"/>
  </r>
  <r>
    <n v="4158"/>
    <n v="12563"/>
    <x v="3"/>
    <n v="6157.03"/>
    <x v="2"/>
    <m/>
    <x v="1"/>
    <d v="2024-11-11T00:00:00"/>
    <m/>
    <x v="1"/>
  </r>
  <r>
    <n v="4159"/>
    <n v="12803"/>
    <x v="3"/>
    <n v="47022.73"/>
    <x v="0"/>
    <n v="28"/>
    <x v="3"/>
    <d v="2024-03-18T00:00:00"/>
    <d v="2024-04-15T00:00:00"/>
    <x v="5"/>
  </r>
  <r>
    <n v="4160"/>
    <n v="16209"/>
    <x v="3"/>
    <n v="9830.9500000000007"/>
    <x v="0"/>
    <n v="3"/>
    <x v="2"/>
    <d v="2024-03-16T00:00:00"/>
    <d v="2024-03-19T00:00:00"/>
    <x v="5"/>
  </r>
  <r>
    <n v="4161"/>
    <n v="12293"/>
    <x v="1"/>
    <n v="152135.21"/>
    <x v="1"/>
    <n v="37"/>
    <x v="0"/>
    <d v="2024-02-29T00:00:00"/>
    <d v="2024-04-06T00:00:00"/>
    <x v="4"/>
  </r>
  <r>
    <n v="4162"/>
    <n v="11625"/>
    <x v="3"/>
    <n v="33400.93"/>
    <x v="2"/>
    <m/>
    <x v="3"/>
    <d v="2024-03-25T00:00:00"/>
    <m/>
    <x v="5"/>
  </r>
  <r>
    <n v="4163"/>
    <n v="15809"/>
    <x v="3"/>
    <n v="174464.18"/>
    <x v="0"/>
    <n v="11"/>
    <x v="2"/>
    <d v="2024-03-20T00:00:00"/>
    <d v="2024-03-31T00:00:00"/>
    <x v="5"/>
  </r>
  <r>
    <n v="4164"/>
    <n v="10571"/>
    <x v="1"/>
    <n v="130448.24"/>
    <x v="1"/>
    <n v="32"/>
    <x v="1"/>
    <d v="2024-06-20T00:00:00"/>
    <d v="2024-07-22T00:00:00"/>
    <x v="7"/>
  </r>
  <r>
    <n v="4165"/>
    <n v="17399"/>
    <x v="0"/>
    <n v="49736.639999999999"/>
    <x v="1"/>
    <n v="38"/>
    <x v="3"/>
    <d v="2024-09-14T00:00:00"/>
    <d v="2024-10-22T00:00:00"/>
    <x v="9"/>
  </r>
  <r>
    <n v="4166"/>
    <n v="12400"/>
    <x v="1"/>
    <n v="35755.46"/>
    <x v="0"/>
    <n v="6"/>
    <x v="0"/>
    <d v="2024-10-05T00:00:00"/>
    <d v="2024-10-11T00:00:00"/>
    <x v="6"/>
  </r>
  <r>
    <n v="4167"/>
    <n v="19903"/>
    <x v="3"/>
    <n v="127386.82"/>
    <x v="0"/>
    <n v="42"/>
    <x v="1"/>
    <d v="2024-08-08T00:00:00"/>
    <d v="2024-09-19T00:00:00"/>
    <x v="8"/>
  </r>
  <r>
    <n v="4168"/>
    <n v="18574"/>
    <x v="1"/>
    <n v="180663.21"/>
    <x v="1"/>
    <n v="14"/>
    <x v="1"/>
    <d v="2024-02-15T00:00:00"/>
    <d v="2024-02-29T00:00:00"/>
    <x v="4"/>
  </r>
  <r>
    <n v="4169"/>
    <n v="15829"/>
    <x v="3"/>
    <n v="145080.24"/>
    <x v="0"/>
    <n v="25"/>
    <x v="2"/>
    <d v="2024-03-13T00:00:00"/>
    <d v="2024-04-07T00:00:00"/>
    <x v="5"/>
  </r>
  <r>
    <n v="4170"/>
    <n v="11083"/>
    <x v="3"/>
    <n v="72966.600000000006"/>
    <x v="0"/>
    <n v="28"/>
    <x v="3"/>
    <d v="2024-02-23T00:00:00"/>
    <d v="2024-03-22T00:00:00"/>
    <x v="4"/>
  </r>
  <r>
    <n v="4171"/>
    <n v="11949"/>
    <x v="3"/>
    <n v="119539.8"/>
    <x v="0"/>
    <n v="2"/>
    <x v="1"/>
    <d v="2024-11-22T00:00:00"/>
    <d v="2024-11-24T00:00:00"/>
    <x v="1"/>
  </r>
  <r>
    <n v="4172"/>
    <n v="15530"/>
    <x v="0"/>
    <n v="65598.53"/>
    <x v="0"/>
    <n v="21"/>
    <x v="0"/>
    <d v="2024-08-08T00:00:00"/>
    <d v="2024-08-29T00:00:00"/>
    <x v="8"/>
  </r>
  <r>
    <n v="4173"/>
    <n v="15202"/>
    <x v="3"/>
    <n v="199834.17"/>
    <x v="0"/>
    <n v="9"/>
    <x v="3"/>
    <d v="2024-12-02T00:00:00"/>
    <d v="2024-12-11T00:00:00"/>
    <x v="11"/>
  </r>
  <r>
    <n v="4174"/>
    <n v="15430"/>
    <x v="3"/>
    <n v="151023.64000000001"/>
    <x v="2"/>
    <m/>
    <x v="0"/>
    <d v="2024-01-09T00:00:00"/>
    <m/>
    <x v="0"/>
  </r>
  <r>
    <n v="4175"/>
    <n v="13497"/>
    <x v="3"/>
    <n v="124804.42"/>
    <x v="0"/>
    <n v="33"/>
    <x v="1"/>
    <d v="2024-11-21T00:00:00"/>
    <d v="2024-12-24T00:00:00"/>
    <x v="1"/>
  </r>
  <r>
    <n v="4176"/>
    <n v="15496"/>
    <x v="0"/>
    <n v="87535.53"/>
    <x v="0"/>
    <n v="26"/>
    <x v="0"/>
    <d v="2024-06-20T00:00:00"/>
    <d v="2024-07-16T00:00:00"/>
    <x v="7"/>
  </r>
  <r>
    <n v="4177"/>
    <n v="14930"/>
    <x v="1"/>
    <n v="125539.7"/>
    <x v="0"/>
    <n v="26"/>
    <x v="2"/>
    <d v="2024-03-24T00:00:00"/>
    <d v="2024-04-19T00:00:00"/>
    <x v="5"/>
  </r>
  <r>
    <n v="4178"/>
    <n v="13394"/>
    <x v="3"/>
    <n v="71615.13"/>
    <x v="0"/>
    <n v="15"/>
    <x v="0"/>
    <d v="2024-11-25T00:00:00"/>
    <d v="2024-12-10T00:00:00"/>
    <x v="1"/>
  </r>
  <r>
    <n v="4179"/>
    <n v="19395"/>
    <x v="1"/>
    <n v="10628.64"/>
    <x v="0"/>
    <n v="44"/>
    <x v="3"/>
    <d v="2024-11-24T00:00:00"/>
    <d v="2025-01-07T00:00:00"/>
    <x v="1"/>
  </r>
  <r>
    <n v="4180"/>
    <n v="10773"/>
    <x v="1"/>
    <n v="82042.259999999995"/>
    <x v="0"/>
    <n v="28"/>
    <x v="0"/>
    <d v="2024-01-12T00:00:00"/>
    <d v="2024-02-09T00:00:00"/>
    <x v="0"/>
  </r>
  <r>
    <n v="4181"/>
    <n v="17793"/>
    <x v="1"/>
    <n v="186443.76"/>
    <x v="0"/>
    <n v="33"/>
    <x v="0"/>
    <d v="2024-02-01T00:00:00"/>
    <d v="2024-03-05T00:00:00"/>
    <x v="4"/>
  </r>
  <r>
    <n v="4182"/>
    <n v="12597"/>
    <x v="3"/>
    <n v="127128.71"/>
    <x v="0"/>
    <n v="28"/>
    <x v="2"/>
    <d v="2024-12-04T00:00:00"/>
    <d v="2025-01-01T00:00:00"/>
    <x v="11"/>
  </r>
  <r>
    <n v="4183"/>
    <n v="19595"/>
    <x v="0"/>
    <n v="21371.360000000001"/>
    <x v="0"/>
    <n v="5"/>
    <x v="0"/>
    <d v="2024-10-15T00:00:00"/>
    <d v="2024-10-20T00:00:00"/>
    <x v="6"/>
  </r>
  <r>
    <n v="4184"/>
    <n v="17981"/>
    <x v="3"/>
    <n v="177573.75"/>
    <x v="0"/>
    <n v="40"/>
    <x v="0"/>
    <d v="2024-11-15T00:00:00"/>
    <d v="2024-12-25T00:00:00"/>
    <x v="1"/>
  </r>
  <r>
    <n v="4185"/>
    <n v="13061"/>
    <x v="1"/>
    <n v="57430.6"/>
    <x v="2"/>
    <m/>
    <x v="1"/>
    <d v="2024-10-30T00:00:00"/>
    <m/>
    <x v="6"/>
  </r>
  <r>
    <n v="4186"/>
    <n v="13325"/>
    <x v="3"/>
    <n v="52535.05"/>
    <x v="0"/>
    <n v="4"/>
    <x v="1"/>
    <d v="2024-09-28T00:00:00"/>
    <d v="2024-10-02T00:00:00"/>
    <x v="9"/>
  </r>
  <r>
    <n v="4187"/>
    <n v="11403"/>
    <x v="3"/>
    <n v="62932.74"/>
    <x v="0"/>
    <n v="26"/>
    <x v="3"/>
    <d v="2024-06-26T00:00:00"/>
    <d v="2024-07-22T00:00:00"/>
    <x v="7"/>
  </r>
  <r>
    <n v="4188"/>
    <n v="13320"/>
    <x v="3"/>
    <n v="117554.44"/>
    <x v="1"/>
    <n v="25"/>
    <x v="1"/>
    <d v="2024-04-23T00:00:00"/>
    <d v="2024-05-18T00:00:00"/>
    <x v="10"/>
  </r>
  <r>
    <n v="4189"/>
    <n v="17239"/>
    <x v="1"/>
    <n v="111214.18"/>
    <x v="0"/>
    <n v="10"/>
    <x v="1"/>
    <d v="2024-01-26T00:00:00"/>
    <d v="2024-02-05T00:00:00"/>
    <x v="0"/>
  </r>
  <r>
    <n v="4190"/>
    <n v="16649"/>
    <x v="3"/>
    <n v="100825.68"/>
    <x v="0"/>
    <n v="9"/>
    <x v="1"/>
    <d v="2024-08-24T00:00:00"/>
    <d v="2024-09-02T00:00:00"/>
    <x v="8"/>
  </r>
  <r>
    <n v="4191"/>
    <n v="17420"/>
    <x v="1"/>
    <n v="144919.69"/>
    <x v="0"/>
    <n v="40"/>
    <x v="1"/>
    <d v="2024-11-05T00:00:00"/>
    <d v="2024-12-15T00:00:00"/>
    <x v="1"/>
  </r>
  <r>
    <n v="4192"/>
    <n v="17139"/>
    <x v="3"/>
    <n v="66724.86"/>
    <x v="0"/>
    <n v="32"/>
    <x v="2"/>
    <d v="2024-06-20T00:00:00"/>
    <d v="2024-07-22T00:00:00"/>
    <x v="7"/>
  </r>
  <r>
    <n v="4193"/>
    <n v="10869"/>
    <x v="1"/>
    <n v="157502.57999999999"/>
    <x v="1"/>
    <n v="18"/>
    <x v="1"/>
    <d v="2024-08-20T00:00:00"/>
    <d v="2024-09-07T00:00:00"/>
    <x v="8"/>
  </r>
  <r>
    <n v="4194"/>
    <n v="16442"/>
    <x v="0"/>
    <n v="39187.730000000003"/>
    <x v="2"/>
    <m/>
    <x v="2"/>
    <d v="2024-02-06T00:00:00"/>
    <m/>
    <x v="4"/>
  </r>
  <r>
    <n v="4195"/>
    <n v="19275"/>
    <x v="1"/>
    <n v="157611.04999999999"/>
    <x v="0"/>
    <n v="32"/>
    <x v="2"/>
    <d v="2024-09-21T00:00:00"/>
    <d v="2024-10-23T00:00:00"/>
    <x v="9"/>
  </r>
  <r>
    <n v="4196"/>
    <n v="10973"/>
    <x v="1"/>
    <n v="134442.97"/>
    <x v="0"/>
    <n v="5"/>
    <x v="1"/>
    <d v="2024-01-13T00:00:00"/>
    <d v="2024-01-18T00:00:00"/>
    <x v="0"/>
  </r>
  <r>
    <n v="4197"/>
    <n v="19417"/>
    <x v="1"/>
    <n v="138225.62"/>
    <x v="0"/>
    <n v="5"/>
    <x v="0"/>
    <d v="2024-11-11T00:00:00"/>
    <d v="2024-11-16T00:00:00"/>
    <x v="1"/>
  </r>
  <r>
    <n v="4198"/>
    <n v="19994"/>
    <x v="3"/>
    <n v="98902.91"/>
    <x v="2"/>
    <m/>
    <x v="2"/>
    <d v="2024-04-15T00:00:00"/>
    <m/>
    <x v="10"/>
  </r>
  <r>
    <n v="4199"/>
    <n v="11188"/>
    <x v="0"/>
    <n v="135065.29999999999"/>
    <x v="2"/>
    <m/>
    <x v="0"/>
    <d v="2024-05-05T00:00:00"/>
    <m/>
    <x v="3"/>
  </r>
  <r>
    <n v="4200"/>
    <n v="15147"/>
    <x v="3"/>
    <n v="20560.419999999998"/>
    <x v="0"/>
    <n v="43"/>
    <x v="0"/>
    <d v="2024-12-01T00:00:00"/>
    <d v="2025-01-13T00:00:00"/>
    <x v="11"/>
  </r>
  <r>
    <n v="4201"/>
    <n v="13443"/>
    <x v="1"/>
    <n v="171052.47"/>
    <x v="0"/>
    <n v="7"/>
    <x v="1"/>
    <d v="2024-05-09T00:00:00"/>
    <d v="2024-05-16T00:00:00"/>
    <x v="3"/>
  </r>
  <r>
    <n v="4202"/>
    <n v="15684"/>
    <x v="1"/>
    <n v="15831.71"/>
    <x v="0"/>
    <n v="10"/>
    <x v="3"/>
    <d v="2024-11-11T00:00:00"/>
    <d v="2024-11-21T00:00:00"/>
    <x v="1"/>
  </r>
  <r>
    <n v="4203"/>
    <n v="11321"/>
    <x v="3"/>
    <n v="34004.589999999997"/>
    <x v="0"/>
    <n v="43"/>
    <x v="1"/>
    <d v="2024-09-12T00:00:00"/>
    <d v="2024-10-25T00:00:00"/>
    <x v="9"/>
  </r>
  <r>
    <n v="4204"/>
    <n v="12023"/>
    <x v="3"/>
    <n v="117473.99"/>
    <x v="0"/>
    <n v="9"/>
    <x v="3"/>
    <d v="2024-04-24T00:00:00"/>
    <d v="2024-05-03T00:00:00"/>
    <x v="10"/>
  </r>
  <r>
    <n v="4205"/>
    <n v="16740"/>
    <x v="3"/>
    <n v="149185.23000000001"/>
    <x v="0"/>
    <n v="33"/>
    <x v="3"/>
    <d v="2024-10-25T00:00:00"/>
    <d v="2024-11-27T00:00:00"/>
    <x v="6"/>
  </r>
  <r>
    <n v="4206"/>
    <n v="15468"/>
    <x v="0"/>
    <n v="19869.060000000001"/>
    <x v="0"/>
    <n v="16"/>
    <x v="1"/>
    <d v="2024-05-03T00:00:00"/>
    <d v="2024-05-19T00:00:00"/>
    <x v="3"/>
  </r>
  <r>
    <n v="4207"/>
    <n v="10438"/>
    <x v="2"/>
    <n v="184549.14"/>
    <x v="2"/>
    <m/>
    <x v="1"/>
    <d v="2024-09-12T00:00:00"/>
    <m/>
    <x v="9"/>
  </r>
  <r>
    <n v="4208"/>
    <n v="10164"/>
    <x v="1"/>
    <n v="194853.49"/>
    <x v="2"/>
    <m/>
    <x v="3"/>
    <d v="2024-05-18T00:00:00"/>
    <m/>
    <x v="3"/>
  </r>
  <r>
    <n v="4209"/>
    <n v="15678"/>
    <x v="1"/>
    <n v="123160.28"/>
    <x v="0"/>
    <n v="6"/>
    <x v="1"/>
    <d v="2024-07-24T00:00:00"/>
    <d v="2024-07-30T00:00:00"/>
    <x v="2"/>
  </r>
  <r>
    <n v="4210"/>
    <n v="17835"/>
    <x v="2"/>
    <n v="98842.47"/>
    <x v="0"/>
    <n v="28"/>
    <x v="3"/>
    <d v="2024-02-16T00:00:00"/>
    <d v="2024-03-15T00:00:00"/>
    <x v="4"/>
  </r>
  <r>
    <n v="4211"/>
    <n v="13337"/>
    <x v="3"/>
    <n v="149572.01999999999"/>
    <x v="1"/>
    <n v="34"/>
    <x v="0"/>
    <d v="2024-08-04T00:00:00"/>
    <d v="2024-09-07T00:00:00"/>
    <x v="8"/>
  </r>
  <r>
    <n v="4212"/>
    <n v="13350"/>
    <x v="3"/>
    <n v="69029.679999999993"/>
    <x v="0"/>
    <n v="3"/>
    <x v="1"/>
    <d v="2024-11-14T00:00:00"/>
    <d v="2024-11-17T00:00:00"/>
    <x v="1"/>
  </r>
  <r>
    <n v="4213"/>
    <n v="10987"/>
    <x v="1"/>
    <n v="101186.56"/>
    <x v="0"/>
    <n v="43"/>
    <x v="0"/>
    <d v="2024-12-15T00:00:00"/>
    <d v="2025-01-27T00:00:00"/>
    <x v="11"/>
  </r>
  <r>
    <n v="4214"/>
    <n v="12529"/>
    <x v="0"/>
    <n v="183649.45"/>
    <x v="0"/>
    <n v="39"/>
    <x v="2"/>
    <d v="2024-05-02T00:00:00"/>
    <d v="2024-06-10T00:00:00"/>
    <x v="3"/>
  </r>
  <r>
    <n v="4215"/>
    <n v="14612"/>
    <x v="0"/>
    <n v="191352.81"/>
    <x v="0"/>
    <n v="29"/>
    <x v="0"/>
    <d v="2024-01-31T00:00:00"/>
    <d v="2024-02-29T00:00:00"/>
    <x v="0"/>
  </r>
  <r>
    <n v="4216"/>
    <n v="13845"/>
    <x v="3"/>
    <n v="185778.48"/>
    <x v="0"/>
    <n v="25"/>
    <x v="0"/>
    <d v="2024-02-24T00:00:00"/>
    <d v="2024-03-20T00:00:00"/>
    <x v="4"/>
  </r>
  <r>
    <n v="4217"/>
    <n v="15756"/>
    <x v="3"/>
    <n v="56177.37"/>
    <x v="0"/>
    <n v="22"/>
    <x v="3"/>
    <d v="2024-06-01T00:00:00"/>
    <d v="2024-06-23T00:00:00"/>
    <x v="7"/>
  </r>
  <r>
    <n v="4218"/>
    <n v="18105"/>
    <x v="3"/>
    <n v="50331.46"/>
    <x v="0"/>
    <n v="32"/>
    <x v="0"/>
    <d v="2024-10-12T00:00:00"/>
    <d v="2024-11-13T00:00:00"/>
    <x v="6"/>
  </r>
  <r>
    <n v="4219"/>
    <n v="11326"/>
    <x v="3"/>
    <n v="63044.58"/>
    <x v="0"/>
    <n v="12"/>
    <x v="1"/>
    <d v="2024-02-05T00:00:00"/>
    <d v="2024-02-17T00:00:00"/>
    <x v="4"/>
  </r>
  <r>
    <n v="4220"/>
    <n v="18219"/>
    <x v="3"/>
    <n v="91055.67"/>
    <x v="0"/>
    <n v="29"/>
    <x v="3"/>
    <d v="2024-11-01T00:00:00"/>
    <d v="2024-11-30T00:00:00"/>
    <x v="1"/>
  </r>
  <r>
    <n v="4221"/>
    <n v="16924"/>
    <x v="1"/>
    <n v="66262.649999999994"/>
    <x v="0"/>
    <n v="41"/>
    <x v="2"/>
    <d v="2024-10-11T00:00:00"/>
    <d v="2024-11-21T00:00:00"/>
    <x v="6"/>
  </r>
  <r>
    <n v="4222"/>
    <n v="14593"/>
    <x v="3"/>
    <n v="77971.5"/>
    <x v="1"/>
    <n v="5"/>
    <x v="1"/>
    <d v="2024-09-12T00:00:00"/>
    <d v="2024-09-17T00:00:00"/>
    <x v="9"/>
  </r>
  <r>
    <n v="4223"/>
    <n v="16662"/>
    <x v="0"/>
    <n v="126024.21"/>
    <x v="0"/>
    <n v="44"/>
    <x v="2"/>
    <d v="2024-06-26T00:00:00"/>
    <d v="2024-08-09T00:00:00"/>
    <x v="7"/>
  </r>
  <r>
    <n v="4224"/>
    <n v="10193"/>
    <x v="3"/>
    <n v="153692.51"/>
    <x v="0"/>
    <n v="43"/>
    <x v="0"/>
    <d v="2024-02-05T00:00:00"/>
    <d v="2024-03-19T00:00:00"/>
    <x v="4"/>
  </r>
  <r>
    <n v="4225"/>
    <n v="18783"/>
    <x v="1"/>
    <n v="148433.85"/>
    <x v="0"/>
    <n v="17"/>
    <x v="1"/>
    <d v="2024-09-10T00:00:00"/>
    <d v="2024-09-27T00:00:00"/>
    <x v="9"/>
  </r>
  <r>
    <n v="4226"/>
    <n v="12489"/>
    <x v="3"/>
    <n v="163812.6"/>
    <x v="0"/>
    <n v="13"/>
    <x v="1"/>
    <d v="2024-06-10T00:00:00"/>
    <d v="2024-06-23T00:00:00"/>
    <x v="7"/>
  </r>
  <r>
    <n v="4227"/>
    <n v="16401"/>
    <x v="3"/>
    <n v="11275.96"/>
    <x v="0"/>
    <n v="23"/>
    <x v="2"/>
    <d v="2024-01-21T00:00:00"/>
    <d v="2024-02-13T00:00:00"/>
    <x v="0"/>
  </r>
  <r>
    <n v="4228"/>
    <n v="18304"/>
    <x v="3"/>
    <n v="14308.09"/>
    <x v="1"/>
    <n v="36"/>
    <x v="1"/>
    <d v="2024-10-20T00:00:00"/>
    <d v="2024-11-25T00:00:00"/>
    <x v="6"/>
  </r>
  <r>
    <n v="4229"/>
    <n v="19509"/>
    <x v="2"/>
    <n v="158929.68"/>
    <x v="0"/>
    <n v="44"/>
    <x v="1"/>
    <d v="2024-03-15T00:00:00"/>
    <d v="2024-04-28T00:00:00"/>
    <x v="5"/>
  </r>
  <r>
    <n v="4230"/>
    <n v="11737"/>
    <x v="0"/>
    <n v="108950.37"/>
    <x v="0"/>
    <n v="17"/>
    <x v="1"/>
    <d v="2024-07-25T00:00:00"/>
    <d v="2024-08-11T00:00:00"/>
    <x v="2"/>
  </r>
  <r>
    <n v="4231"/>
    <n v="12061"/>
    <x v="3"/>
    <n v="117737.43"/>
    <x v="1"/>
    <n v="25"/>
    <x v="0"/>
    <d v="2024-06-26T00:00:00"/>
    <d v="2024-07-21T00:00:00"/>
    <x v="7"/>
  </r>
  <r>
    <n v="4232"/>
    <n v="19882"/>
    <x v="3"/>
    <n v="15254.44"/>
    <x v="0"/>
    <n v="36"/>
    <x v="2"/>
    <d v="2024-02-06T00:00:00"/>
    <d v="2024-03-13T00:00:00"/>
    <x v="4"/>
  </r>
  <r>
    <n v="4233"/>
    <n v="16283"/>
    <x v="2"/>
    <n v="54786.19"/>
    <x v="0"/>
    <n v="29"/>
    <x v="1"/>
    <d v="2024-04-29T00:00:00"/>
    <d v="2024-05-28T00:00:00"/>
    <x v="10"/>
  </r>
  <r>
    <n v="4234"/>
    <n v="19586"/>
    <x v="3"/>
    <n v="129479.09"/>
    <x v="0"/>
    <n v="43"/>
    <x v="3"/>
    <d v="2024-04-27T00:00:00"/>
    <d v="2024-06-09T00:00:00"/>
    <x v="10"/>
  </r>
  <r>
    <n v="4235"/>
    <n v="16840"/>
    <x v="3"/>
    <n v="172540.47"/>
    <x v="0"/>
    <n v="30"/>
    <x v="3"/>
    <d v="2024-01-01T00:00:00"/>
    <d v="2024-01-31T00:00:00"/>
    <x v="0"/>
  </r>
  <r>
    <n v="4236"/>
    <n v="13559"/>
    <x v="1"/>
    <n v="183811.76"/>
    <x v="1"/>
    <n v="22"/>
    <x v="3"/>
    <d v="2024-07-27T00:00:00"/>
    <d v="2024-08-18T00:00:00"/>
    <x v="2"/>
  </r>
  <r>
    <n v="4237"/>
    <n v="15461"/>
    <x v="2"/>
    <n v="102581.8"/>
    <x v="0"/>
    <n v="26"/>
    <x v="3"/>
    <d v="2024-11-06T00:00:00"/>
    <d v="2024-12-02T00:00:00"/>
    <x v="1"/>
  </r>
  <r>
    <n v="4238"/>
    <n v="17599"/>
    <x v="3"/>
    <n v="111367.48"/>
    <x v="0"/>
    <n v="40"/>
    <x v="0"/>
    <d v="2024-07-26T00:00:00"/>
    <d v="2024-09-04T00:00:00"/>
    <x v="2"/>
  </r>
  <r>
    <n v="4239"/>
    <n v="13883"/>
    <x v="3"/>
    <n v="167444.68"/>
    <x v="1"/>
    <n v="32"/>
    <x v="1"/>
    <d v="2024-06-02T00:00:00"/>
    <d v="2024-07-04T00:00:00"/>
    <x v="7"/>
  </r>
  <r>
    <n v="4240"/>
    <n v="13251"/>
    <x v="2"/>
    <n v="109836.8"/>
    <x v="0"/>
    <n v="16"/>
    <x v="2"/>
    <d v="2024-09-06T00:00:00"/>
    <d v="2024-09-22T00:00:00"/>
    <x v="9"/>
  </r>
  <r>
    <n v="4241"/>
    <n v="15053"/>
    <x v="3"/>
    <n v="105787.41"/>
    <x v="0"/>
    <n v="43"/>
    <x v="1"/>
    <d v="2024-06-19T00:00:00"/>
    <d v="2024-08-01T00:00:00"/>
    <x v="7"/>
  </r>
  <r>
    <n v="4242"/>
    <n v="13014"/>
    <x v="3"/>
    <n v="181491.39"/>
    <x v="0"/>
    <n v="36"/>
    <x v="0"/>
    <d v="2024-11-10T00:00:00"/>
    <d v="2024-12-16T00:00:00"/>
    <x v="1"/>
  </r>
  <r>
    <n v="4243"/>
    <n v="11128"/>
    <x v="1"/>
    <n v="159036.88"/>
    <x v="0"/>
    <n v="39"/>
    <x v="3"/>
    <d v="2024-11-02T00:00:00"/>
    <d v="2024-12-11T00:00:00"/>
    <x v="1"/>
  </r>
  <r>
    <n v="4244"/>
    <n v="16865"/>
    <x v="0"/>
    <n v="182269.14"/>
    <x v="2"/>
    <m/>
    <x v="0"/>
    <d v="2024-04-16T00:00:00"/>
    <m/>
    <x v="10"/>
  </r>
  <r>
    <n v="4245"/>
    <n v="16472"/>
    <x v="3"/>
    <n v="47558.18"/>
    <x v="1"/>
    <n v="6"/>
    <x v="1"/>
    <d v="2024-05-22T00:00:00"/>
    <d v="2024-05-28T00:00:00"/>
    <x v="3"/>
  </r>
  <r>
    <n v="4246"/>
    <n v="17416"/>
    <x v="2"/>
    <n v="107253.22"/>
    <x v="0"/>
    <n v="14"/>
    <x v="2"/>
    <d v="2024-01-08T00:00:00"/>
    <d v="2024-01-22T00:00:00"/>
    <x v="0"/>
  </r>
  <r>
    <n v="4247"/>
    <n v="11696"/>
    <x v="1"/>
    <n v="169282.07"/>
    <x v="0"/>
    <n v="33"/>
    <x v="0"/>
    <d v="2024-04-03T00:00:00"/>
    <d v="2024-05-06T00:00:00"/>
    <x v="10"/>
  </r>
  <r>
    <n v="4248"/>
    <n v="18324"/>
    <x v="3"/>
    <n v="26673.83"/>
    <x v="0"/>
    <n v="4"/>
    <x v="2"/>
    <d v="2024-04-06T00:00:00"/>
    <d v="2024-04-10T00:00:00"/>
    <x v="10"/>
  </r>
  <r>
    <n v="4249"/>
    <n v="17407"/>
    <x v="2"/>
    <n v="159959.12"/>
    <x v="0"/>
    <n v="16"/>
    <x v="0"/>
    <d v="2024-01-07T00:00:00"/>
    <d v="2024-01-23T00:00:00"/>
    <x v="0"/>
  </r>
  <r>
    <n v="4250"/>
    <n v="17245"/>
    <x v="3"/>
    <n v="40679.81"/>
    <x v="0"/>
    <n v="28"/>
    <x v="2"/>
    <d v="2024-09-30T00:00:00"/>
    <d v="2024-10-28T00:00:00"/>
    <x v="9"/>
  </r>
  <r>
    <n v="4251"/>
    <n v="14665"/>
    <x v="3"/>
    <n v="162583.16"/>
    <x v="0"/>
    <n v="28"/>
    <x v="2"/>
    <d v="2024-01-12T00:00:00"/>
    <d v="2024-02-09T00:00:00"/>
    <x v="0"/>
  </r>
  <r>
    <n v="4252"/>
    <n v="14220"/>
    <x v="1"/>
    <n v="124340.18"/>
    <x v="1"/>
    <n v="31"/>
    <x v="3"/>
    <d v="2024-01-02T00:00:00"/>
    <d v="2024-02-02T00:00:00"/>
    <x v="0"/>
  </r>
  <r>
    <n v="4253"/>
    <n v="17574"/>
    <x v="3"/>
    <n v="42681.02"/>
    <x v="1"/>
    <n v="7"/>
    <x v="2"/>
    <d v="2024-12-14T00:00:00"/>
    <d v="2024-12-21T00:00:00"/>
    <x v="11"/>
  </r>
  <r>
    <n v="4254"/>
    <n v="16170"/>
    <x v="3"/>
    <n v="97304.06"/>
    <x v="0"/>
    <n v="26"/>
    <x v="3"/>
    <d v="2024-01-07T00:00:00"/>
    <d v="2024-02-02T00:00:00"/>
    <x v="0"/>
  </r>
  <r>
    <n v="4255"/>
    <n v="10311"/>
    <x v="3"/>
    <n v="137971.51"/>
    <x v="0"/>
    <n v="29"/>
    <x v="1"/>
    <d v="2024-01-12T00:00:00"/>
    <d v="2024-02-10T00:00:00"/>
    <x v="0"/>
  </r>
  <r>
    <n v="4256"/>
    <n v="19977"/>
    <x v="3"/>
    <n v="128601.32"/>
    <x v="0"/>
    <n v="23"/>
    <x v="1"/>
    <d v="2024-12-05T00:00:00"/>
    <d v="2024-12-28T00:00:00"/>
    <x v="11"/>
  </r>
  <r>
    <n v="4257"/>
    <n v="15434"/>
    <x v="0"/>
    <n v="88313.2"/>
    <x v="1"/>
    <n v="5"/>
    <x v="3"/>
    <d v="2024-02-26T00:00:00"/>
    <d v="2024-03-02T00:00:00"/>
    <x v="4"/>
  </r>
  <r>
    <n v="4258"/>
    <n v="10401"/>
    <x v="1"/>
    <n v="180376.47"/>
    <x v="1"/>
    <n v="16"/>
    <x v="3"/>
    <d v="2024-03-18T00:00:00"/>
    <d v="2024-04-03T00:00:00"/>
    <x v="5"/>
  </r>
  <r>
    <n v="4259"/>
    <n v="15554"/>
    <x v="2"/>
    <n v="106256.37"/>
    <x v="2"/>
    <m/>
    <x v="0"/>
    <d v="2024-03-14T00:00:00"/>
    <m/>
    <x v="5"/>
  </r>
  <r>
    <n v="4260"/>
    <n v="11596"/>
    <x v="3"/>
    <n v="103644.12"/>
    <x v="0"/>
    <n v="19"/>
    <x v="0"/>
    <d v="2024-08-20T00:00:00"/>
    <d v="2024-09-08T00:00:00"/>
    <x v="8"/>
  </r>
  <r>
    <n v="4261"/>
    <n v="10121"/>
    <x v="3"/>
    <n v="17138.87"/>
    <x v="0"/>
    <n v="10"/>
    <x v="0"/>
    <d v="2024-10-05T00:00:00"/>
    <d v="2024-10-15T00:00:00"/>
    <x v="6"/>
  </r>
  <r>
    <n v="4262"/>
    <n v="10750"/>
    <x v="3"/>
    <n v="184813.48"/>
    <x v="0"/>
    <n v="5"/>
    <x v="1"/>
    <d v="2024-01-30T00:00:00"/>
    <d v="2024-02-04T00:00:00"/>
    <x v="0"/>
  </r>
  <r>
    <n v="4263"/>
    <n v="10105"/>
    <x v="3"/>
    <n v="39537.730000000003"/>
    <x v="0"/>
    <n v="6"/>
    <x v="0"/>
    <d v="2024-11-09T00:00:00"/>
    <d v="2024-11-15T00:00:00"/>
    <x v="1"/>
  </r>
  <r>
    <n v="4264"/>
    <n v="16934"/>
    <x v="3"/>
    <n v="108027.22"/>
    <x v="0"/>
    <n v="7"/>
    <x v="2"/>
    <d v="2024-04-04T00:00:00"/>
    <d v="2024-04-11T00:00:00"/>
    <x v="10"/>
  </r>
  <r>
    <n v="4265"/>
    <n v="19251"/>
    <x v="1"/>
    <n v="161695.67999999999"/>
    <x v="0"/>
    <n v="13"/>
    <x v="2"/>
    <d v="2024-11-03T00:00:00"/>
    <d v="2024-11-16T00:00:00"/>
    <x v="1"/>
  </r>
  <r>
    <n v="4266"/>
    <n v="13238"/>
    <x v="2"/>
    <n v="47013.39"/>
    <x v="0"/>
    <n v="32"/>
    <x v="0"/>
    <d v="2024-02-25T00:00:00"/>
    <d v="2024-03-28T00:00:00"/>
    <x v="4"/>
  </r>
  <r>
    <n v="4267"/>
    <n v="11244"/>
    <x v="2"/>
    <n v="107837.79"/>
    <x v="0"/>
    <n v="10"/>
    <x v="2"/>
    <d v="2024-01-10T00:00:00"/>
    <d v="2024-01-20T00:00:00"/>
    <x v="0"/>
  </r>
  <r>
    <n v="4268"/>
    <n v="18267"/>
    <x v="3"/>
    <n v="51933.56"/>
    <x v="0"/>
    <n v="8"/>
    <x v="1"/>
    <d v="2024-05-26T00:00:00"/>
    <d v="2024-06-03T00:00:00"/>
    <x v="3"/>
  </r>
  <r>
    <n v="4269"/>
    <n v="16865"/>
    <x v="0"/>
    <n v="153140.51999999999"/>
    <x v="0"/>
    <n v="30"/>
    <x v="2"/>
    <d v="2024-12-29T00:00:00"/>
    <d v="2025-01-28T00:00:00"/>
    <x v="11"/>
  </r>
  <r>
    <n v="4270"/>
    <n v="19201"/>
    <x v="3"/>
    <n v="115046.53"/>
    <x v="0"/>
    <n v="15"/>
    <x v="1"/>
    <d v="2024-03-27T00:00:00"/>
    <d v="2024-04-11T00:00:00"/>
    <x v="5"/>
  </r>
  <r>
    <n v="4271"/>
    <n v="13282"/>
    <x v="3"/>
    <n v="171915.29"/>
    <x v="0"/>
    <n v="21"/>
    <x v="3"/>
    <d v="2024-09-09T00:00:00"/>
    <d v="2024-09-30T00:00:00"/>
    <x v="9"/>
  </r>
  <r>
    <n v="4272"/>
    <n v="12275"/>
    <x v="0"/>
    <n v="179438.81"/>
    <x v="0"/>
    <n v="33"/>
    <x v="3"/>
    <d v="2024-07-05T00:00:00"/>
    <d v="2024-08-07T00:00:00"/>
    <x v="2"/>
  </r>
  <r>
    <n v="4273"/>
    <n v="13808"/>
    <x v="1"/>
    <n v="131503.03"/>
    <x v="0"/>
    <n v="23"/>
    <x v="3"/>
    <d v="2024-08-20T00:00:00"/>
    <d v="2024-09-12T00:00:00"/>
    <x v="8"/>
  </r>
  <r>
    <n v="4274"/>
    <n v="18644"/>
    <x v="3"/>
    <n v="146451.29"/>
    <x v="0"/>
    <n v="37"/>
    <x v="3"/>
    <d v="2024-09-09T00:00:00"/>
    <d v="2024-10-16T00:00:00"/>
    <x v="9"/>
  </r>
  <r>
    <n v="4275"/>
    <n v="10765"/>
    <x v="3"/>
    <n v="112097.92"/>
    <x v="2"/>
    <m/>
    <x v="2"/>
    <d v="2024-08-11T00:00:00"/>
    <m/>
    <x v="8"/>
  </r>
  <r>
    <n v="4276"/>
    <n v="14582"/>
    <x v="3"/>
    <n v="79963.600000000006"/>
    <x v="0"/>
    <n v="41"/>
    <x v="0"/>
    <d v="2024-12-05T00:00:00"/>
    <d v="2025-01-15T00:00:00"/>
    <x v="11"/>
  </r>
  <r>
    <n v="4277"/>
    <n v="12715"/>
    <x v="1"/>
    <n v="131382.99"/>
    <x v="0"/>
    <n v="26"/>
    <x v="2"/>
    <d v="2024-01-04T00:00:00"/>
    <d v="2024-01-30T00:00:00"/>
    <x v="0"/>
  </r>
  <r>
    <n v="4278"/>
    <n v="11497"/>
    <x v="3"/>
    <n v="182116.28"/>
    <x v="0"/>
    <n v="32"/>
    <x v="1"/>
    <d v="2024-12-18T00:00:00"/>
    <d v="2025-01-19T00:00:00"/>
    <x v="11"/>
  </r>
  <r>
    <n v="4279"/>
    <n v="12838"/>
    <x v="2"/>
    <n v="86252.67"/>
    <x v="1"/>
    <n v="36"/>
    <x v="2"/>
    <d v="2024-04-21T00:00:00"/>
    <d v="2024-05-27T00:00:00"/>
    <x v="10"/>
  </r>
  <r>
    <n v="4280"/>
    <n v="16036"/>
    <x v="3"/>
    <n v="66309.960000000006"/>
    <x v="0"/>
    <n v="27"/>
    <x v="2"/>
    <d v="2024-07-11T00:00:00"/>
    <d v="2024-08-07T00:00:00"/>
    <x v="2"/>
  </r>
  <r>
    <n v="4281"/>
    <n v="15066"/>
    <x v="3"/>
    <n v="80745.2"/>
    <x v="0"/>
    <n v="5"/>
    <x v="1"/>
    <d v="2024-05-20T00:00:00"/>
    <d v="2024-05-25T00:00:00"/>
    <x v="3"/>
  </r>
  <r>
    <n v="4282"/>
    <n v="10489"/>
    <x v="3"/>
    <n v="89902.54"/>
    <x v="0"/>
    <n v="43"/>
    <x v="3"/>
    <d v="2024-11-18T00:00:00"/>
    <d v="2024-12-31T00:00:00"/>
    <x v="1"/>
  </r>
  <r>
    <n v="4283"/>
    <n v="16374"/>
    <x v="1"/>
    <n v="19344.400000000001"/>
    <x v="1"/>
    <n v="21"/>
    <x v="3"/>
    <d v="2024-05-19T00:00:00"/>
    <d v="2024-06-09T00:00:00"/>
    <x v="3"/>
  </r>
  <r>
    <n v="4284"/>
    <n v="11935"/>
    <x v="3"/>
    <n v="102196.16"/>
    <x v="1"/>
    <n v="35"/>
    <x v="3"/>
    <d v="2024-12-14T00:00:00"/>
    <d v="2025-01-18T00:00:00"/>
    <x v="11"/>
  </r>
  <r>
    <n v="4285"/>
    <n v="12749"/>
    <x v="1"/>
    <n v="101391.28"/>
    <x v="0"/>
    <n v="13"/>
    <x v="0"/>
    <d v="2024-04-04T00:00:00"/>
    <d v="2024-04-17T00:00:00"/>
    <x v="10"/>
  </r>
  <r>
    <n v="4286"/>
    <n v="19295"/>
    <x v="0"/>
    <n v="119746.55"/>
    <x v="1"/>
    <n v="17"/>
    <x v="1"/>
    <d v="2024-02-10T00:00:00"/>
    <d v="2024-02-27T00:00:00"/>
    <x v="4"/>
  </r>
  <r>
    <n v="4287"/>
    <n v="17812"/>
    <x v="2"/>
    <n v="75749.91"/>
    <x v="1"/>
    <n v="43"/>
    <x v="1"/>
    <d v="2024-01-02T00:00:00"/>
    <d v="2024-02-14T00:00:00"/>
    <x v="0"/>
  </r>
  <r>
    <n v="4288"/>
    <n v="19791"/>
    <x v="0"/>
    <n v="124555.98"/>
    <x v="0"/>
    <n v="6"/>
    <x v="2"/>
    <d v="2024-10-04T00:00:00"/>
    <d v="2024-10-10T00:00:00"/>
    <x v="6"/>
  </r>
  <r>
    <n v="4289"/>
    <n v="17464"/>
    <x v="0"/>
    <n v="176252.18"/>
    <x v="0"/>
    <n v="36"/>
    <x v="0"/>
    <d v="2024-05-29T00:00:00"/>
    <d v="2024-07-04T00:00:00"/>
    <x v="3"/>
  </r>
  <r>
    <n v="4290"/>
    <n v="17777"/>
    <x v="1"/>
    <n v="191316.84"/>
    <x v="0"/>
    <n v="28"/>
    <x v="3"/>
    <d v="2024-02-10T00:00:00"/>
    <d v="2024-03-09T00:00:00"/>
    <x v="4"/>
  </r>
  <r>
    <n v="4291"/>
    <n v="18417"/>
    <x v="0"/>
    <n v="118804.38"/>
    <x v="1"/>
    <n v="2"/>
    <x v="0"/>
    <d v="2024-12-16T00:00:00"/>
    <d v="2024-12-18T00:00:00"/>
    <x v="11"/>
  </r>
  <r>
    <n v="4292"/>
    <n v="16286"/>
    <x v="3"/>
    <n v="13305.24"/>
    <x v="0"/>
    <n v="35"/>
    <x v="1"/>
    <d v="2024-04-25T00:00:00"/>
    <d v="2024-05-30T00:00:00"/>
    <x v="10"/>
  </r>
  <r>
    <n v="4293"/>
    <n v="19906"/>
    <x v="3"/>
    <n v="194001.02"/>
    <x v="2"/>
    <m/>
    <x v="1"/>
    <d v="2024-04-29T00:00:00"/>
    <m/>
    <x v="10"/>
  </r>
  <r>
    <n v="4294"/>
    <n v="14149"/>
    <x v="3"/>
    <n v="142643.1"/>
    <x v="0"/>
    <n v="33"/>
    <x v="2"/>
    <d v="2024-08-24T00:00:00"/>
    <d v="2024-09-26T00:00:00"/>
    <x v="8"/>
  </r>
  <r>
    <n v="4295"/>
    <n v="15848"/>
    <x v="3"/>
    <n v="70512.91"/>
    <x v="0"/>
    <n v="40"/>
    <x v="2"/>
    <d v="2024-09-26T00:00:00"/>
    <d v="2024-11-05T00:00:00"/>
    <x v="9"/>
  </r>
  <r>
    <n v="4296"/>
    <n v="17656"/>
    <x v="3"/>
    <n v="33695.75"/>
    <x v="1"/>
    <n v="34"/>
    <x v="1"/>
    <d v="2024-12-14T00:00:00"/>
    <d v="2025-01-17T00:00:00"/>
    <x v="11"/>
  </r>
  <r>
    <n v="4297"/>
    <n v="12345"/>
    <x v="2"/>
    <n v="32966.629999999997"/>
    <x v="0"/>
    <n v="32"/>
    <x v="3"/>
    <d v="2024-10-17T00:00:00"/>
    <d v="2024-11-18T00:00:00"/>
    <x v="6"/>
  </r>
  <r>
    <n v="4298"/>
    <n v="15549"/>
    <x v="3"/>
    <n v="37710.160000000003"/>
    <x v="0"/>
    <n v="14"/>
    <x v="3"/>
    <d v="2024-01-09T00:00:00"/>
    <d v="2024-01-23T00:00:00"/>
    <x v="0"/>
  </r>
  <r>
    <n v="4299"/>
    <n v="16680"/>
    <x v="3"/>
    <n v="13886.64"/>
    <x v="0"/>
    <n v="3"/>
    <x v="0"/>
    <d v="2024-08-26T00:00:00"/>
    <d v="2024-08-29T00:00:00"/>
    <x v="8"/>
  </r>
  <r>
    <n v="4300"/>
    <n v="18770"/>
    <x v="1"/>
    <n v="180920.07"/>
    <x v="0"/>
    <n v="31"/>
    <x v="1"/>
    <d v="2024-04-27T00:00:00"/>
    <d v="2024-05-28T00:00:00"/>
    <x v="10"/>
  </r>
  <r>
    <n v="4301"/>
    <n v="11698"/>
    <x v="3"/>
    <n v="110449.81"/>
    <x v="0"/>
    <n v="11"/>
    <x v="1"/>
    <d v="2024-12-17T00:00:00"/>
    <d v="2024-12-28T00:00:00"/>
    <x v="11"/>
  </r>
  <r>
    <n v="4302"/>
    <n v="16984"/>
    <x v="3"/>
    <n v="141492.09"/>
    <x v="0"/>
    <n v="24"/>
    <x v="3"/>
    <d v="2024-11-10T00:00:00"/>
    <d v="2024-12-04T00:00:00"/>
    <x v="1"/>
  </r>
  <r>
    <n v="4303"/>
    <n v="16037"/>
    <x v="3"/>
    <n v="166481.16"/>
    <x v="0"/>
    <n v="34"/>
    <x v="3"/>
    <d v="2024-11-07T00:00:00"/>
    <d v="2024-12-11T00:00:00"/>
    <x v="1"/>
  </r>
  <r>
    <n v="4304"/>
    <n v="15256"/>
    <x v="3"/>
    <n v="159350.5"/>
    <x v="2"/>
    <m/>
    <x v="1"/>
    <d v="2024-01-10T00:00:00"/>
    <m/>
    <x v="0"/>
  </r>
  <r>
    <n v="4305"/>
    <n v="16551"/>
    <x v="3"/>
    <n v="177108.1"/>
    <x v="2"/>
    <m/>
    <x v="2"/>
    <d v="2024-01-25T00:00:00"/>
    <m/>
    <x v="0"/>
  </r>
  <r>
    <n v="4306"/>
    <n v="10278"/>
    <x v="1"/>
    <n v="193614.65"/>
    <x v="0"/>
    <n v="31"/>
    <x v="1"/>
    <d v="2024-06-21T00:00:00"/>
    <d v="2024-07-22T00:00:00"/>
    <x v="7"/>
  </r>
  <r>
    <n v="4307"/>
    <n v="11468"/>
    <x v="1"/>
    <n v="90618.77"/>
    <x v="1"/>
    <n v="35"/>
    <x v="1"/>
    <d v="2024-08-12T00:00:00"/>
    <d v="2024-09-16T00:00:00"/>
    <x v="8"/>
  </r>
  <r>
    <n v="4308"/>
    <n v="19132"/>
    <x v="3"/>
    <n v="190315.42"/>
    <x v="0"/>
    <n v="40"/>
    <x v="3"/>
    <d v="2024-01-11T00:00:00"/>
    <d v="2024-02-20T00:00:00"/>
    <x v="0"/>
  </r>
  <r>
    <n v="4309"/>
    <n v="12318"/>
    <x v="3"/>
    <n v="146041.54"/>
    <x v="0"/>
    <n v="18"/>
    <x v="3"/>
    <d v="2024-04-10T00:00:00"/>
    <d v="2024-04-28T00:00:00"/>
    <x v="10"/>
  </r>
  <r>
    <n v="4310"/>
    <n v="14536"/>
    <x v="3"/>
    <n v="18780.3"/>
    <x v="0"/>
    <n v="23"/>
    <x v="2"/>
    <d v="2024-09-21T00:00:00"/>
    <d v="2024-10-14T00:00:00"/>
    <x v="9"/>
  </r>
  <r>
    <n v="4311"/>
    <n v="15347"/>
    <x v="1"/>
    <n v="137947.71"/>
    <x v="2"/>
    <m/>
    <x v="2"/>
    <d v="2024-11-22T00:00:00"/>
    <m/>
    <x v="1"/>
  </r>
  <r>
    <n v="4312"/>
    <n v="15939"/>
    <x v="3"/>
    <n v="138909.75"/>
    <x v="2"/>
    <m/>
    <x v="0"/>
    <d v="2024-03-23T00:00:00"/>
    <m/>
    <x v="5"/>
  </r>
  <r>
    <n v="4313"/>
    <n v="11783"/>
    <x v="3"/>
    <n v="181642.81"/>
    <x v="0"/>
    <n v="23"/>
    <x v="1"/>
    <d v="2024-10-02T00:00:00"/>
    <d v="2024-10-25T00:00:00"/>
    <x v="6"/>
  </r>
  <r>
    <n v="4314"/>
    <n v="16630"/>
    <x v="1"/>
    <n v="77721.77"/>
    <x v="0"/>
    <n v="33"/>
    <x v="3"/>
    <d v="2024-12-10T00:00:00"/>
    <d v="2025-01-12T00:00:00"/>
    <x v="11"/>
  </r>
  <r>
    <n v="4315"/>
    <n v="13226"/>
    <x v="3"/>
    <n v="119057.74"/>
    <x v="0"/>
    <n v="25"/>
    <x v="2"/>
    <d v="2024-09-17T00:00:00"/>
    <d v="2024-10-12T00:00:00"/>
    <x v="9"/>
  </r>
  <r>
    <n v="4316"/>
    <n v="19177"/>
    <x v="3"/>
    <n v="7376.57"/>
    <x v="0"/>
    <n v="12"/>
    <x v="0"/>
    <d v="2024-08-08T00:00:00"/>
    <d v="2024-08-20T00:00:00"/>
    <x v="8"/>
  </r>
  <r>
    <n v="4317"/>
    <n v="12819"/>
    <x v="3"/>
    <n v="69754.67"/>
    <x v="0"/>
    <n v="12"/>
    <x v="0"/>
    <d v="2024-11-06T00:00:00"/>
    <d v="2024-11-18T00:00:00"/>
    <x v="1"/>
  </r>
  <r>
    <n v="4318"/>
    <n v="13970"/>
    <x v="2"/>
    <n v="17137.53"/>
    <x v="0"/>
    <n v="18"/>
    <x v="3"/>
    <d v="2024-08-06T00:00:00"/>
    <d v="2024-08-24T00:00:00"/>
    <x v="8"/>
  </r>
  <r>
    <n v="4319"/>
    <n v="10424"/>
    <x v="0"/>
    <n v="106765.23"/>
    <x v="1"/>
    <n v="33"/>
    <x v="3"/>
    <d v="2024-03-29T00:00:00"/>
    <d v="2024-05-01T00:00:00"/>
    <x v="5"/>
  </r>
  <r>
    <n v="4320"/>
    <n v="12105"/>
    <x v="1"/>
    <n v="164402.29"/>
    <x v="0"/>
    <n v="20"/>
    <x v="0"/>
    <d v="2024-01-15T00:00:00"/>
    <d v="2024-02-04T00:00:00"/>
    <x v="0"/>
  </r>
  <r>
    <n v="4321"/>
    <n v="12470"/>
    <x v="3"/>
    <n v="45256.32"/>
    <x v="2"/>
    <m/>
    <x v="2"/>
    <d v="2024-09-02T00:00:00"/>
    <m/>
    <x v="9"/>
  </r>
  <r>
    <n v="4322"/>
    <n v="15894"/>
    <x v="1"/>
    <n v="107851"/>
    <x v="0"/>
    <n v="33"/>
    <x v="0"/>
    <d v="2024-06-24T00:00:00"/>
    <d v="2024-07-27T00:00:00"/>
    <x v="7"/>
  </r>
  <r>
    <n v="4323"/>
    <n v="13794"/>
    <x v="2"/>
    <n v="44781.68"/>
    <x v="0"/>
    <n v="26"/>
    <x v="1"/>
    <d v="2024-01-04T00:00:00"/>
    <d v="2024-01-30T00:00:00"/>
    <x v="0"/>
  </r>
  <r>
    <n v="4324"/>
    <n v="12891"/>
    <x v="2"/>
    <n v="28534.25"/>
    <x v="1"/>
    <n v="29"/>
    <x v="1"/>
    <d v="2024-11-29T00:00:00"/>
    <d v="2024-12-28T00:00:00"/>
    <x v="1"/>
  </r>
  <r>
    <n v="4325"/>
    <n v="19875"/>
    <x v="3"/>
    <n v="104644.37"/>
    <x v="1"/>
    <n v="41"/>
    <x v="3"/>
    <d v="2024-01-21T00:00:00"/>
    <d v="2024-03-02T00:00:00"/>
    <x v="0"/>
  </r>
  <r>
    <n v="4326"/>
    <n v="13147"/>
    <x v="0"/>
    <n v="20433.98"/>
    <x v="0"/>
    <n v="28"/>
    <x v="2"/>
    <d v="2024-07-26T00:00:00"/>
    <d v="2024-08-23T00:00:00"/>
    <x v="2"/>
  </r>
  <r>
    <n v="4327"/>
    <n v="14051"/>
    <x v="3"/>
    <n v="119534.15"/>
    <x v="0"/>
    <n v="15"/>
    <x v="2"/>
    <d v="2024-05-16T00:00:00"/>
    <d v="2024-05-31T00:00:00"/>
    <x v="3"/>
  </r>
  <r>
    <n v="4328"/>
    <n v="13651"/>
    <x v="3"/>
    <n v="11110.8"/>
    <x v="2"/>
    <m/>
    <x v="1"/>
    <d v="2024-11-17T00:00:00"/>
    <m/>
    <x v="1"/>
  </r>
  <r>
    <n v="4329"/>
    <n v="17901"/>
    <x v="1"/>
    <n v="25809.42"/>
    <x v="0"/>
    <n v="40"/>
    <x v="0"/>
    <d v="2024-12-28T00:00:00"/>
    <d v="2025-02-06T00:00:00"/>
    <x v="11"/>
  </r>
  <r>
    <n v="4330"/>
    <n v="11174"/>
    <x v="3"/>
    <n v="112249.51"/>
    <x v="0"/>
    <n v="3"/>
    <x v="3"/>
    <d v="2024-08-03T00:00:00"/>
    <d v="2024-08-06T00:00:00"/>
    <x v="8"/>
  </r>
  <r>
    <n v="4331"/>
    <n v="12949"/>
    <x v="2"/>
    <n v="120324.45"/>
    <x v="0"/>
    <n v="18"/>
    <x v="0"/>
    <d v="2024-04-26T00:00:00"/>
    <d v="2024-05-14T00:00:00"/>
    <x v="10"/>
  </r>
  <r>
    <n v="4332"/>
    <n v="18628"/>
    <x v="3"/>
    <n v="10652.45"/>
    <x v="1"/>
    <n v="2"/>
    <x v="0"/>
    <d v="2024-06-27T00:00:00"/>
    <d v="2024-06-29T00:00:00"/>
    <x v="7"/>
  </r>
  <r>
    <n v="4333"/>
    <n v="16116"/>
    <x v="1"/>
    <n v="116808.47"/>
    <x v="1"/>
    <n v="33"/>
    <x v="0"/>
    <d v="2024-09-02T00:00:00"/>
    <d v="2024-10-05T00:00:00"/>
    <x v="9"/>
  </r>
  <r>
    <n v="4334"/>
    <n v="10234"/>
    <x v="2"/>
    <n v="168507.99"/>
    <x v="2"/>
    <m/>
    <x v="2"/>
    <d v="2024-05-07T00:00:00"/>
    <m/>
    <x v="3"/>
  </r>
  <r>
    <n v="4335"/>
    <n v="17912"/>
    <x v="2"/>
    <n v="145851.65"/>
    <x v="0"/>
    <n v="15"/>
    <x v="1"/>
    <d v="2024-12-23T00:00:00"/>
    <d v="2025-01-07T00:00:00"/>
    <x v="11"/>
  </r>
  <r>
    <n v="4336"/>
    <n v="14770"/>
    <x v="3"/>
    <n v="30581.1"/>
    <x v="0"/>
    <n v="32"/>
    <x v="2"/>
    <d v="2024-03-18T00:00:00"/>
    <d v="2024-04-19T00:00:00"/>
    <x v="5"/>
  </r>
  <r>
    <n v="4337"/>
    <n v="15128"/>
    <x v="3"/>
    <n v="120532.56"/>
    <x v="0"/>
    <n v="19"/>
    <x v="1"/>
    <d v="2024-08-16T00:00:00"/>
    <d v="2024-09-04T00:00:00"/>
    <x v="8"/>
  </r>
  <r>
    <n v="4338"/>
    <n v="14856"/>
    <x v="1"/>
    <n v="136089.24"/>
    <x v="1"/>
    <n v="15"/>
    <x v="3"/>
    <d v="2024-10-19T00:00:00"/>
    <d v="2024-11-03T00:00:00"/>
    <x v="6"/>
  </r>
  <r>
    <n v="4339"/>
    <n v="18159"/>
    <x v="3"/>
    <n v="12260.08"/>
    <x v="0"/>
    <n v="15"/>
    <x v="3"/>
    <d v="2024-09-18T00:00:00"/>
    <d v="2024-10-03T00:00:00"/>
    <x v="9"/>
  </r>
  <r>
    <n v="4340"/>
    <n v="12474"/>
    <x v="2"/>
    <n v="171792.8"/>
    <x v="0"/>
    <n v="25"/>
    <x v="0"/>
    <d v="2024-03-22T00:00:00"/>
    <d v="2024-04-16T00:00:00"/>
    <x v="5"/>
  </r>
  <r>
    <n v="4341"/>
    <n v="10226"/>
    <x v="2"/>
    <n v="181722.14"/>
    <x v="0"/>
    <n v="6"/>
    <x v="1"/>
    <d v="2024-12-07T00:00:00"/>
    <d v="2024-12-13T00:00:00"/>
    <x v="11"/>
  </r>
  <r>
    <n v="4342"/>
    <n v="16160"/>
    <x v="3"/>
    <n v="170838.19"/>
    <x v="0"/>
    <n v="17"/>
    <x v="1"/>
    <d v="2024-12-03T00:00:00"/>
    <d v="2024-12-20T00:00:00"/>
    <x v="11"/>
  </r>
  <r>
    <n v="4343"/>
    <n v="14801"/>
    <x v="3"/>
    <n v="165803.14000000001"/>
    <x v="1"/>
    <n v="6"/>
    <x v="1"/>
    <d v="2024-11-02T00:00:00"/>
    <d v="2024-11-08T00:00:00"/>
    <x v="1"/>
  </r>
  <r>
    <n v="4344"/>
    <n v="15357"/>
    <x v="3"/>
    <n v="150268.21"/>
    <x v="0"/>
    <n v="14"/>
    <x v="0"/>
    <d v="2024-03-06T00:00:00"/>
    <d v="2024-03-20T00:00:00"/>
    <x v="5"/>
  </r>
  <r>
    <n v="4345"/>
    <n v="17548"/>
    <x v="2"/>
    <n v="128519.25"/>
    <x v="2"/>
    <m/>
    <x v="0"/>
    <d v="2024-04-05T00:00:00"/>
    <m/>
    <x v="10"/>
  </r>
  <r>
    <n v="4346"/>
    <n v="13995"/>
    <x v="3"/>
    <n v="137332.26999999999"/>
    <x v="0"/>
    <n v="16"/>
    <x v="3"/>
    <d v="2024-05-24T00:00:00"/>
    <d v="2024-06-09T00:00:00"/>
    <x v="3"/>
  </r>
  <r>
    <n v="4347"/>
    <n v="11410"/>
    <x v="3"/>
    <n v="162247.07999999999"/>
    <x v="2"/>
    <m/>
    <x v="2"/>
    <d v="2024-03-05T00:00:00"/>
    <m/>
    <x v="5"/>
  </r>
  <r>
    <n v="4348"/>
    <n v="14764"/>
    <x v="3"/>
    <n v="134187.20000000001"/>
    <x v="1"/>
    <n v="6"/>
    <x v="1"/>
    <d v="2024-01-09T00:00:00"/>
    <d v="2024-01-15T00:00:00"/>
    <x v="0"/>
  </r>
  <r>
    <n v="4349"/>
    <n v="11337"/>
    <x v="1"/>
    <n v="68906.759999999995"/>
    <x v="0"/>
    <n v="22"/>
    <x v="1"/>
    <d v="2024-12-22T00:00:00"/>
    <d v="2025-01-13T00:00:00"/>
    <x v="11"/>
  </r>
  <r>
    <n v="4350"/>
    <n v="15420"/>
    <x v="3"/>
    <n v="78312.41"/>
    <x v="2"/>
    <m/>
    <x v="2"/>
    <d v="2024-07-04T00:00:00"/>
    <m/>
    <x v="2"/>
  </r>
  <r>
    <n v="4351"/>
    <n v="10117"/>
    <x v="3"/>
    <n v="179926.21"/>
    <x v="0"/>
    <n v="24"/>
    <x v="1"/>
    <d v="2024-06-06T00:00:00"/>
    <d v="2024-06-30T00:00:00"/>
    <x v="7"/>
  </r>
  <r>
    <n v="4352"/>
    <n v="11868"/>
    <x v="2"/>
    <n v="8338.81"/>
    <x v="1"/>
    <n v="39"/>
    <x v="0"/>
    <d v="2024-01-31T00:00:00"/>
    <d v="2024-03-10T00:00:00"/>
    <x v="0"/>
  </r>
  <r>
    <n v="4353"/>
    <n v="12097"/>
    <x v="2"/>
    <n v="141270.01"/>
    <x v="1"/>
    <n v="30"/>
    <x v="0"/>
    <d v="2024-05-30T00:00:00"/>
    <d v="2024-06-29T00:00:00"/>
    <x v="3"/>
  </r>
  <r>
    <n v="4354"/>
    <n v="11813"/>
    <x v="1"/>
    <n v="191181.62"/>
    <x v="1"/>
    <n v="14"/>
    <x v="1"/>
    <d v="2024-11-14T00:00:00"/>
    <d v="2024-11-28T00:00:00"/>
    <x v="1"/>
  </r>
  <r>
    <n v="4355"/>
    <n v="19779"/>
    <x v="3"/>
    <n v="142714.49"/>
    <x v="0"/>
    <n v="33"/>
    <x v="0"/>
    <d v="2024-08-29T00:00:00"/>
    <d v="2024-10-01T00:00:00"/>
    <x v="8"/>
  </r>
  <r>
    <n v="4356"/>
    <n v="18734"/>
    <x v="3"/>
    <n v="198812.84"/>
    <x v="0"/>
    <n v="43"/>
    <x v="0"/>
    <d v="2024-06-04T00:00:00"/>
    <d v="2024-07-17T00:00:00"/>
    <x v="7"/>
  </r>
  <r>
    <n v="4357"/>
    <n v="12374"/>
    <x v="1"/>
    <n v="139071.26"/>
    <x v="0"/>
    <n v="28"/>
    <x v="1"/>
    <d v="2024-02-28T00:00:00"/>
    <d v="2024-03-27T00:00:00"/>
    <x v="4"/>
  </r>
  <r>
    <n v="4358"/>
    <n v="11526"/>
    <x v="3"/>
    <n v="11700.79"/>
    <x v="0"/>
    <n v="35"/>
    <x v="3"/>
    <d v="2024-01-10T00:00:00"/>
    <d v="2024-02-14T00:00:00"/>
    <x v="0"/>
  </r>
  <r>
    <n v="4359"/>
    <n v="17087"/>
    <x v="2"/>
    <n v="166266.93"/>
    <x v="1"/>
    <n v="34"/>
    <x v="2"/>
    <d v="2024-12-10T00:00:00"/>
    <d v="2025-01-13T00:00:00"/>
    <x v="11"/>
  </r>
  <r>
    <n v="4360"/>
    <n v="19461"/>
    <x v="1"/>
    <n v="60502.83"/>
    <x v="1"/>
    <n v="5"/>
    <x v="0"/>
    <d v="2024-05-03T00:00:00"/>
    <d v="2024-05-08T00:00:00"/>
    <x v="3"/>
  </r>
  <r>
    <n v="4361"/>
    <n v="18793"/>
    <x v="3"/>
    <n v="91981.16"/>
    <x v="2"/>
    <m/>
    <x v="3"/>
    <d v="2024-12-21T00:00:00"/>
    <m/>
    <x v="11"/>
  </r>
  <r>
    <n v="4362"/>
    <n v="13614"/>
    <x v="2"/>
    <n v="65857.919999999998"/>
    <x v="0"/>
    <n v="7"/>
    <x v="0"/>
    <d v="2024-12-11T00:00:00"/>
    <d v="2024-12-18T00:00:00"/>
    <x v="11"/>
  </r>
  <r>
    <n v="4363"/>
    <n v="12149"/>
    <x v="2"/>
    <n v="57368.05"/>
    <x v="1"/>
    <n v="29"/>
    <x v="0"/>
    <d v="2024-10-08T00:00:00"/>
    <d v="2024-11-06T00:00:00"/>
    <x v="6"/>
  </r>
  <r>
    <n v="4364"/>
    <n v="13301"/>
    <x v="3"/>
    <n v="89124.11"/>
    <x v="2"/>
    <m/>
    <x v="2"/>
    <d v="2024-08-24T00:00:00"/>
    <m/>
    <x v="8"/>
  </r>
  <r>
    <n v="4365"/>
    <n v="18579"/>
    <x v="1"/>
    <n v="78856.53"/>
    <x v="1"/>
    <n v="27"/>
    <x v="0"/>
    <d v="2024-11-28T00:00:00"/>
    <d v="2024-12-25T00:00:00"/>
    <x v="1"/>
  </r>
  <r>
    <n v="4366"/>
    <n v="13680"/>
    <x v="3"/>
    <n v="128501.02"/>
    <x v="0"/>
    <n v="21"/>
    <x v="2"/>
    <d v="2024-01-17T00:00:00"/>
    <d v="2024-02-07T00:00:00"/>
    <x v="0"/>
  </r>
  <r>
    <n v="4367"/>
    <n v="19794"/>
    <x v="3"/>
    <n v="163564.48000000001"/>
    <x v="0"/>
    <n v="14"/>
    <x v="2"/>
    <d v="2024-11-19T00:00:00"/>
    <d v="2024-12-03T00:00:00"/>
    <x v="1"/>
  </r>
  <r>
    <n v="4368"/>
    <n v="13282"/>
    <x v="3"/>
    <n v="62932.29"/>
    <x v="0"/>
    <n v="29"/>
    <x v="2"/>
    <d v="2024-01-23T00:00:00"/>
    <d v="2024-02-21T00:00:00"/>
    <x v="0"/>
  </r>
  <r>
    <n v="4369"/>
    <n v="12696"/>
    <x v="1"/>
    <n v="46675.62"/>
    <x v="0"/>
    <n v="35"/>
    <x v="3"/>
    <d v="2024-01-09T00:00:00"/>
    <d v="2024-02-13T00:00:00"/>
    <x v="0"/>
  </r>
  <r>
    <n v="4370"/>
    <n v="14151"/>
    <x v="2"/>
    <n v="135044.57999999999"/>
    <x v="0"/>
    <n v="24"/>
    <x v="1"/>
    <d v="2024-07-25T00:00:00"/>
    <d v="2024-08-18T00:00:00"/>
    <x v="2"/>
  </r>
  <r>
    <n v="4371"/>
    <n v="11305"/>
    <x v="1"/>
    <n v="135712.41"/>
    <x v="2"/>
    <m/>
    <x v="3"/>
    <d v="2024-02-14T00:00:00"/>
    <m/>
    <x v="4"/>
  </r>
  <r>
    <n v="4372"/>
    <n v="10716"/>
    <x v="3"/>
    <n v="180720.59"/>
    <x v="0"/>
    <n v="31"/>
    <x v="1"/>
    <d v="2024-11-26T00:00:00"/>
    <d v="2024-12-27T00:00:00"/>
    <x v="1"/>
  </r>
  <r>
    <n v="4373"/>
    <n v="15845"/>
    <x v="1"/>
    <n v="8109.41"/>
    <x v="0"/>
    <n v="23"/>
    <x v="1"/>
    <d v="2024-01-27T00:00:00"/>
    <d v="2024-02-19T00:00:00"/>
    <x v="0"/>
  </r>
  <r>
    <n v="4374"/>
    <n v="15758"/>
    <x v="3"/>
    <n v="171342.93"/>
    <x v="0"/>
    <n v="6"/>
    <x v="2"/>
    <d v="2024-07-06T00:00:00"/>
    <d v="2024-07-12T00:00:00"/>
    <x v="2"/>
  </r>
  <r>
    <n v="4375"/>
    <n v="13655"/>
    <x v="0"/>
    <n v="106595.42"/>
    <x v="1"/>
    <n v="10"/>
    <x v="0"/>
    <d v="2024-05-19T00:00:00"/>
    <d v="2024-05-29T00:00:00"/>
    <x v="3"/>
  </r>
  <r>
    <n v="4376"/>
    <n v="16359"/>
    <x v="3"/>
    <n v="126153.91"/>
    <x v="2"/>
    <m/>
    <x v="2"/>
    <d v="2024-01-09T00:00:00"/>
    <m/>
    <x v="0"/>
  </r>
  <r>
    <n v="4377"/>
    <n v="18505"/>
    <x v="3"/>
    <n v="22817.43"/>
    <x v="1"/>
    <n v="5"/>
    <x v="0"/>
    <d v="2024-08-21T00:00:00"/>
    <d v="2024-08-26T00:00:00"/>
    <x v="8"/>
  </r>
  <r>
    <n v="4378"/>
    <n v="12280"/>
    <x v="3"/>
    <n v="89359.91"/>
    <x v="0"/>
    <n v="43"/>
    <x v="1"/>
    <d v="2024-04-01T00:00:00"/>
    <d v="2024-05-14T00:00:00"/>
    <x v="10"/>
  </r>
  <r>
    <n v="4379"/>
    <n v="12622"/>
    <x v="1"/>
    <n v="49323.97"/>
    <x v="0"/>
    <n v="2"/>
    <x v="2"/>
    <d v="2024-03-17T00:00:00"/>
    <d v="2024-03-19T00:00:00"/>
    <x v="5"/>
  </r>
  <r>
    <n v="4380"/>
    <n v="19079"/>
    <x v="3"/>
    <n v="54573.88"/>
    <x v="1"/>
    <n v="35"/>
    <x v="0"/>
    <d v="2024-12-05T00:00:00"/>
    <d v="2025-01-09T00:00:00"/>
    <x v="11"/>
  </r>
  <r>
    <n v="4381"/>
    <n v="14342"/>
    <x v="1"/>
    <n v="103298.55"/>
    <x v="0"/>
    <n v="42"/>
    <x v="3"/>
    <d v="2024-08-31T00:00:00"/>
    <d v="2024-10-12T00:00:00"/>
    <x v="8"/>
  </r>
  <r>
    <n v="4382"/>
    <n v="12489"/>
    <x v="3"/>
    <n v="163428.91"/>
    <x v="0"/>
    <n v="27"/>
    <x v="0"/>
    <d v="2024-11-28T00:00:00"/>
    <d v="2024-12-25T00:00:00"/>
    <x v="1"/>
  </r>
  <r>
    <n v="4383"/>
    <n v="11922"/>
    <x v="3"/>
    <n v="150037.28"/>
    <x v="0"/>
    <n v="19"/>
    <x v="2"/>
    <d v="2024-06-03T00:00:00"/>
    <d v="2024-06-22T00:00:00"/>
    <x v="7"/>
  </r>
  <r>
    <n v="4384"/>
    <n v="16278"/>
    <x v="3"/>
    <n v="120244.99"/>
    <x v="0"/>
    <n v="17"/>
    <x v="3"/>
    <d v="2024-08-05T00:00:00"/>
    <d v="2024-08-22T00:00:00"/>
    <x v="8"/>
  </r>
  <r>
    <n v="4385"/>
    <n v="18115"/>
    <x v="2"/>
    <n v="110186.55"/>
    <x v="1"/>
    <n v="24"/>
    <x v="0"/>
    <d v="2024-10-11T00:00:00"/>
    <d v="2024-11-04T00:00:00"/>
    <x v="6"/>
  </r>
  <r>
    <n v="4386"/>
    <n v="18049"/>
    <x v="2"/>
    <n v="88324.68"/>
    <x v="0"/>
    <n v="37"/>
    <x v="0"/>
    <d v="2024-05-29T00:00:00"/>
    <d v="2024-07-05T00:00:00"/>
    <x v="3"/>
  </r>
  <r>
    <n v="4387"/>
    <n v="14029"/>
    <x v="3"/>
    <n v="194678.44"/>
    <x v="0"/>
    <n v="27"/>
    <x v="0"/>
    <d v="2024-11-24T00:00:00"/>
    <d v="2024-12-21T00:00:00"/>
    <x v="1"/>
  </r>
  <r>
    <n v="4388"/>
    <n v="13063"/>
    <x v="3"/>
    <n v="114237.55"/>
    <x v="0"/>
    <n v="3"/>
    <x v="0"/>
    <d v="2024-03-28T00:00:00"/>
    <d v="2024-03-31T00:00:00"/>
    <x v="5"/>
  </r>
  <r>
    <n v="4389"/>
    <n v="18352"/>
    <x v="3"/>
    <n v="54523.45"/>
    <x v="0"/>
    <n v="6"/>
    <x v="0"/>
    <d v="2024-04-15T00:00:00"/>
    <d v="2024-04-21T00:00:00"/>
    <x v="10"/>
  </r>
  <r>
    <n v="4390"/>
    <n v="19675"/>
    <x v="1"/>
    <n v="49867.7"/>
    <x v="0"/>
    <n v="30"/>
    <x v="3"/>
    <d v="2024-10-20T00:00:00"/>
    <d v="2024-11-19T00:00:00"/>
    <x v="6"/>
  </r>
  <r>
    <n v="4391"/>
    <n v="13892"/>
    <x v="3"/>
    <n v="124213.84"/>
    <x v="0"/>
    <n v="5"/>
    <x v="1"/>
    <d v="2024-04-04T00:00:00"/>
    <d v="2024-04-09T00:00:00"/>
    <x v="10"/>
  </r>
  <r>
    <n v="4392"/>
    <n v="11737"/>
    <x v="2"/>
    <n v="106951.37"/>
    <x v="0"/>
    <n v="36"/>
    <x v="3"/>
    <d v="2024-09-09T00:00:00"/>
    <d v="2024-10-15T00:00:00"/>
    <x v="9"/>
  </r>
  <r>
    <n v="4393"/>
    <n v="14220"/>
    <x v="2"/>
    <n v="6501.07"/>
    <x v="0"/>
    <n v="23"/>
    <x v="3"/>
    <d v="2024-02-08T00:00:00"/>
    <d v="2024-03-02T00:00:00"/>
    <x v="4"/>
  </r>
  <r>
    <n v="4394"/>
    <n v="17080"/>
    <x v="3"/>
    <n v="166862.75"/>
    <x v="0"/>
    <n v="9"/>
    <x v="3"/>
    <d v="2024-09-11T00:00:00"/>
    <d v="2024-09-20T00:00:00"/>
    <x v="9"/>
  </r>
  <r>
    <n v="4395"/>
    <n v="19562"/>
    <x v="3"/>
    <n v="142303.85999999999"/>
    <x v="0"/>
    <n v="22"/>
    <x v="1"/>
    <d v="2024-02-23T00:00:00"/>
    <d v="2024-03-16T00:00:00"/>
    <x v="4"/>
  </r>
  <r>
    <n v="4396"/>
    <n v="13395"/>
    <x v="0"/>
    <n v="134056.71"/>
    <x v="0"/>
    <n v="9"/>
    <x v="2"/>
    <d v="2024-08-30T00:00:00"/>
    <d v="2024-09-08T00:00:00"/>
    <x v="8"/>
  </r>
  <r>
    <n v="4397"/>
    <n v="12454"/>
    <x v="0"/>
    <n v="18412.23"/>
    <x v="0"/>
    <n v="6"/>
    <x v="1"/>
    <d v="2024-04-19T00:00:00"/>
    <d v="2024-04-25T00:00:00"/>
    <x v="10"/>
  </r>
  <r>
    <n v="4398"/>
    <n v="14957"/>
    <x v="3"/>
    <n v="75600.89"/>
    <x v="1"/>
    <n v="22"/>
    <x v="3"/>
    <d v="2024-09-10T00:00:00"/>
    <d v="2024-10-02T00:00:00"/>
    <x v="9"/>
  </r>
  <r>
    <n v="4399"/>
    <n v="12287"/>
    <x v="3"/>
    <n v="187399.54"/>
    <x v="0"/>
    <n v="28"/>
    <x v="0"/>
    <d v="2024-04-21T00:00:00"/>
    <d v="2024-05-19T00:00:00"/>
    <x v="10"/>
  </r>
  <r>
    <n v="4400"/>
    <n v="19428"/>
    <x v="3"/>
    <n v="173204.9"/>
    <x v="0"/>
    <n v="39"/>
    <x v="0"/>
    <d v="2024-06-22T00:00:00"/>
    <d v="2024-07-31T00:00:00"/>
    <x v="7"/>
  </r>
  <r>
    <n v="4401"/>
    <n v="18150"/>
    <x v="3"/>
    <n v="60680.87"/>
    <x v="0"/>
    <n v="6"/>
    <x v="3"/>
    <d v="2024-07-07T00:00:00"/>
    <d v="2024-07-13T00:00:00"/>
    <x v="2"/>
  </r>
  <r>
    <n v="4402"/>
    <n v="16292"/>
    <x v="3"/>
    <n v="35626.480000000003"/>
    <x v="2"/>
    <m/>
    <x v="0"/>
    <d v="2024-08-08T00:00:00"/>
    <m/>
    <x v="8"/>
  </r>
  <r>
    <n v="4403"/>
    <n v="19398"/>
    <x v="3"/>
    <n v="92572.15"/>
    <x v="0"/>
    <n v="9"/>
    <x v="3"/>
    <d v="2024-09-05T00:00:00"/>
    <d v="2024-09-14T00:00:00"/>
    <x v="9"/>
  </r>
  <r>
    <n v="4404"/>
    <n v="18696"/>
    <x v="1"/>
    <n v="74386.92"/>
    <x v="0"/>
    <n v="23"/>
    <x v="0"/>
    <d v="2024-02-21T00:00:00"/>
    <d v="2024-03-15T00:00:00"/>
    <x v="4"/>
  </r>
  <r>
    <n v="4405"/>
    <n v="19595"/>
    <x v="3"/>
    <n v="138034.14000000001"/>
    <x v="1"/>
    <n v="19"/>
    <x v="1"/>
    <d v="2024-06-10T00:00:00"/>
    <d v="2024-06-29T00:00:00"/>
    <x v="7"/>
  </r>
  <r>
    <n v="4406"/>
    <n v="19959"/>
    <x v="3"/>
    <n v="193454.79"/>
    <x v="1"/>
    <n v="5"/>
    <x v="2"/>
    <d v="2024-02-04T00:00:00"/>
    <d v="2024-02-09T00:00:00"/>
    <x v="4"/>
  </r>
  <r>
    <n v="4407"/>
    <n v="13733"/>
    <x v="3"/>
    <n v="75785.279999999999"/>
    <x v="1"/>
    <n v="5"/>
    <x v="2"/>
    <d v="2024-02-06T00:00:00"/>
    <d v="2024-02-11T00:00:00"/>
    <x v="4"/>
  </r>
  <r>
    <n v="4408"/>
    <n v="18892"/>
    <x v="0"/>
    <n v="17133.71"/>
    <x v="0"/>
    <n v="38"/>
    <x v="1"/>
    <d v="2024-11-29T00:00:00"/>
    <d v="2025-01-06T00:00:00"/>
    <x v="1"/>
  </r>
  <r>
    <n v="4409"/>
    <n v="15113"/>
    <x v="0"/>
    <n v="180034.73"/>
    <x v="0"/>
    <n v="16"/>
    <x v="1"/>
    <d v="2024-11-12T00:00:00"/>
    <d v="2024-11-28T00:00:00"/>
    <x v="1"/>
  </r>
  <r>
    <n v="4410"/>
    <n v="13005"/>
    <x v="3"/>
    <n v="12400.2"/>
    <x v="0"/>
    <n v="39"/>
    <x v="3"/>
    <d v="2024-04-20T00:00:00"/>
    <d v="2024-05-29T00:00:00"/>
    <x v="10"/>
  </r>
  <r>
    <n v="4411"/>
    <n v="14790"/>
    <x v="3"/>
    <n v="190789.35"/>
    <x v="2"/>
    <m/>
    <x v="3"/>
    <d v="2024-06-25T00:00:00"/>
    <m/>
    <x v="7"/>
  </r>
  <r>
    <n v="4412"/>
    <n v="10010"/>
    <x v="2"/>
    <n v="134592.99"/>
    <x v="0"/>
    <n v="22"/>
    <x v="3"/>
    <d v="2024-01-09T00:00:00"/>
    <d v="2024-01-31T00:00:00"/>
    <x v="0"/>
  </r>
  <r>
    <n v="4413"/>
    <n v="15221"/>
    <x v="3"/>
    <n v="188629.4"/>
    <x v="0"/>
    <n v="5"/>
    <x v="0"/>
    <d v="2024-10-01T00:00:00"/>
    <d v="2024-10-06T00:00:00"/>
    <x v="6"/>
  </r>
  <r>
    <n v="4414"/>
    <n v="13677"/>
    <x v="3"/>
    <n v="43933.64"/>
    <x v="2"/>
    <m/>
    <x v="3"/>
    <d v="2024-04-30T00:00:00"/>
    <m/>
    <x v="10"/>
  </r>
  <r>
    <n v="4415"/>
    <n v="19164"/>
    <x v="3"/>
    <n v="12936.46"/>
    <x v="2"/>
    <m/>
    <x v="1"/>
    <d v="2024-04-14T00:00:00"/>
    <m/>
    <x v="10"/>
  </r>
  <r>
    <n v="4416"/>
    <n v="17334"/>
    <x v="3"/>
    <n v="100200.95"/>
    <x v="2"/>
    <m/>
    <x v="2"/>
    <d v="2024-06-04T00:00:00"/>
    <m/>
    <x v="7"/>
  </r>
  <r>
    <n v="4417"/>
    <n v="15164"/>
    <x v="3"/>
    <n v="92871.57"/>
    <x v="1"/>
    <n v="28"/>
    <x v="0"/>
    <d v="2024-12-01T00:00:00"/>
    <d v="2024-12-29T00:00:00"/>
    <x v="11"/>
  </r>
  <r>
    <n v="4418"/>
    <n v="19033"/>
    <x v="2"/>
    <n v="69640.990000000005"/>
    <x v="2"/>
    <m/>
    <x v="3"/>
    <d v="2024-01-26T00:00:00"/>
    <m/>
    <x v="0"/>
  </r>
  <r>
    <n v="4419"/>
    <n v="16860"/>
    <x v="1"/>
    <n v="191743.01"/>
    <x v="0"/>
    <n v="43"/>
    <x v="0"/>
    <d v="2024-10-22T00:00:00"/>
    <d v="2024-12-04T00:00:00"/>
    <x v="6"/>
  </r>
  <r>
    <n v="4420"/>
    <n v="18105"/>
    <x v="3"/>
    <n v="165403.82999999999"/>
    <x v="1"/>
    <n v="29"/>
    <x v="0"/>
    <d v="2024-01-25T00:00:00"/>
    <d v="2024-02-23T00:00:00"/>
    <x v="0"/>
  </r>
  <r>
    <n v="4421"/>
    <n v="10284"/>
    <x v="2"/>
    <n v="134008.49"/>
    <x v="1"/>
    <n v="6"/>
    <x v="3"/>
    <d v="2024-12-20T00:00:00"/>
    <d v="2024-12-26T00:00:00"/>
    <x v="11"/>
  </r>
  <r>
    <n v="4422"/>
    <n v="16543"/>
    <x v="3"/>
    <n v="36757.370000000003"/>
    <x v="0"/>
    <n v="26"/>
    <x v="0"/>
    <d v="2024-03-09T00:00:00"/>
    <d v="2024-04-04T00:00:00"/>
    <x v="5"/>
  </r>
  <r>
    <n v="4423"/>
    <n v="15570"/>
    <x v="3"/>
    <n v="148193.06"/>
    <x v="0"/>
    <n v="4"/>
    <x v="2"/>
    <d v="2024-11-22T00:00:00"/>
    <d v="2024-11-26T00:00:00"/>
    <x v="1"/>
  </r>
  <r>
    <n v="4424"/>
    <n v="15731"/>
    <x v="1"/>
    <n v="146767.43"/>
    <x v="2"/>
    <m/>
    <x v="1"/>
    <d v="2024-05-30T00:00:00"/>
    <m/>
    <x v="3"/>
  </r>
  <r>
    <n v="4425"/>
    <n v="17611"/>
    <x v="1"/>
    <n v="87888.29"/>
    <x v="0"/>
    <n v="11"/>
    <x v="1"/>
    <d v="2024-12-10T00:00:00"/>
    <d v="2024-12-21T00:00:00"/>
    <x v="11"/>
  </r>
  <r>
    <n v="4426"/>
    <n v="12435"/>
    <x v="3"/>
    <n v="185333.25"/>
    <x v="1"/>
    <n v="25"/>
    <x v="2"/>
    <d v="2024-03-05T00:00:00"/>
    <d v="2024-03-30T00:00:00"/>
    <x v="5"/>
  </r>
  <r>
    <n v="4427"/>
    <n v="17523"/>
    <x v="3"/>
    <n v="37560.69"/>
    <x v="0"/>
    <n v="30"/>
    <x v="0"/>
    <d v="2024-05-29T00:00:00"/>
    <d v="2024-06-28T00:00:00"/>
    <x v="3"/>
  </r>
  <r>
    <n v="4428"/>
    <n v="11029"/>
    <x v="1"/>
    <n v="57130.82"/>
    <x v="0"/>
    <n v="8"/>
    <x v="3"/>
    <d v="2024-11-15T00:00:00"/>
    <d v="2024-11-23T00:00:00"/>
    <x v="1"/>
  </r>
  <r>
    <n v="4429"/>
    <n v="16584"/>
    <x v="1"/>
    <n v="17328.75"/>
    <x v="0"/>
    <n v="24"/>
    <x v="0"/>
    <d v="2024-09-01T00:00:00"/>
    <d v="2024-09-25T00:00:00"/>
    <x v="9"/>
  </r>
  <r>
    <n v="4430"/>
    <n v="18091"/>
    <x v="1"/>
    <n v="160112.94"/>
    <x v="0"/>
    <n v="28"/>
    <x v="2"/>
    <d v="2024-02-27T00:00:00"/>
    <d v="2024-03-26T00:00:00"/>
    <x v="4"/>
  </r>
  <r>
    <n v="4431"/>
    <n v="14451"/>
    <x v="3"/>
    <n v="126243.08"/>
    <x v="0"/>
    <n v="43"/>
    <x v="0"/>
    <d v="2024-06-04T00:00:00"/>
    <d v="2024-07-17T00:00:00"/>
    <x v="7"/>
  </r>
  <r>
    <n v="4432"/>
    <n v="12966"/>
    <x v="3"/>
    <n v="66413.36"/>
    <x v="0"/>
    <n v="10"/>
    <x v="1"/>
    <d v="2024-04-21T00:00:00"/>
    <d v="2024-05-01T00:00:00"/>
    <x v="10"/>
  </r>
  <r>
    <n v="4433"/>
    <n v="17755"/>
    <x v="3"/>
    <n v="36943.660000000003"/>
    <x v="0"/>
    <n v="4"/>
    <x v="0"/>
    <d v="2024-05-02T00:00:00"/>
    <d v="2024-05-06T00:00:00"/>
    <x v="3"/>
  </r>
  <r>
    <n v="4434"/>
    <n v="10553"/>
    <x v="3"/>
    <n v="12828.82"/>
    <x v="0"/>
    <n v="14"/>
    <x v="2"/>
    <d v="2024-12-18T00:00:00"/>
    <d v="2025-01-01T00:00:00"/>
    <x v="11"/>
  </r>
  <r>
    <n v="4435"/>
    <n v="10267"/>
    <x v="2"/>
    <n v="37515.39"/>
    <x v="0"/>
    <n v="7"/>
    <x v="1"/>
    <d v="2024-12-27T00:00:00"/>
    <d v="2025-01-03T00:00:00"/>
    <x v="11"/>
  </r>
  <r>
    <n v="4436"/>
    <n v="17135"/>
    <x v="3"/>
    <n v="93390.51"/>
    <x v="0"/>
    <n v="39"/>
    <x v="0"/>
    <d v="2024-07-21T00:00:00"/>
    <d v="2024-08-29T00:00:00"/>
    <x v="2"/>
  </r>
  <r>
    <n v="4437"/>
    <n v="11240"/>
    <x v="3"/>
    <n v="53199.51"/>
    <x v="1"/>
    <n v="22"/>
    <x v="0"/>
    <d v="2024-01-04T00:00:00"/>
    <d v="2024-01-26T00:00:00"/>
    <x v="0"/>
  </r>
  <r>
    <n v="4438"/>
    <n v="14159"/>
    <x v="1"/>
    <n v="55501.52"/>
    <x v="0"/>
    <n v="20"/>
    <x v="1"/>
    <d v="2024-05-08T00:00:00"/>
    <d v="2024-05-28T00:00:00"/>
    <x v="3"/>
  </r>
  <r>
    <n v="4439"/>
    <n v="12489"/>
    <x v="3"/>
    <n v="175737.39"/>
    <x v="0"/>
    <n v="26"/>
    <x v="3"/>
    <d v="2024-01-26T00:00:00"/>
    <d v="2024-02-21T00:00:00"/>
    <x v="0"/>
  </r>
  <r>
    <n v="4440"/>
    <n v="17858"/>
    <x v="3"/>
    <n v="105451.85"/>
    <x v="0"/>
    <n v="40"/>
    <x v="1"/>
    <d v="2024-10-15T00:00:00"/>
    <d v="2024-11-24T00:00:00"/>
    <x v="6"/>
  </r>
  <r>
    <n v="4441"/>
    <n v="15394"/>
    <x v="0"/>
    <n v="147204.13"/>
    <x v="0"/>
    <n v="5"/>
    <x v="3"/>
    <d v="2024-01-27T00:00:00"/>
    <d v="2024-02-01T00:00:00"/>
    <x v="0"/>
  </r>
  <r>
    <n v="4442"/>
    <n v="18661"/>
    <x v="0"/>
    <n v="11963.64"/>
    <x v="0"/>
    <n v="23"/>
    <x v="2"/>
    <d v="2024-02-11T00:00:00"/>
    <d v="2024-03-05T00:00:00"/>
    <x v="4"/>
  </r>
  <r>
    <n v="4443"/>
    <n v="13287"/>
    <x v="1"/>
    <n v="76206.850000000006"/>
    <x v="0"/>
    <n v="6"/>
    <x v="2"/>
    <d v="2024-03-11T00:00:00"/>
    <d v="2024-03-17T00:00:00"/>
    <x v="5"/>
  </r>
  <r>
    <n v="4444"/>
    <n v="12019"/>
    <x v="3"/>
    <n v="98438.02"/>
    <x v="1"/>
    <n v="2"/>
    <x v="1"/>
    <d v="2024-03-04T00:00:00"/>
    <d v="2024-03-06T00:00:00"/>
    <x v="5"/>
  </r>
  <r>
    <n v="4445"/>
    <n v="19781"/>
    <x v="1"/>
    <n v="41351.29"/>
    <x v="2"/>
    <m/>
    <x v="1"/>
    <d v="2024-01-25T00:00:00"/>
    <m/>
    <x v="0"/>
  </r>
  <r>
    <n v="4446"/>
    <n v="15313"/>
    <x v="1"/>
    <n v="28437.35"/>
    <x v="1"/>
    <n v="10"/>
    <x v="2"/>
    <d v="2024-03-12T00:00:00"/>
    <d v="2024-03-22T00:00:00"/>
    <x v="5"/>
  </r>
  <r>
    <n v="4447"/>
    <n v="14317"/>
    <x v="3"/>
    <n v="174709.24"/>
    <x v="0"/>
    <n v="10"/>
    <x v="3"/>
    <d v="2024-12-26T00:00:00"/>
    <d v="2025-01-05T00:00:00"/>
    <x v="11"/>
  </r>
  <r>
    <n v="4448"/>
    <n v="15824"/>
    <x v="3"/>
    <n v="188189.17"/>
    <x v="0"/>
    <n v="25"/>
    <x v="2"/>
    <d v="2024-09-24T00:00:00"/>
    <d v="2024-10-19T00:00:00"/>
    <x v="9"/>
  </r>
  <r>
    <n v="4449"/>
    <n v="19611"/>
    <x v="0"/>
    <n v="20367.310000000001"/>
    <x v="0"/>
    <n v="11"/>
    <x v="1"/>
    <d v="2024-11-09T00:00:00"/>
    <d v="2024-11-20T00:00:00"/>
    <x v="1"/>
  </r>
  <r>
    <n v="4450"/>
    <n v="19072"/>
    <x v="3"/>
    <n v="73058.649999999994"/>
    <x v="1"/>
    <n v="21"/>
    <x v="2"/>
    <d v="2024-04-04T00:00:00"/>
    <d v="2024-04-25T00:00:00"/>
    <x v="10"/>
  </r>
  <r>
    <n v="4451"/>
    <n v="10838"/>
    <x v="1"/>
    <n v="191865.7"/>
    <x v="2"/>
    <m/>
    <x v="1"/>
    <d v="2024-12-22T00:00:00"/>
    <m/>
    <x v="11"/>
  </r>
  <r>
    <n v="4452"/>
    <n v="18943"/>
    <x v="3"/>
    <n v="21216.54"/>
    <x v="0"/>
    <n v="14"/>
    <x v="1"/>
    <d v="2024-12-29T00:00:00"/>
    <d v="2025-01-12T00:00:00"/>
    <x v="11"/>
  </r>
  <r>
    <n v="4453"/>
    <n v="18461"/>
    <x v="3"/>
    <n v="130510.07"/>
    <x v="0"/>
    <n v="30"/>
    <x v="2"/>
    <d v="2024-11-10T00:00:00"/>
    <d v="2024-12-10T00:00:00"/>
    <x v="1"/>
  </r>
  <r>
    <n v="4454"/>
    <n v="14827"/>
    <x v="3"/>
    <n v="194583.17"/>
    <x v="0"/>
    <n v="37"/>
    <x v="3"/>
    <d v="2024-04-26T00:00:00"/>
    <d v="2024-06-02T00:00:00"/>
    <x v="10"/>
  </r>
  <r>
    <n v="4455"/>
    <n v="16987"/>
    <x v="0"/>
    <n v="195753.62"/>
    <x v="1"/>
    <n v="24"/>
    <x v="0"/>
    <d v="2024-06-12T00:00:00"/>
    <d v="2024-07-06T00:00:00"/>
    <x v="7"/>
  </r>
  <r>
    <n v="4456"/>
    <n v="13503"/>
    <x v="3"/>
    <n v="96888.55"/>
    <x v="1"/>
    <n v="28"/>
    <x v="2"/>
    <d v="2024-12-30T00:00:00"/>
    <d v="2025-01-27T00:00:00"/>
    <x v="11"/>
  </r>
  <r>
    <n v="4457"/>
    <n v="17824"/>
    <x v="1"/>
    <n v="36736.080000000002"/>
    <x v="0"/>
    <n v="19"/>
    <x v="0"/>
    <d v="2024-10-04T00:00:00"/>
    <d v="2024-10-23T00:00:00"/>
    <x v="6"/>
  </r>
  <r>
    <n v="4458"/>
    <n v="12075"/>
    <x v="1"/>
    <n v="44406.44"/>
    <x v="2"/>
    <m/>
    <x v="2"/>
    <d v="2024-03-05T00:00:00"/>
    <m/>
    <x v="5"/>
  </r>
  <r>
    <n v="4459"/>
    <n v="11312"/>
    <x v="1"/>
    <n v="178472.27"/>
    <x v="0"/>
    <n v="10"/>
    <x v="0"/>
    <d v="2024-11-01T00:00:00"/>
    <d v="2024-11-11T00:00:00"/>
    <x v="1"/>
  </r>
  <r>
    <n v="4460"/>
    <n v="12284"/>
    <x v="2"/>
    <n v="182778.19"/>
    <x v="2"/>
    <m/>
    <x v="3"/>
    <d v="2024-09-16T00:00:00"/>
    <m/>
    <x v="9"/>
  </r>
  <r>
    <n v="4461"/>
    <n v="18575"/>
    <x v="1"/>
    <n v="123536.53"/>
    <x v="2"/>
    <m/>
    <x v="3"/>
    <d v="2024-08-15T00:00:00"/>
    <m/>
    <x v="8"/>
  </r>
  <r>
    <n v="4462"/>
    <n v="12808"/>
    <x v="3"/>
    <n v="154404.4"/>
    <x v="1"/>
    <n v="16"/>
    <x v="2"/>
    <d v="2024-07-18T00:00:00"/>
    <d v="2024-08-03T00:00:00"/>
    <x v="2"/>
  </r>
  <r>
    <n v="4463"/>
    <n v="18995"/>
    <x v="2"/>
    <n v="149286.59"/>
    <x v="0"/>
    <n v="31"/>
    <x v="1"/>
    <d v="2024-08-07T00:00:00"/>
    <d v="2024-09-07T00:00:00"/>
    <x v="8"/>
  </r>
  <r>
    <n v="4464"/>
    <n v="19288"/>
    <x v="1"/>
    <n v="134055.21"/>
    <x v="0"/>
    <n v="10"/>
    <x v="0"/>
    <d v="2024-06-28T00:00:00"/>
    <d v="2024-07-08T00:00:00"/>
    <x v="7"/>
  </r>
  <r>
    <n v="4465"/>
    <n v="16521"/>
    <x v="3"/>
    <n v="166319.01"/>
    <x v="0"/>
    <n v="42"/>
    <x v="1"/>
    <d v="2024-12-23T00:00:00"/>
    <d v="2025-02-03T00:00:00"/>
    <x v="11"/>
  </r>
  <r>
    <n v="4466"/>
    <n v="16355"/>
    <x v="3"/>
    <n v="138654.29"/>
    <x v="0"/>
    <n v="28"/>
    <x v="1"/>
    <d v="2024-08-15T00:00:00"/>
    <d v="2024-09-12T00:00:00"/>
    <x v="8"/>
  </r>
  <r>
    <n v="4467"/>
    <n v="13719"/>
    <x v="0"/>
    <n v="109130.45"/>
    <x v="1"/>
    <n v="37"/>
    <x v="1"/>
    <d v="2024-09-08T00:00:00"/>
    <d v="2024-10-15T00:00:00"/>
    <x v="9"/>
  </r>
  <r>
    <n v="4468"/>
    <n v="14771"/>
    <x v="3"/>
    <n v="51206.49"/>
    <x v="0"/>
    <n v="19"/>
    <x v="3"/>
    <d v="2024-10-25T00:00:00"/>
    <d v="2024-11-13T00:00:00"/>
    <x v="6"/>
  </r>
  <r>
    <n v="4469"/>
    <n v="12696"/>
    <x v="1"/>
    <n v="150058.19"/>
    <x v="0"/>
    <n v="32"/>
    <x v="2"/>
    <d v="2024-12-26T00:00:00"/>
    <d v="2025-01-27T00:00:00"/>
    <x v="11"/>
  </r>
  <r>
    <n v="4470"/>
    <n v="15796"/>
    <x v="3"/>
    <n v="97320.38"/>
    <x v="1"/>
    <n v="18"/>
    <x v="2"/>
    <d v="2024-01-04T00:00:00"/>
    <d v="2024-01-22T00:00:00"/>
    <x v="0"/>
  </r>
  <r>
    <n v="4471"/>
    <n v="10808"/>
    <x v="3"/>
    <n v="62484.38"/>
    <x v="0"/>
    <n v="7"/>
    <x v="3"/>
    <d v="2024-05-20T00:00:00"/>
    <d v="2024-05-27T00:00:00"/>
    <x v="3"/>
  </r>
  <r>
    <n v="4472"/>
    <n v="13293"/>
    <x v="1"/>
    <n v="161379.51999999999"/>
    <x v="0"/>
    <n v="40"/>
    <x v="3"/>
    <d v="2024-06-14T00:00:00"/>
    <d v="2024-07-24T00:00:00"/>
    <x v="7"/>
  </r>
  <r>
    <n v="4473"/>
    <n v="19497"/>
    <x v="3"/>
    <n v="140859.15"/>
    <x v="0"/>
    <n v="26"/>
    <x v="2"/>
    <d v="2024-09-10T00:00:00"/>
    <d v="2024-10-06T00:00:00"/>
    <x v="9"/>
  </r>
  <r>
    <n v="4474"/>
    <n v="13459"/>
    <x v="3"/>
    <n v="187781.21"/>
    <x v="0"/>
    <n v="43"/>
    <x v="1"/>
    <d v="2024-06-01T00:00:00"/>
    <d v="2024-07-14T00:00:00"/>
    <x v="7"/>
  </r>
  <r>
    <n v="4475"/>
    <n v="12419"/>
    <x v="1"/>
    <n v="37261.120000000003"/>
    <x v="0"/>
    <n v="43"/>
    <x v="0"/>
    <d v="2024-03-07T00:00:00"/>
    <d v="2024-04-19T00:00:00"/>
    <x v="5"/>
  </r>
  <r>
    <n v="4476"/>
    <n v="14224"/>
    <x v="3"/>
    <n v="131591.91"/>
    <x v="1"/>
    <n v="39"/>
    <x v="0"/>
    <d v="2024-02-24T00:00:00"/>
    <d v="2024-04-03T00:00:00"/>
    <x v="4"/>
  </r>
  <r>
    <n v="4477"/>
    <n v="17571"/>
    <x v="1"/>
    <n v="52626.7"/>
    <x v="0"/>
    <n v="39"/>
    <x v="0"/>
    <d v="2024-04-05T00:00:00"/>
    <d v="2024-05-14T00:00:00"/>
    <x v="10"/>
  </r>
  <r>
    <n v="4478"/>
    <n v="16363"/>
    <x v="0"/>
    <n v="181198.68"/>
    <x v="2"/>
    <m/>
    <x v="1"/>
    <d v="2024-06-15T00:00:00"/>
    <m/>
    <x v="7"/>
  </r>
  <r>
    <n v="4479"/>
    <n v="19388"/>
    <x v="1"/>
    <n v="24402.39"/>
    <x v="0"/>
    <n v="30"/>
    <x v="2"/>
    <d v="2024-11-16T00:00:00"/>
    <d v="2024-12-16T00:00:00"/>
    <x v="1"/>
  </r>
  <r>
    <n v="4480"/>
    <n v="14567"/>
    <x v="3"/>
    <n v="132951.54999999999"/>
    <x v="0"/>
    <n v="41"/>
    <x v="3"/>
    <d v="2024-11-26T00:00:00"/>
    <d v="2025-01-06T00:00:00"/>
    <x v="1"/>
  </r>
  <r>
    <n v="4481"/>
    <n v="13524"/>
    <x v="3"/>
    <n v="159261.72"/>
    <x v="0"/>
    <n v="10"/>
    <x v="2"/>
    <d v="2024-12-07T00:00:00"/>
    <d v="2024-12-17T00:00:00"/>
    <x v="11"/>
  </r>
  <r>
    <n v="4482"/>
    <n v="16751"/>
    <x v="1"/>
    <n v="74208.98"/>
    <x v="0"/>
    <n v="2"/>
    <x v="1"/>
    <d v="2024-03-02T00:00:00"/>
    <d v="2024-03-04T00:00:00"/>
    <x v="5"/>
  </r>
  <r>
    <n v="4483"/>
    <n v="19717"/>
    <x v="2"/>
    <n v="191056.93"/>
    <x v="0"/>
    <n v="17"/>
    <x v="3"/>
    <d v="2024-06-22T00:00:00"/>
    <d v="2024-07-09T00:00:00"/>
    <x v="7"/>
  </r>
  <r>
    <n v="4484"/>
    <n v="16237"/>
    <x v="0"/>
    <n v="170892.48"/>
    <x v="0"/>
    <n v="39"/>
    <x v="1"/>
    <d v="2024-09-09T00:00:00"/>
    <d v="2024-10-18T00:00:00"/>
    <x v="9"/>
  </r>
  <r>
    <n v="4485"/>
    <n v="19791"/>
    <x v="0"/>
    <n v="62450.57"/>
    <x v="0"/>
    <n v="24"/>
    <x v="0"/>
    <d v="2024-04-21T00:00:00"/>
    <d v="2024-05-15T00:00:00"/>
    <x v="10"/>
  </r>
  <r>
    <n v="4486"/>
    <n v="19236"/>
    <x v="3"/>
    <n v="6470.51"/>
    <x v="0"/>
    <n v="9"/>
    <x v="0"/>
    <d v="2024-08-02T00:00:00"/>
    <d v="2024-08-11T00:00:00"/>
    <x v="8"/>
  </r>
  <r>
    <n v="4487"/>
    <n v="15319"/>
    <x v="3"/>
    <n v="62848.15"/>
    <x v="0"/>
    <n v="13"/>
    <x v="1"/>
    <d v="2024-08-26T00:00:00"/>
    <d v="2024-09-08T00:00:00"/>
    <x v="8"/>
  </r>
  <r>
    <n v="4488"/>
    <n v="11867"/>
    <x v="3"/>
    <n v="59855.54"/>
    <x v="0"/>
    <n v="11"/>
    <x v="3"/>
    <d v="2024-08-14T00:00:00"/>
    <d v="2024-08-25T00:00:00"/>
    <x v="8"/>
  </r>
  <r>
    <n v="4489"/>
    <n v="11375"/>
    <x v="3"/>
    <n v="178543.1"/>
    <x v="1"/>
    <n v="17"/>
    <x v="3"/>
    <d v="2024-08-17T00:00:00"/>
    <d v="2024-09-03T00:00:00"/>
    <x v="8"/>
  </r>
  <r>
    <n v="4490"/>
    <n v="18130"/>
    <x v="3"/>
    <n v="193588.63"/>
    <x v="2"/>
    <m/>
    <x v="2"/>
    <d v="2024-08-20T00:00:00"/>
    <m/>
    <x v="8"/>
  </r>
  <r>
    <n v="4491"/>
    <n v="15401"/>
    <x v="2"/>
    <n v="18735.8"/>
    <x v="0"/>
    <n v="25"/>
    <x v="0"/>
    <d v="2024-06-11T00:00:00"/>
    <d v="2024-07-06T00:00:00"/>
    <x v="7"/>
  </r>
  <r>
    <n v="4492"/>
    <n v="18803"/>
    <x v="3"/>
    <n v="96902.49"/>
    <x v="0"/>
    <n v="40"/>
    <x v="2"/>
    <d v="2024-05-05T00:00:00"/>
    <d v="2024-06-14T00:00:00"/>
    <x v="3"/>
  </r>
  <r>
    <n v="4493"/>
    <n v="16992"/>
    <x v="3"/>
    <n v="111924.74"/>
    <x v="2"/>
    <m/>
    <x v="2"/>
    <d v="2024-09-09T00:00:00"/>
    <m/>
    <x v="9"/>
  </r>
  <r>
    <n v="4494"/>
    <n v="13316"/>
    <x v="3"/>
    <n v="23117.77"/>
    <x v="0"/>
    <n v="12"/>
    <x v="1"/>
    <d v="2024-11-28T00:00:00"/>
    <d v="2024-12-10T00:00:00"/>
    <x v="1"/>
  </r>
  <r>
    <n v="4495"/>
    <n v="11598"/>
    <x v="2"/>
    <n v="78612.05"/>
    <x v="2"/>
    <m/>
    <x v="1"/>
    <d v="2024-07-17T00:00:00"/>
    <m/>
    <x v="2"/>
  </r>
  <r>
    <n v="4496"/>
    <n v="14949"/>
    <x v="1"/>
    <n v="66831.070000000007"/>
    <x v="0"/>
    <n v="27"/>
    <x v="2"/>
    <d v="2024-07-15T00:00:00"/>
    <d v="2024-08-11T00:00:00"/>
    <x v="2"/>
  </r>
  <r>
    <n v="4497"/>
    <n v="16572"/>
    <x v="1"/>
    <n v="109530.99"/>
    <x v="1"/>
    <n v="8"/>
    <x v="0"/>
    <d v="2024-05-01T00:00:00"/>
    <d v="2024-05-09T00:00:00"/>
    <x v="3"/>
  </r>
  <r>
    <n v="4498"/>
    <n v="10638"/>
    <x v="2"/>
    <n v="133932.23000000001"/>
    <x v="0"/>
    <n v="16"/>
    <x v="1"/>
    <d v="2024-09-20T00:00:00"/>
    <d v="2024-10-06T00:00:00"/>
    <x v="9"/>
  </r>
  <r>
    <n v="4499"/>
    <n v="14166"/>
    <x v="3"/>
    <n v="142179.6"/>
    <x v="2"/>
    <m/>
    <x v="2"/>
    <d v="2024-02-23T00:00:00"/>
    <m/>
    <x v="4"/>
  </r>
  <r>
    <n v="4500"/>
    <n v="10645"/>
    <x v="1"/>
    <n v="31667.23"/>
    <x v="0"/>
    <n v="4"/>
    <x v="2"/>
    <d v="2024-05-14T00:00:00"/>
    <d v="2024-05-18T00:00:00"/>
    <x v="3"/>
  </r>
  <r>
    <n v="4501"/>
    <n v="15884"/>
    <x v="3"/>
    <n v="163524.79999999999"/>
    <x v="0"/>
    <n v="17"/>
    <x v="2"/>
    <d v="2024-12-04T00:00:00"/>
    <d v="2024-12-21T00:00:00"/>
    <x v="11"/>
  </r>
  <r>
    <n v="4502"/>
    <n v="16668"/>
    <x v="3"/>
    <n v="137315.70000000001"/>
    <x v="0"/>
    <n v="16"/>
    <x v="2"/>
    <d v="2024-12-24T00:00:00"/>
    <d v="2025-01-09T00:00:00"/>
    <x v="11"/>
  </r>
  <r>
    <n v="4503"/>
    <n v="10089"/>
    <x v="0"/>
    <n v="178369.61"/>
    <x v="0"/>
    <n v="26"/>
    <x v="2"/>
    <d v="2024-05-30T00:00:00"/>
    <d v="2024-06-25T00:00:00"/>
    <x v="3"/>
  </r>
  <r>
    <n v="4504"/>
    <n v="19015"/>
    <x v="1"/>
    <n v="92620.53"/>
    <x v="1"/>
    <n v="34"/>
    <x v="2"/>
    <d v="2024-04-09T00:00:00"/>
    <d v="2024-05-13T00:00:00"/>
    <x v="10"/>
  </r>
  <r>
    <n v="4505"/>
    <n v="10550"/>
    <x v="3"/>
    <n v="179308.5"/>
    <x v="0"/>
    <n v="15"/>
    <x v="1"/>
    <d v="2024-08-21T00:00:00"/>
    <d v="2024-09-05T00:00:00"/>
    <x v="8"/>
  </r>
  <r>
    <n v="4506"/>
    <n v="18251"/>
    <x v="3"/>
    <n v="173825.95"/>
    <x v="2"/>
    <m/>
    <x v="0"/>
    <d v="2024-02-01T00:00:00"/>
    <m/>
    <x v="4"/>
  </r>
  <r>
    <n v="4507"/>
    <n v="15224"/>
    <x v="1"/>
    <n v="90489.82"/>
    <x v="0"/>
    <n v="12"/>
    <x v="2"/>
    <d v="2024-03-02T00:00:00"/>
    <d v="2024-03-14T00:00:00"/>
    <x v="5"/>
  </r>
  <r>
    <n v="4508"/>
    <n v="15581"/>
    <x v="3"/>
    <n v="79322.95"/>
    <x v="1"/>
    <n v="4"/>
    <x v="3"/>
    <d v="2024-07-14T00:00:00"/>
    <d v="2024-07-18T00:00:00"/>
    <x v="2"/>
  </r>
  <r>
    <n v="4509"/>
    <n v="14178"/>
    <x v="3"/>
    <n v="186898.34"/>
    <x v="0"/>
    <n v="10"/>
    <x v="1"/>
    <d v="2024-01-30T00:00:00"/>
    <d v="2024-02-09T00:00:00"/>
    <x v="0"/>
  </r>
  <r>
    <n v="4510"/>
    <n v="19435"/>
    <x v="3"/>
    <n v="144457.12"/>
    <x v="2"/>
    <m/>
    <x v="1"/>
    <d v="2024-08-30T00:00:00"/>
    <m/>
    <x v="8"/>
  </r>
  <r>
    <n v="4511"/>
    <n v="13479"/>
    <x v="3"/>
    <n v="186007.84"/>
    <x v="2"/>
    <m/>
    <x v="2"/>
    <d v="2024-04-15T00:00:00"/>
    <m/>
    <x v="10"/>
  </r>
  <r>
    <n v="4512"/>
    <n v="19137"/>
    <x v="0"/>
    <n v="160410.07999999999"/>
    <x v="0"/>
    <n v="17"/>
    <x v="1"/>
    <d v="2024-10-21T00:00:00"/>
    <d v="2024-11-07T00:00:00"/>
    <x v="6"/>
  </r>
  <r>
    <n v="4513"/>
    <n v="19832"/>
    <x v="3"/>
    <n v="123813"/>
    <x v="1"/>
    <n v="12"/>
    <x v="2"/>
    <d v="2024-05-12T00:00:00"/>
    <d v="2024-05-24T00:00:00"/>
    <x v="3"/>
  </r>
  <r>
    <n v="4514"/>
    <n v="16091"/>
    <x v="3"/>
    <n v="27591.29"/>
    <x v="1"/>
    <n v="18"/>
    <x v="0"/>
    <d v="2024-01-22T00:00:00"/>
    <d v="2024-02-09T00:00:00"/>
    <x v="0"/>
  </r>
  <r>
    <n v="4515"/>
    <n v="12633"/>
    <x v="1"/>
    <n v="61838.73"/>
    <x v="0"/>
    <n v="4"/>
    <x v="0"/>
    <d v="2024-06-04T00:00:00"/>
    <d v="2024-06-08T00:00:00"/>
    <x v="7"/>
  </r>
  <r>
    <n v="4516"/>
    <n v="16790"/>
    <x v="0"/>
    <n v="193924.27"/>
    <x v="0"/>
    <n v="20"/>
    <x v="1"/>
    <d v="2024-08-01T00:00:00"/>
    <d v="2024-08-21T00:00:00"/>
    <x v="8"/>
  </r>
  <r>
    <n v="4517"/>
    <n v="13501"/>
    <x v="3"/>
    <n v="67287.31"/>
    <x v="0"/>
    <n v="25"/>
    <x v="1"/>
    <d v="2024-08-13T00:00:00"/>
    <d v="2024-09-07T00:00:00"/>
    <x v="8"/>
  </r>
  <r>
    <n v="4518"/>
    <n v="10889"/>
    <x v="3"/>
    <n v="23184.7"/>
    <x v="1"/>
    <n v="43"/>
    <x v="3"/>
    <d v="2024-10-11T00:00:00"/>
    <d v="2024-11-23T00:00:00"/>
    <x v="6"/>
  </r>
  <r>
    <n v="4519"/>
    <n v="18765"/>
    <x v="3"/>
    <n v="142972.9"/>
    <x v="0"/>
    <n v="9"/>
    <x v="1"/>
    <d v="2024-06-19T00:00:00"/>
    <d v="2024-06-28T00:00:00"/>
    <x v="7"/>
  </r>
  <r>
    <n v="4520"/>
    <n v="18704"/>
    <x v="1"/>
    <n v="148130.82999999999"/>
    <x v="0"/>
    <n v="37"/>
    <x v="3"/>
    <d v="2024-02-11T00:00:00"/>
    <d v="2024-03-19T00:00:00"/>
    <x v="4"/>
  </r>
  <r>
    <n v="4521"/>
    <n v="17246"/>
    <x v="1"/>
    <n v="60664.26"/>
    <x v="0"/>
    <n v="41"/>
    <x v="0"/>
    <d v="2024-02-29T00:00:00"/>
    <d v="2024-04-10T00:00:00"/>
    <x v="4"/>
  </r>
  <r>
    <n v="4522"/>
    <n v="14160"/>
    <x v="0"/>
    <n v="63046.04"/>
    <x v="0"/>
    <n v="3"/>
    <x v="0"/>
    <d v="2024-03-17T00:00:00"/>
    <d v="2024-03-20T00:00:00"/>
    <x v="5"/>
  </r>
  <r>
    <n v="4523"/>
    <n v="14051"/>
    <x v="2"/>
    <n v="96434.13"/>
    <x v="1"/>
    <n v="24"/>
    <x v="2"/>
    <d v="2024-07-20T00:00:00"/>
    <d v="2024-08-13T00:00:00"/>
    <x v="2"/>
  </r>
  <r>
    <n v="4524"/>
    <n v="12230"/>
    <x v="1"/>
    <n v="9248.85"/>
    <x v="2"/>
    <m/>
    <x v="0"/>
    <d v="2024-08-07T00:00:00"/>
    <m/>
    <x v="8"/>
  </r>
  <r>
    <n v="4525"/>
    <n v="15185"/>
    <x v="1"/>
    <n v="158917.99"/>
    <x v="0"/>
    <n v="31"/>
    <x v="3"/>
    <d v="2024-07-05T00:00:00"/>
    <d v="2024-08-05T00:00:00"/>
    <x v="2"/>
  </r>
  <r>
    <n v="4526"/>
    <n v="17375"/>
    <x v="3"/>
    <n v="66832.31"/>
    <x v="0"/>
    <n v="26"/>
    <x v="1"/>
    <d v="2024-04-05T00:00:00"/>
    <d v="2024-05-01T00:00:00"/>
    <x v="10"/>
  </r>
  <r>
    <n v="4527"/>
    <n v="16197"/>
    <x v="3"/>
    <n v="171483.8"/>
    <x v="1"/>
    <n v="8"/>
    <x v="2"/>
    <d v="2024-12-07T00:00:00"/>
    <d v="2024-12-15T00:00:00"/>
    <x v="11"/>
  </r>
  <r>
    <n v="4528"/>
    <n v="12283"/>
    <x v="2"/>
    <n v="161512.93"/>
    <x v="0"/>
    <n v="29"/>
    <x v="3"/>
    <d v="2024-07-30T00:00:00"/>
    <d v="2024-08-28T00:00:00"/>
    <x v="2"/>
  </r>
  <r>
    <n v="4529"/>
    <n v="14984"/>
    <x v="3"/>
    <n v="133973.4"/>
    <x v="0"/>
    <n v="42"/>
    <x v="1"/>
    <d v="2024-12-05T00:00:00"/>
    <d v="2025-01-16T00:00:00"/>
    <x v="11"/>
  </r>
  <r>
    <n v="4530"/>
    <n v="10611"/>
    <x v="3"/>
    <n v="68350.600000000006"/>
    <x v="0"/>
    <n v="18"/>
    <x v="2"/>
    <d v="2024-09-18T00:00:00"/>
    <d v="2024-10-06T00:00:00"/>
    <x v="9"/>
  </r>
  <r>
    <n v="4531"/>
    <n v="18629"/>
    <x v="1"/>
    <n v="105681.73"/>
    <x v="0"/>
    <n v="33"/>
    <x v="0"/>
    <d v="2024-11-24T00:00:00"/>
    <d v="2024-12-27T00:00:00"/>
    <x v="1"/>
  </r>
  <r>
    <n v="4532"/>
    <n v="19651"/>
    <x v="3"/>
    <n v="91741.71"/>
    <x v="0"/>
    <n v="2"/>
    <x v="3"/>
    <d v="2024-03-17T00:00:00"/>
    <d v="2024-03-19T00:00:00"/>
    <x v="5"/>
  </r>
  <r>
    <n v="4533"/>
    <n v="16837"/>
    <x v="1"/>
    <n v="71081.97"/>
    <x v="1"/>
    <n v="28"/>
    <x v="1"/>
    <d v="2024-01-31T00:00:00"/>
    <d v="2024-02-28T00:00:00"/>
    <x v="0"/>
  </r>
  <r>
    <n v="4534"/>
    <n v="17106"/>
    <x v="1"/>
    <n v="170386.58"/>
    <x v="0"/>
    <n v="37"/>
    <x v="2"/>
    <d v="2024-02-08T00:00:00"/>
    <d v="2024-03-16T00:00:00"/>
    <x v="4"/>
  </r>
  <r>
    <n v="4535"/>
    <n v="17275"/>
    <x v="3"/>
    <n v="99283.88"/>
    <x v="1"/>
    <n v="8"/>
    <x v="2"/>
    <d v="2024-11-01T00:00:00"/>
    <d v="2024-11-09T00:00:00"/>
    <x v="1"/>
  </r>
  <r>
    <n v="4536"/>
    <n v="18715"/>
    <x v="0"/>
    <n v="167381"/>
    <x v="0"/>
    <n v="4"/>
    <x v="0"/>
    <d v="2024-11-29T00:00:00"/>
    <d v="2024-12-03T00:00:00"/>
    <x v="1"/>
  </r>
  <r>
    <n v="4537"/>
    <n v="13577"/>
    <x v="3"/>
    <n v="25517.599999999999"/>
    <x v="0"/>
    <n v="31"/>
    <x v="1"/>
    <d v="2024-08-01T00:00:00"/>
    <d v="2024-09-01T00:00:00"/>
    <x v="8"/>
  </r>
  <r>
    <n v="4538"/>
    <n v="16486"/>
    <x v="3"/>
    <n v="32499.83"/>
    <x v="1"/>
    <n v="2"/>
    <x v="0"/>
    <d v="2024-05-05T00:00:00"/>
    <d v="2024-05-07T00:00:00"/>
    <x v="3"/>
  </r>
  <r>
    <n v="4539"/>
    <n v="12261"/>
    <x v="1"/>
    <n v="195577.46"/>
    <x v="0"/>
    <n v="35"/>
    <x v="0"/>
    <d v="2024-06-13T00:00:00"/>
    <d v="2024-07-18T00:00:00"/>
    <x v="7"/>
  </r>
  <r>
    <n v="4540"/>
    <n v="11023"/>
    <x v="1"/>
    <n v="119614.85"/>
    <x v="0"/>
    <n v="39"/>
    <x v="1"/>
    <d v="2024-09-02T00:00:00"/>
    <d v="2024-10-11T00:00:00"/>
    <x v="9"/>
  </r>
  <r>
    <n v="4541"/>
    <n v="19771"/>
    <x v="1"/>
    <n v="104405.09"/>
    <x v="0"/>
    <n v="44"/>
    <x v="1"/>
    <d v="2024-04-18T00:00:00"/>
    <d v="2024-06-01T00:00:00"/>
    <x v="10"/>
  </r>
  <r>
    <n v="4542"/>
    <n v="18513"/>
    <x v="3"/>
    <n v="107015.43"/>
    <x v="0"/>
    <n v="37"/>
    <x v="1"/>
    <d v="2024-03-28T00:00:00"/>
    <d v="2024-05-04T00:00:00"/>
    <x v="5"/>
  </r>
  <r>
    <n v="4543"/>
    <n v="17235"/>
    <x v="1"/>
    <n v="46977.41"/>
    <x v="1"/>
    <n v="34"/>
    <x v="3"/>
    <d v="2024-07-18T00:00:00"/>
    <d v="2024-08-21T00:00:00"/>
    <x v="2"/>
  </r>
  <r>
    <n v="4544"/>
    <n v="13757"/>
    <x v="3"/>
    <n v="145147.26999999999"/>
    <x v="0"/>
    <n v="44"/>
    <x v="1"/>
    <d v="2024-09-27T00:00:00"/>
    <d v="2024-11-10T00:00:00"/>
    <x v="9"/>
  </r>
  <r>
    <n v="4545"/>
    <n v="18068"/>
    <x v="2"/>
    <n v="21532.22"/>
    <x v="1"/>
    <n v="17"/>
    <x v="2"/>
    <d v="2024-02-20T00:00:00"/>
    <d v="2024-03-08T00:00:00"/>
    <x v="4"/>
  </r>
  <r>
    <n v="4546"/>
    <n v="18641"/>
    <x v="3"/>
    <n v="116798.12"/>
    <x v="0"/>
    <n v="39"/>
    <x v="0"/>
    <d v="2024-07-16T00:00:00"/>
    <d v="2024-08-24T00:00:00"/>
    <x v="2"/>
  </r>
  <r>
    <n v="4547"/>
    <n v="11284"/>
    <x v="1"/>
    <n v="116299.92"/>
    <x v="0"/>
    <n v="12"/>
    <x v="3"/>
    <d v="2024-01-23T00:00:00"/>
    <d v="2024-02-04T00:00:00"/>
    <x v="0"/>
  </r>
  <r>
    <n v="4548"/>
    <n v="11660"/>
    <x v="3"/>
    <n v="183266.74"/>
    <x v="2"/>
    <m/>
    <x v="1"/>
    <d v="2024-06-01T00:00:00"/>
    <m/>
    <x v="7"/>
  </r>
  <r>
    <n v="4549"/>
    <n v="15353"/>
    <x v="3"/>
    <n v="107605.65"/>
    <x v="1"/>
    <n v="2"/>
    <x v="3"/>
    <d v="2024-08-10T00:00:00"/>
    <d v="2024-08-12T00:00:00"/>
    <x v="8"/>
  </r>
  <r>
    <n v="4550"/>
    <n v="10903"/>
    <x v="3"/>
    <n v="31727.23"/>
    <x v="0"/>
    <n v="15"/>
    <x v="1"/>
    <d v="2024-08-08T00:00:00"/>
    <d v="2024-08-23T00:00:00"/>
    <x v="8"/>
  </r>
  <r>
    <n v="4551"/>
    <n v="19369"/>
    <x v="0"/>
    <n v="116686.89"/>
    <x v="0"/>
    <n v="31"/>
    <x v="3"/>
    <d v="2024-05-30T00:00:00"/>
    <d v="2024-06-30T00:00:00"/>
    <x v="3"/>
  </r>
  <r>
    <n v="4552"/>
    <n v="18521"/>
    <x v="1"/>
    <n v="22808.89"/>
    <x v="0"/>
    <n v="22"/>
    <x v="0"/>
    <d v="2024-09-22T00:00:00"/>
    <d v="2024-10-14T00:00:00"/>
    <x v="9"/>
  </r>
  <r>
    <n v="4553"/>
    <n v="18828"/>
    <x v="2"/>
    <n v="44739.8"/>
    <x v="0"/>
    <n v="22"/>
    <x v="0"/>
    <d v="2024-03-13T00:00:00"/>
    <d v="2024-04-04T00:00:00"/>
    <x v="5"/>
  </r>
  <r>
    <n v="4554"/>
    <n v="16010"/>
    <x v="3"/>
    <n v="11066.17"/>
    <x v="1"/>
    <n v="35"/>
    <x v="2"/>
    <d v="2024-03-17T00:00:00"/>
    <d v="2024-04-21T00:00:00"/>
    <x v="5"/>
  </r>
  <r>
    <n v="4555"/>
    <n v="10412"/>
    <x v="3"/>
    <n v="105092.25"/>
    <x v="1"/>
    <n v="39"/>
    <x v="2"/>
    <d v="2024-02-01T00:00:00"/>
    <d v="2024-03-11T00:00:00"/>
    <x v="4"/>
  </r>
  <r>
    <n v="4556"/>
    <n v="16639"/>
    <x v="3"/>
    <n v="21483.86"/>
    <x v="0"/>
    <n v="27"/>
    <x v="1"/>
    <d v="2024-03-05T00:00:00"/>
    <d v="2024-04-01T00:00:00"/>
    <x v="5"/>
  </r>
  <r>
    <n v="4557"/>
    <n v="13833"/>
    <x v="0"/>
    <n v="96531.9"/>
    <x v="1"/>
    <n v="42"/>
    <x v="0"/>
    <d v="2024-12-22T00:00:00"/>
    <d v="2025-02-02T00:00:00"/>
    <x v="11"/>
  </r>
  <r>
    <n v="4558"/>
    <n v="12415"/>
    <x v="3"/>
    <n v="186924.28"/>
    <x v="0"/>
    <n v="15"/>
    <x v="3"/>
    <d v="2024-01-18T00:00:00"/>
    <d v="2024-02-02T00:00:00"/>
    <x v="0"/>
  </r>
  <r>
    <n v="4559"/>
    <n v="12586"/>
    <x v="0"/>
    <n v="145353.48000000001"/>
    <x v="0"/>
    <n v="41"/>
    <x v="3"/>
    <d v="2024-06-12T00:00:00"/>
    <d v="2024-07-23T00:00:00"/>
    <x v="7"/>
  </r>
  <r>
    <n v="4560"/>
    <n v="15571"/>
    <x v="2"/>
    <n v="20095.28"/>
    <x v="0"/>
    <n v="36"/>
    <x v="3"/>
    <d v="2024-10-13T00:00:00"/>
    <d v="2024-11-18T00:00:00"/>
    <x v="6"/>
  </r>
  <r>
    <n v="4561"/>
    <n v="19756"/>
    <x v="2"/>
    <n v="48720.91"/>
    <x v="2"/>
    <m/>
    <x v="2"/>
    <d v="2024-02-23T00:00:00"/>
    <m/>
    <x v="4"/>
  </r>
  <r>
    <n v="4562"/>
    <n v="18672"/>
    <x v="1"/>
    <n v="136364.17000000001"/>
    <x v="1"/>
    <n v="19"/>
    <x v="3"/>
    <d v="2024-03-03T00:00:00"/>
    <d v="2024-03-22T00:00:00"/>
    <x v="5"/>
  </r>
  <r>
    <n v="4563"/>
    <n v="16557"/>
    <x v="1"/>
    <n v="179466.86"/>
    <x v="0"/>
    <n v="21"/>
    <x v="2"/>
    <d v="2024-09-13T00:00:00"/>
    <d v="2024-10-04T00:00:00"/>
    <x v="9"/>
  </r>
  <r>
    <n v="4564"/>
    <n v="16280"/>
    <x v="1"/>
    <n v="11419.12"/>
    <x v="0"/>
    <n v="10"/>
    <x v="2"/>
    <d v="2024-08-26T00:00:00"/>
    <d v="2024-09-05T00:00:00"/>
    <x v="8"/>
  </r>
  <r>
    <n v="4565"/>
    <n v="12882"/>
    <x v="3"/>
    <n v="163427.97"/>
    <x v="2"/>
    <m/>
    <x v="1"/>
    <d v="2024-01-09T00:00:00"/>
    <m/>
    <x v="0"/>
  </r>
  <r>
    <n v="4566"/>
    <n v="12519"/>
    <x v="1"/>
    <n v="114553.71"/>
    <x v="0"/>
    <n v="34"/>
    <x v="3"/>
    <d v="2024-04-29T00:00:00"/>
    <d v="2024-06-02T00:00:00"/>
    <x v="10"/>
  </r>
  <r>
    <n v="4567"/>
    <n v="14400"/>
    <x v="3"/>
    <n v="111487.81"/>
    <x v="0"/>
    <n v="5"/>
    <x v="3"/>
    <d v="2024-12-13T00:00:00"/>
    <d v="2024-12-18T00:00:00"/>
    <x v="11"/>
  </r>
  <r>
    <n v="4568"/>
    <n v="18846"/>
    <x v="3"/>
    <n v="191773.57"/>
    <x v="2"/>
    <m/>
    <x v="0"/>
    <d v="2024-03-30T00:00:00"/>
    <m/>
    <x v="5"/>
  </r>
  <r>
    <n v="4569"/>
    <n v="10180"/>
    <x v="3"/>
    <n v="150790.70000000001"/>
    <x v="1"/>
    <n v="17"/>
    <x v="1"/>
    <d v="2024-11-07T00:00:00"/>
    <d v="2024-11-24T00:00:00"/>
    <x v="1"/>
  </r>
  <r>
    <n v="4570"/>
    <n v="14125"/>
    <x v="3"/>
    <n v="170773.18"/>
    <x v="0"/>
    <n v="27"/>
    <x v="0"/>
    <d v="2024-06-23T00:00:00"/>
    <d v="2024-07-20T00:00:00"/>
    <x v="7"/>
  </r>
  <r>
    <n v="4571"/>
    <n v="13019"/>
    <x v="3"/>
    <n v="74029.14"/>
    <x v="0"/>
    <n v="7"/>
    <x v="1"/>
    <d v="2024-01-03T00:00:00"/>
    <d v="2024-01-10T00:00:00"/>
    <x v="0"/>
  </r>
  <r>
    <n v="4572"/>
    <n v="10764"/>
    <x v="3"/>
    <n v="113100.99"/>
    <x v="0"/>
    <n v="38"/>
    <x v="3"/>
    <d v="2024-05-09T00:00:00"/>
    <d v="2024-06-16T00:00:00"/>
    <x v="3"/>
  </r>
  <r>
    <n v="4573"/>
    <n v="14135"/>
    <x v="1"/>
    <n v="125004.11"/>
    <x v="0"/>
    <n v="23"/>
    <x v="2"/>
    <d v="2024-02-23T00:00:00"/>
    <d v="2024-03-17T00:00:00"/>
    <x v="4"/>
  </r>
  <r>
    <n v="4574"/>
    <n v="15038"/>
    <x v="3"/>
    <n v="67708.87"/>
    <x v="2"/>
    <m/>
    <x v="2"/>
    <d v="2024-10-19T00:00:00"/>
    <m/>
    <x v="6"/>
  </r>
  <r>
    <n v="4575"/>
    <n v="16799"/>
    <x v="1"/>
    <n v="116198.38"/>
    <x v="0"/>
    <n v="40"/>
    <x v="2"/>
    <d v="2024-07-02T00:00:00"/>
    <d v="2024-08-11T00:00:00"/>
    <x v="2"/>
  </r>
  <r>
    <n v="4576"/>
    <n v="13390"/>
    <x v="3"/>
    <n v="51147.8"/>
    <x v="1"/>
    <n v="8"/>
    <x v="2"/>
    <d v="2024-12-18T00:00:00"/>
    <d v="2024-12-26T00:00:00"/>
    <x v="11"/>
  </r>
  <r>
    <n v="4577"/>
    <n v="19974"/>
    <x v="1"/>
    <n v="32958.26"/>
    <x v="0"/>
    <n v="43"/>
    <x v="2"/>
    <d v="2024-08-11T00:00:00"/>
    <d v="2024-09-23T00:00:00"/>
    <x v="8"/>
  </r>
  <r>
    <n v="4578"/>
    <n v="11064"/>
    <x v="1"/>
    <n v="77924.2"/>
    <x v="0"/>
    <n v="31"/>
    <x v="0"/>
    <d v="2024-01-12T00:00:00"/>
    <d v="2024-02-12T00:00:00"/>
    <x v="0"/>
  </r>
  <r>
    <n v="4579"/>
    <n v="12456"/>
    <x v="1"/>
    <n v="149161.48000000001"/>
    <x v="0"/>
    <n v="11"/>
    <x v="1"/>
    <d v="2024-07-13T00:00:00"/>
    <d v="2024-07-24T00:00:00"/>
    <x v="2"/>
  </r>
  <r>
    <n v="4580"/>
    <n v="15681"/>
    <x v="1"/>
    <n v="183656.49"/>
    <x v="1"/>
    <n v="16"/>
    <x v="3"/>
    <d v="2024-09-03T00:00:00"/>
    <d v="2024-09-19T00:00:00"/>
    <x v="9"/>
  </r>
  <r>
    <n v="4581"/>
    <n v="11346"/>
    <x v="3"/>
    <n v="94254.24"/>
    <x v="0"/>
    <n v="7"/>
    <x v="0"/>
    <d v="2024-06-02T00:00:00"/>
    <d v="2024-06-09T00:00:00"/>
    <x v="7"/>
  </r>
  <r>
    <n v="4582"/>
    <n v="16997"/>
    <x v="1"/>
    <n v="130350.62"/>
    <x v="0"/>
    <n v="25"/>
    <x v="1"/>
    <d v="2024-03-18T00:00:00"/>
    <d v="2024-04-12T00:00:00"/>
    <x v="5"/>
  </r>
  <r>
    <n v="4583"/>
    <n v="19374"/>
    <x v="3"/>
    <n v="25092.240000000002"/>
    <x v="0"/>
    <n v="3"/>
    <x v="2"/>
    <d v="2024-05-19T00:00:00"/>
    <d v="2024-05-22T00:00:00"/>
    <x v="3"/>
  </r>
  <r>
    <n v="4584"/>
    <n v="14132"/>
    <x v="3"/>
    <n v="181370.43"/>
    <x v="0"/>
    <n v="41"/>
    <x v="1"/>
    <d v="2024-03-30T00:00:00"/>
    <d v="2024-05-10T00:00:00"/>
    <x v="5"/>
  </r>
  <r>
    <n v="4585"/>
    <n v="12453"/>
    <x v="1"/>
    <n v="115877.82"/>
    <x v="0"/>
    <n v="16"/>
    <x v="1"/>
    <d v="2024-05-23T00:00:00"/>
    <d v="2024-06-08T00:00:00"/>
    <x v="3"/>
  </r>
  <r>
    <n v="4586"/>
    <n v="10538"/>
    <x v="3"/>
    <n v="157165.96"/>
    <x v="0"/>
    <n v="22"/>
    <x v="2"/>
    <d v="2024-03-12T00:00:00"/>
    <d v="2024-04-03T00:00:00"/>
    <x v="5"/>
  </r>
  <r>
    <n v="4587"/>
    <n v="12303"/>
    <x v="1"/>
    <n v="159916.03"/>
    <x v="0"/>
    <n v="19"/>
    <x v="2"/>
    <d v="2024-06-25T00:00:00"/>
    <d v="2024-07-14T00:00:00"/>
    <x v="7"/>
  </r>
  <r>
    <n v="4588"/>
    <n v="16421"/>
    <x v="1"/>
    <n v="55013.7"/>
    <x v="0"/>
    <n v="6"/>
    <x v="2"/>
    <d v="2024-12-13T00:00:00"/>
    <d v="2024-12-19T00:00:00"/>
    <x v="11"/>
  </r>
  <r>
    <n v="4589"/>
    <n v="10248"/>
    <x v="3"/>
    <n v="108189.02"/>
    <x v="0"/>
    <n v="26"/>
    <x v="3"/>
    <d v="2024-09-19T00:00:00"/>
    <d v="2024-10-15T00:00:00"/>
    <x v="9"/>
  </r>
  <r>
    <n v="4590"/>
    <n v="19232"/>
    <x v="3"/>
    <n v="192293.55"/>
    <x v="0"/>
    <n v="37"/>
    <x v="2"/>
    <d v="2024-09-27T00:00:00"/>
    <d v="2024-11-03T00:00:00"/>
    <x v="9"/>
  </r>
  <r>
    <n v="4591"/>
    <n v="11391"/>
    <x v="3"/>
    <n v="22478.74"/>
    <x v="0"/>
    <n v="11"/>
    <x v="3"/>
    <d v="2024-04-14T00:00:00"/>
    <d v="2024-04-25T00:00:00"/>
    <x v="10"/>
  </r>
  <r>
    <n v="4592"/>
    <n v="12172"/>
    <x v="2"/>
    <n v="138194.73000000001"/>
    <x v="0"/>
    <n v="24"/>
    <x v="2"/>
    <d v="2024-03-12T00:00:00"/>
    <d v="2024-04-05T00:00:00"/>
    <x v="5"/>
  </r>
  <r>
    <n v="4593"/>
    <n v="11335"/>
    <x v="1"/>
    <n v="192641.5"/>
    <x v="0"/>
    <n v="25"/>
    <x v="3"/>
    <d v="2024-03-14T00:00:00"/>
    <d v="2024-04-08T00:00:00"/>
    <x v="5"/>
  </r>
  <r>
    <n v="4594"/>
    <n v="12259"/>
    <x v="3"/>
    <n v="63612.54"/>
    <x v="1"/>
    <n v="11"/>
    <x v="1"/>
    <d v="2024-05-22T00:00:00"/>
    <d v="2024-06-02T00:00:00"/>
    <x v="3"/>
  </r>
  <r>
    <n v="4595"/>
    <n v="16615"/>
    <x v="3"/>
    <n v="172982.34"/>
    <x v="0"/>
    <n v="7"/>
    <x v="0"/>
    <d v="2024-03-02T00:00:00"/>
    <d v="2024-03-09T00:00:00"/>
    <x v="5"/>
  </r>
  <r>
    <n v="4596"/>
    <n v="15534"/>
    <x v="1"/>
    <n v="187063.22"/>
    <x v="0"/>
    <n v="14"/>
    <x v="1"/>
    <d v="2024-05-25T00:00:00"/>
    <d v="2024-06-08T00:00:00"/>
    <x v="3"/>
  </r>
  <r>
    <n v="4597"/>
    <n v="18691"/>
    <x v="0"/>
    <n v="150681.81"/>
    <x v="0"/>
    <n v="22"/>
    <x v="1"/>
    <d v="2024-02-15T00:00:00"/>
    <d v="2024-03-08T00:00:00"/>
    <x v="4"/>
  </r>
  <r>
    <n v="4598"/>
    <n v="10810"/>
    <x v="3"/>
    <n v="50109.02"/>
    <x v="1"/>
    <n v="33"/>
    <x v="2"/>
    <d v="2024-08-16T00:00:00"/>
    <d v="2024-09-18T00:00:00"/>
    <x v="8"/>
  </r>
  <r>
    <n v="4599"/>
    <n v="14984"/>
    <x v="3"/>
    <n v="70130.14"/>
    <x v="1"/>
    <n v="44"/>
    <x v="3"/>
    <d v="2024-04-14T00:00:00"/>
    <d v="2024-05-28T00:00:00"/>
    <x v="10"/>
  </r>
  <r>
    <n v="4600"/>
    <n v="17348"/>
    <x v="0"/>
    <n v="11982.81"/>
    <x v="0"/>
    <n v="16"/>
    <x v="0"/>
    <d v="2024-04-18T00:00:00"/>
    <d v="2024-05-04T00:00:00"/>
    <x v="10"/>
  </r>
  <r>
    <n v="4601"/>
    <n v="17556"/>
    <x v="3"/>
    <n v="167133.38"/>
    <x v="0"/>
    <n v="3"/>
    <x v="2"/>
    <d v="2024-11-12T00:00:00"/>
    <d v="2024-11-15T00:00:00"/>
    <x v="1"/>
  </r>
  <r>
    <n v="4602"/>
    <n v="13713"/>
    <x v="3"/>
    <n v="170674.18"/>
    <x v="0"/>
    <n v="16"/>
    <x v="2"/>
    <d v="2024-04-30T00:00:00"/>
    <d v="2024-05-16T00:00:00"/>
    <x v="10"/>
  </r>
  <r>
    <n v="4603"/>
    <n v="13704"/>
    <x v="2"/>
    <n v="128378.51"/>
    <x v="2"/>
    <m/>
    <x v="2"/>
    <d v="2024-02-12T00:00:00"/>
    <m/>
    <x v="4"/>
  </r>
  <r>
    <n v="4604"/>
    <n v="11210"/>
    <x v="1"/>
    <n v="73742.929999999993"/>
    <x v="1"/>
    <n v="21"/>
    <x v="1"/>
    <d v="2024-04-08T00:00:00"/>
    <d v="2024-04-29T00:00:00"/>
    <x v="10"/>
  </r>
  <r>
    <n v="4605"/>
    <n v="13745"/>
    <x v="3"/>
    <n v="19978.150000000001"/>
    <x v="0"/>
    <n v="7"/>
    <x v="3"/>
    <d v="2024-07-12T00:00:00"/>
    <d v="2024-07-19T00:00:00"/>
    <x v="2"/>
  </r>
  <r>
    <n v="4606"/>
    <n v="17791"/>
    <x v="3"/>
    <n v="151846.23000000001"/>
    <x v="1"/>
    <n v="16"/>
    <x v="3"/>
    <d v="2024-11-06T00:00:00"/>
    <d v="2024-11-22T00:00:00"/>
    <x v="1"/>
  </r>
  <r>
    <n v="4607"/>
    <n v="11491"/>
    <x v="3"/>
    <n v="146672.60999999999"/>
    <x v="1"/>
    <n v="18"/>
    <x v="0"/>
    <d v="2024-08-01T00:00:00"/>
    <d v="2024-08-19T00:00:00"/>
    <x v="8"/>
  </r>
  <r>
    <n v="4608"/>
    <n v="17301"/>
    <x v="3"/>
    <n v="182957.49"/>
    <x v="0"/>
    <n v="27"/>
    <x v="3"/>
    <d v="2024-08-16T00:00:00"/>
    <d v="2024-09-12T00:00:00"/>
    <x v="8"/>
  </r>
  <r>
    <n v="4609"/>
    <n v="16460"/>
    <x v="0"/>
    <n v="147453.74"/>
    <x v="0"/>
    <n v="23"/>
    <x v="3"/>
    <d v="2024-07-03T00:00:00"/>
    <d v="2024-07-26T00:00:00"/>
    <x v="2"/>
  </r>
  <r>
    <n v="4610"/>
    <n v="13048"/>
    <x v="3"/>
    <n v="166595.51"/>
    <x v="0"/>
    <n v="10"/>
    <x v="2"/>
    <d v="2024-04-21T00:00:00"/>
    <d v="2024-05-01T00:00:00"/>
    <x v="10"/>
  </r>
  <r>
    <n v="4611"/>
    <n v="14919"/>
    <x v="1"/>
    <n v="150461.15"/>
    <x v="0"/>
    <n v="13"/>
    <x v="2"/>
    <d v="2024-12-12T00:00:00"/>
    <d v="2024-12-25T00:00:00"/>
    <x v="11"/>
  </r>
  <r>
    <n v="4612"/>
    <n v="12934"/>
    <x v="2"/>
    <n v="127984"/>
    <x v="1"/>
    <n v="23"/>
    <x v="1"/>
    <d v="2024-09-28T00:00:00"/>
    <d v="2024-10-21T00:00:00"/>
    <x v="9"/>
  </r>
  <r>
    <n v="4613"/>
    <n v="16110"/>
    <x v="3"/>
    <n v="88258.45"/>
    <x v="0"/>
    <n v="24"/>
    <x v="2"/>
    <d v="2024-11-08T00:00:00"/>
    <d v="2024-12-02T00:00:00"/>
    <x v="1"/>
  </r>
  <r>
    <n v="4614"/>
    <n v="11817"/>
    <x v="3"/>
    <n v="180912.88"/>
    <x v="1"/>
    <n v="38"/>
    <x v="2"/>
    <d v="2024-04-11T00:00:00"/>
    <d v="2024-05-19T00:00:00"/>
    <x v="10"/>
  </r>
  <r>
    <n v="4615"/>
    <n v="16613"/>
    <x v="1"/>
    <n v="131938.87"/>
    <x v="2"/>
    <m/>
    <x v="2"/>
    <d v="2024-07-28T00:00:00"/>
    <m/>
    <x v="2"/>
  </r>
  <r>
    <n v="4616"/>
    <n v="14319"/>
    <x v="2"/>
    <n v="82679.289999999994"/>
    <x v="0"/>
    <n v="25"/>
    <x v="2"/>
    <d v="2024-08-14T00:00:00"/>
    <d v="2024-09-08T00:00:00"/>
    <x v="8"/>
  </r>
  <r>
    <n v="4617"/>
    <n v="11275"/>
    <x v="0"/>
    <n v="21276.51"/>
    <x v="0"/>
    <n v="9"/>
    <x v="1"/>
    <d v="2024-10-07T00:00:00"/>
    <d v="2024-10-16T00:00:00"/>
    <x v="6"/>
  </r>
  <r>
    <n v="4618"/>
    <n v="17231"/>
    <x v="3"/>
    <n v="61687.45"/>
    <x v="1"/>
    <n v="27"/>
    <x v="2"/>
    <d v="2024-01-22T00:00:00"/>
    <d v="2024-02-18T00:00:00"/>
    <x v="0"/>
  </r>
  <r>
    <n v="4619"/>
    <n v="12877"/>
    <x v="1"/>
    <n v="111026.71"/>
    <x v="1"/>
    <n v="33"/>
    <x v="0"/>
    <d v="2024-09-04T00:00:00"/>
    <d v="2024-10-07T00:00:00"/>
    <x v="9"/>
  </r>
  <r>
    <n v="4620"/>
    <n v="14014"/>
    <x v="1"/>
    <n v="58748.9"/>
    <x v="1"/>
    <n v="29"/>
    <x v="0"/>
    <d v="2024-06-07T00:00:00"/>
    <d v="2024-07-06T00:00:00"/>
    <x v="7"/>
  </r>
  <r>
    <n v="4621"/>
    <n v="14087"/>
    <x v="2"/>
    <n v="48140.89"/>
    <x v="0"/>
    <n v="33"/>
    <x v="0"/>
    <d v="2024-08-16T00:00:00"/>
    <d v="2024-09-18T00:00:00"/>
    <x v="8"/>
  </r>
  <r>
    <n v="4622"/>
    <n v="11147"/>
    <x v="3"/>
    <n v="107841.74"/>
    <x v="0"/>
    <n v="23"/>
    <x v="0"/>
    <d v="2024-12-08T00:00:00"/>
    <d v="2024-12-31T00:00:00"/>
    <x v="11"/>
  </r>
  <r>
    <n v="4623"/>
    <n v="10237"/>
    <x v="1"/>
    <n v="38114.97"/>
    <x v="0"/>
    <n v="10"/>
    <x v="2"/>
    <d v="2024-07-05T00:00:00"/>
    <d v="2024-07-15T00:00:00"/>
    <x v="2"/>
  </r>
  <r>
    <n v="4624"/>
    <n v="12122"/>
    <x v="0"/>
    <n v="161079.96"/>
    <x v="2"/>
    <m/>
    <x v="0"/>
    <d v="2024-05-22T00:00:00"/>
    <m/>
    <x v="3"/>
  </r>
  <r>
    <n v="4625"/>
    <n v="17609"/>
    <x v="3"/>
    <n v="99451.79"/>
    <x v="0"/>
    <n v="26"/>
    <x v="2"/>
    <d v="2024-12-03T00:00:00"/>
    <d v="2024-12-29T00:00:00"/>
    <x v="11"/>
  </r>
  <r>
    <n v="4626"/>
    <n v="14595"/>
    <x v="3"/>
    <n v="116903.24"/>
    <x v="2"/>
    <m/>
    <x v="1"/>
    <d v="2024-12-23T00:00:00"/>
    <m/>
    <x v="11"/>
  </r>
  <r>
    <n v="4627"/>
    <n v="19737"/>
    <x v="3"/>
    <n v="33739.74"/>
    <x v="0"/>
    <n v="13"/>
    <x v="0"/>
    <d v="2024-01-24T00:00:00"/>
    <d v="2024-02-06T00:00:00"/>
    <x v="0"/>
  </r>
  <r>
    <n v="4628"/>
    <n v="13983"/>
    <x v="3"/>
    <n v="68292.39"/>
    <x v="2"/>
    <m/>
    <x v="3"/>
    <d v="2024-05-20T00:00:00"/>
    <m/>
    <x v="3"/>
  </r>
  <r>
    <n v="4629"/>
    <n v="18134"/>
    <x v="3"/>
    <n v="84967.49"/>
    <x v="0"/>
    <n v="4"/>
    <x v="0"/>
    <d v="2024-08-27T00:00:00"/>
    <d v="2024-08-31T00:00:00"/>
    <x v="8"/>
  </r>
  <r>
    <n v="4630"/>
    <n v="15606"/>
    <x v="2"/>
    <n v="162601.5"/>
    <x v="0"/>
    <n v="42"/>
    <x v="0"/>
    <d v="2024-10-18T00:00:00"/>
    <d v="2024-11-29T00:00:00"/>
    <x v="6"/>
  </r>
  <r>
    <n v="4631"/>
    <n v="19178"/>
    <x v="3"/>
    <n v="155181.10999999999"/>
    <x v="0"/>
    <n v="24"/>
    <x v="2"/>
    <d v="2024-10-31T00:00:00"/>
    <d v="2024-11-24T00:00:00"/>
    <x v="6"/>
  </r>
  <r>
    <n v="4632"/>
    <n v="11623"/>
    <x v="3"/>
    <n v="48480.61"/>
    <x v="0"/>
    <n v="24"/>
    <x v="0"/>
    <d v="2024-03-22T00:00:00"/>
    <d v="2024-04-15T00:00:00"/>
    <x v="5"/>
  </r>
  <r>
    <n v="4633"/>
    <n v="17226"/>
    <x v="1"/>
    <n v="125154.92"/>
    <x v="0"/>
    <n v="19"/>
    <x v="3"/>
    <d v="2024-02-17T00:00:00"/>
    <d v="2024-03-07T00:00:00"/>
    <x v="4"/>
  </r>
  <r>
    <n v="4634"/>
    <n v="10722"/>
    <x v="3"/>
    <n v="52473.99"/>
    <x v="0"/>
    <n v="12"/>
    <x v="2"/>
    <d v="2024-12-18T00:00:00"/>
    <d v="2024-12-30T00:00:00"/>
    <x v="11"/>
  </r>
  <r>
    <n v="4635"/>
    <n v="11095"/>
    <x v="3"/>
    <n v="197708.2"/>
    <x v="0"/>
    <n v="37"/>
    <x v="2"/>
    <d v="2024-12-23T00:00:00"/>
    <d v="2025-01-29T00:00:00"/>
    <x v="11"/>
  </r>
  <r>
    <n v="4636"/>
    <n v="13827"/>
    <x v="1"/>
    <n v="190664.16"/>
    <x v="0"/>
    <n v="27"/>
    <x v="1"/>
    <d v="2024-06-19T00:00:00"/>
    <d v="2024-07-16T00:00:00"/>
    <x v="7"/>
  </r>
  <r>
    <n v="4637"/>
    <n v="14285"/>
    <x v="0"/>
    <n v="114836.62"/>
    <x v="1"/>
    <n v="9"/>
    <x v="1"/>
    <d v="2024-09-18T00:00:00"/>
    <d v="2024-09-27T00:00:00"/>
    <x v="9"/>
  </r>
  <r>
    <n v="4638"/>
    <n v="10995"/>
    <x v="1"/>
    <n v="141286"/>
    <x v="0"/>
    <n v="29"/>
    <x v="0"/>
    <d v="2024-03-08T00:00:00"/>
    <d v="2024-04-06T00:00:00"/>
    <x v="5"/>
  </r>
  <r>
    <n v="4639"/>
    <n v="15681"/>
    <x v="1"/>
    <n v="161278.92000000001"/>
    <x v="0"/>
    <n v="19"/>
    <x v="1"/>
    <d v="2024-01-14T00:00:00"/>
    <d v="2024-02-02T00:00:00"/>
    <x v="0"/>
  </r>
  <r>
    <n v="4640"/>
    <n v="14661"/>
    <x v="3"/>
    <n v="145594.69"/>
    <x v="1"/>
    <n v="14"/>
    <x v="1"/>
    <d v="2024-01-30T00:00:00"/>
    <d v="2024-02-13T00:00:00"/>
    <x v="0"/>
  </r>
  <r>
    <n v="4641"/>
    <n v="10992"/>
    <x v="2"/>
    <n v="141466.59"/>
    <x v="0"/>
    <n v="37"/>
    <x v="1"/>
    <d v="2024-04-19T00:00:00"/>
    <d v="2024-05-26T00:00:00"/>
    <x v="10"/>
  </r>
  <r>
    <n v="4642"/>
    <n v="12783"/>
    <x v="3"/>
    <n v="191918.03"/>
    <x v="2"/>
    <m/>
    <x v="2"/>
    <d v="2024-07-30T00:00:00"/>
    <m/>
    <x v="2"/>
  </r>
  <r>
    <n v="4643"/>
    <n v="18347"/>
    <x v="1"/>
    <n v="121308.94"/>
    <x v="0"/>
    <n v="41"/>
    <x v="2"/>
    <d v="2024-09-20T00:00:00"/>
    <d v="2024-10-31T00:00:00"/>
    <x v="9"/>
  </r>
  <r>
    <n v="4644"/>
    <n v="15682"/>
    <x v="3"/>
    <n v="129079.02"/>
    <x v="0"/>
    <n v="13"/>
    <x v="2"/>
    <d v="2024-11-17T00:00:00"/>
    <d v="2024-11-30T00:00:00"/>
    <x v="1"/>
  </r>
  <r>
    <n v="4645"/>
    <n v="19968"/>
    <x v="2"/>
    <n v="170607.41"/>
    <x v="0"/>
    <n v="23"/>
    <x v="1"/>
    <d v="2024-07-20T00:00:00"/>
    <d v="2024-08-12T00:00:00"/>
    <x v="2"/>
  </r>
  <r>
    <n v="4646"/>
    <n v="15961"/>
    <x v="1"/>
    <n v="135628.72"/>
    <x v="0"/>
    <n v="3"/>
    <x v="2"/>
    <d v="2024-03-24T00:00:00"/>
    <d v="2024-03-27T00:00:00"/>
    <x v="5"/>
  </r>
  <r>
    <n v="4647"/>
    <n v="14768"/>
    <x v="1"/>
    <n v="147921.85999999999"/>
    <x v="0"/>
    <n v="41"/>
    <x v="1"/>
    <d v="2024-02-22T00:00:00"/>
    <d v="2024-04-03T00:00:00"/>
    <x v="4"/>
  </r>
  <r>
    <n v="4648"/>
    <n v="15760"/>
    <x v="3"/>
    <n v="50662.89"/>
    <x v="0"/>
    <n v="29"/>
    <x v="2"/>
    <d v="2024-12-20T00:00:00"/>
    <d v="2025-01-18T00:00:00"/>
    <x v="11"/>
  </r>
  <r>
    <n v="4649"/>
    <n v="15204"/>
    <x v="3"/>
    <n v="77397.05"/>
    <x v="0"/>
    <n v="14"/>
    <x v="2"/>
    <d v="2024-09-12T00:00:00"/>
    <d v="2024-09-26T00:00:00"/>
    <x v="9"/>
  </r>
  <r>
    <n v="4650"/>
    <n v="17552"/>
    <x v="1"/>
    <n v="33723.760000000002"/>
    <x v="0"/>
    <n v="34"/>
    <x v="3"/>
    <d v="2024-03-14T00:00:00"/>
    <d v="2024-04-17T00:00:00"/>
    <x v="5"/>
  </r>
  <r>
    <n v="4651"/>
    <n v="18246"/>
    <x v="1"/>
    <n v="103624.26"/>
    <x v="0"/>
    <n v="4"/>
    <x v="0"/>
    <d v="2024-08-07T00:00:00"/>
    <d v="2024-08-11T00:00:00"/>
    <x v="8"/>
  </r>
  <r>
    <n v="4652"/>
    <n v="10084"/>
    <x v="3"/>
    <n v="93866.84"/>
    <x v="0"/>
    <n v="35"/>
    <x v="1"/>
    <d v="2024-05-22T00:00:00"/>
    <d v="2024-06-26T00:00:00"/>
    <x v="3"/>
  </r>
  <r>
    <n v="4653"/>
    <n v="15976"/>
    <x v="2"/>
    <n v="199446.75"/>
    <x v="0"/>
    <n v="24"/>
    <x v="3"/>
    <d v="2024-04-09T00:00:00"/>
    <d v="2024-05-03T00:00:00"/>
    <x v="10"/>
  </r>
  <r>
    <n v="4654"/>
    <n v="18147"/>
    <x v="0"/>
    <n v="124185.69"/>
    <x v="0"/>
    <n v="33"/>
    <x v="2"/>
    <d v="2024-05-08T00:00:00"/>
    <d v="2024-06-10T00:00:00"/>
    <x v="3"/>
  </r>
  <r>
    <n v="4655"/>
    <n v="17084"/>
    <x v="3"/>
    <n v="158356.74"/>
    <x v="0"/>
    <n v="21"/>
    <x v="1"/>
    <d v="2024-08-06T00:00:00"/>
    <d v="2024-08-27T00:00:00"/>
    <x v="8"/>
  </r>
  <r>
    <n v="4656"/>
    <n v="12779"/>
    <x v="0"/>
    <n v="70132.86"/>
    <x v="0"/>
    <n v="29"/>
    <x v="2"/>
    <d v="2024-09-27T00:00:00"/>
    <d v="2024-10-26T00:00:00"/>
    <x v="9"/>
  </r>
  <r>
    <n v="4657"/>
    <n v="16055"/>
    <x v="1"/>
    <n v="167151.34"/>
    <x v="0"/>
    <n v="9"/>
    <x v="0"/>
    <d v="2024-01-22T00:00:00"/>
    <d v="2024-01-31T00:00:00"/>
    <x v="0"/>
  </r>
  <r>
    <n v="4658"/>
    <n v="12669"/>
    <x v="3"/>
    <n v="124941.57"/>
    <x v="0"/>
    <n v="4"/>
    <x v="3"/>
    <d v="2024-06-26T00:00:00"/>
    <d v="2024-06-30T00:00:00"/>
    <x v="7"/>
  </r>
  <r>
    <n v="4659"/>
    <n v="11008"/>
    <x v="3"/>
    <n v="140913.5"/>
    <x v="0"/>
    <n v="31"/>
    <x v="0"/>
    <d v="2024-02-17T00:00:00"/>
    <d v="2024-03-19T00:00:00"/>
    <x v="4"/>
  </r>
  <r>
    <n v="4660"/>
    <n v="12364"/>
    <x v="1"/>
    <n v="62414"/>
    <x v="0"/>
    <n v="26"/>
    <x v="3"/>
    <d v="2024-04-26T00:00:00"/>
    <d v="2024-05-22T00:00:00"/>
    <x v="10"/>
  </r>
  <r>
    <n v="4661"/>
    <n v="13686"/>
    <x v="1"/>
    <n v="111984.49"/>
    <x v="0"/>
    <n v="31"/>
    <x v="2"/>
    <d v="2024-11-24T00:00:00"/>
    <d v="2024-12-25T00:00:00"/>
    <x v="1"/>
  </r>
  <r>
    <n v="4662"/>
    <n v="16768"/>
    <x v="3"/>
    <n v="128637.21"/>
    <x v="0"/>
    <n v="30"/>
    <x v="0"/>
    <d v="2024-06-27T00:00:00"/>
    <d v="2024-07-27T00:00:00"/>
    <x v="7"/>
  </r>
  <r>
    <n v="4663"/>
    <n v="12199"/>
    <x v="1"/>
    <n v="119873.46"/>
    <x v="0"/>
    <n v="31"/>
    <x v="0"/>
    <d v="2024-09-29T00:00:00"/>
    <d v="2024-10-30T00:00:00"/>
    <x v="9"/>
  </r>
  <r>
    <n v="4664"/>
    <n v="19551"/>
    <x v="1"/>
    <n v="183462.77"/>
    <x v="0"/>
    <n v="35"/>
    <x v="2"/>
    <d v="2024-12-27T00:00:00"/>
    <d v="2025-01-31T00:00:00"/>
    <x v="11"/>
  </r>
  <r>
    <n v="4665"/>
    <n v="10909"/>
    <x v="1"/>
    <n v="180163.17"/>
    <x v="0"/>
    <n v="26"/>
    <x v="0"/>
    <d v="2024-12-04T00:00:00"/>
    <d v="2024-12-30T00:00:00"/>
    <x v="11"/>
  </r>
  <r>
    <n v="4666"/>
    <n v="13439"/>
    <x v="3"/>
    <n v="194341.89"/>
    <x v="0"/>
    <n v="18"/>
    <x v="1"/>
    <d v="2024-12-25T00:00:00"/>
    <d v="2025-01-12T00:00:00"/>
    <x v="11"/>
  </r>
  <r>
    <n v="4667"/>
    <n v="15882"/>
    <x v="0"/>
    <n v="135148.46"/>
    <x v="1"/>
    <n v="25"/>
    <x v="3"/>
    <d v="2024-12-12T00:00:00"/>
    <d v="2025-01-06T00:00:00"/>
    <x v="11"/>
  </r>
  <r>
    <n v="4668"/>
    <n v="12913"/>
    <x v="3"/>
    <n v="194523.26"/>
    <x v="1"/>
    <n v="39"/>
    <x v="3"/>
    <d v="2024-06-27T00:00:00"/>
    <d v="2024-08-05T00:00:00"/>
    <x v="7"/>
  </r>
  <r>
    <n v="4669"/>
    <n v="14695"/>
    <x v="3"/>
    <n v="167333.21"/>
    <x v="0"/>
    <n v="29"/>
    <x v="3"/>
    <d v="2024-02-18T00:00:00"/>
    <d v="2024-03-18T00:00:00"/>
    <x v="4"/>
  </r>
  <r>
    <n v="4670"/>
    <n v="11006"/>
    <x v="3"/>
    <n v="57812.27"/>
    <x v="0"/>
    <n v="34"/>
    <x v="1"/>
    <d v="2024-11-10T00:00:00"/>
    <d v="2024-12-14T00:00:00"/>
    <x v="1"/>
  </r>
  <r>
    <n v="4671"/>
    <n v="17114"/>
    <x v="3"/>
    <n v="88349.96"/>
    <x v="0"/>
    <n v="37"/>
    <x v="3"/>
    <d v="2024-09-11T00:00:00"/>
    <d v="2024-10-18T00:00:00"/>
    <x v="9"/>
  </r>
  <r>
    <n v="4672"/>
    <n v="11143"/>
    <x v="0"/>
    <n v="51486.53"/>
    <x v="1"/>
    <n v="8"/>
    <x v="2"/>
    <d v="2024-01-30T00:00:00"/>
    <d v="2024-02-07T00:00:00"/>
    <x v="0"/>
  </r>
  <r>
    <n v="4673"/>
    <n v="17552"/>
    <x v="3"/>
    <n v="5818.45"/>
    <x v="0"/>
    <n v="24"/>
    <x v="0"/>
    <d v="2024-03-25T00:00:00"/>
    <d v="2024-04-18T00:00:00"/>
    <x v="5"/>
  </r>
  <r>
    <n v="4674"/>
    <n v="11224"/>
    <x v="1"/>
    <n v="41669.51"/>
    <x v="2"/>
    <m/>
    <x v="1"/>
    <d v="2024-10-03T00:00:00"/>
    <m/>
    <x v="6"/>
  </r>
  <r>
    <n v="4675"/>
    <n v="14495"/>
    <x v="3"/>
    <n v="5791.81"/>
    <x v="0"/>
    <n v="15"/>
    <x v="3"/>
    <d v="2024-02-03T00:00:00"/>
    <d v="2024-02-18T00:00:00"/>
    <x v="4"/>
  </r>
  <r>
    <n v="4676"/>
    <n v="18259"/>
    <x v="3"/>
    <n v="145368.5"/>
    <x v="0"/>
    <n v="43"/>
    <x v="2"/>
    <d v="2024-11-24T00:00:00"/>
    <d v="2025-01-06T00:00:00"/>
    <x v="1"/>
  </r>
  <r>
    <n v="4677"/>
    <n v="19206"/>
    <x v="2"/>
    <n v="87979.19"/>
    <x v="0"/>
    <n v="29"/>
    <x v="0"/>
    <d v="2024-04-07T00:00:00"/>
    <d v="2024-05-06T00:00:00"/>
    <x v="10"/>
  </r>
  <r>
    <n v="4678"/>
    <n v="10181"/>
    <x v="1"/>
    <n v="65952.070000000007"/>
    <x v="0"/>
    <n v="25"/>
    <x v="0"/>
    <d v="2024-03-16T00:00:00"/>
    <d v="2024-04-10T00:00:00"/>
    <x v="5"/>
  </r>
  <r>
    <n v="4679"/>
    <n v="16332"/>
    <x v="3"/>
    <n v="153535.57"/>
    <x v="0"/>
    <n v="8"/>
    <x v="1"/>
    <d v="2024-06-23T00:00:00"/>
    <d v="2024-07-01T00:00:00"/>
    <x v="7"/>
  </r>
  <r>
    <n v="4680"/>
    <n v="14946"/>
    <x v="1"/>
    <n v="167334.92000000001"/>
    <x v="0"/>
    <n v="37"/>
    <x v="1"/>
    <d v="2024-12-06T00:00:00"/>
    <d v="2025-01-12T00:00:00"/>
    <x v="11"/>
  </r>
  <r>
    <n v="4681"/>
    <n v="17450"/>
    <x v="3"/>
    <n v="195183.41"/>
    <x v="0"/>
    <n v="40"/>
    <x v="1"/>
    <d v="2024-09-05T00:00:00"/>
    <d v="2024-10-15T00:00:00"/>
    <x v="9"/>
  </r>
  <r>
    <n v="4682"/>
    <n v="12945"/>
    <x v="3"/>
    <n v="130192.65"/>
    <x v="1"/>
    <n v="16"/>
    <x v="2"/>
    <d v="2024-12-05T00:00:00"/>
    <d v="2024-12-21T00:00:00"/>
    <x v="11"/>
  </r>
  <r>
    <n v="4683"/>
    <n v="18846"/>
    <x v="1"/>
    <n v="94998.15"/>
    <x v="0"/>
    <n v="4"/>
    <x v="2"/>
    <d v="2024-05-13T00:00:00"/>
    <d v="2024-05-17T00:00:00"/>
    <x v="3"/>
  </r>
  <r>
    <n v="4684"/>
    <n v="13686"/>
    <x v="1"/>
    <n v="64526.54"/>
    <x v="0"/>
    <n v="3"/>
    <x v="1"/>
    <d v="2024-06-26T00:00:00"/>
    <d v="2024-06-29T00:00:00"/>
    <x v="7"/>
  </r>
  <r>
    <n v="4685"/>
    <n v="12288"/>
    <x v="3"/>
    <n v="48352.05"/>
    <x v="0"/>
    <n v="8"/>
    <x v="3"/>
    <d v="2024-12-30T00:00:00"/>
    <d v="2025-01-07T00:00:00"/>
    <x v="11"/>
  </r>
  <r>
    <n v="4686"/>
    <n v="12831"/>
    <x v="2"/>
    <n v="46520.56"/>
    <x v="1"/>
    <n v="17"/>
    <x v="0"/>
    <d v="2024-08-15T00:00:00"/>
    <d v="2024-09-01T00:00:00"/>
    <x v="8"/>
  </r>
  <r>
    <n v="4687"/>
    <n v="18913"/>
    <x v="1"/>
    <n v="84791.93"/>
    <x v="1"/>
    <n v="22"/>
    <x v="0"/>
    <d v="2024-03-03T00:00:00"/>
    <d v="2024-03-25T00:00:00"/>
    <x v="5"/>
  </r>
  <r>
    <n v="4688"/>
    <n v="13248"/>
    <x v="3"/>
    <n v="198398.34"/>
    <x v="0"/>
    <n v="10"/>
    <x v="2"/>
    <d v="2024-09-24T00:00:00"/>
    <d v="2024-10-04T00:00:00"/>
    <x v="9"/>
  </r>
  <r>
    <n v="4689"/>
    <n v="19392"/>
    <x v="1"/>
    <n v="5166.47"/>
    <x v="0"/>
    <n v="13"/>
    <x v="0"/>
    <d v="2024-09-14T00:00:00"/>
    <d v="2024-09-27T00:00:00"/>
    <x v="9"/>
  </r>
  <r>
    <n v="4690"/>
    <n v="18501"/>
    <x v="1"/>
    <n v="43455.15"/>
    <x v="0"/>
    <n v="30"/>
    <x v="3"/>
    <d v="2024-05-23T00:00:00"/>
    <d v="2024-06-22T00:00:00"/>
    <x v="3"/>
  </r>
  <r>
    <n v="4691"/>
    <n v="11025"/>
    <x v="1"/>
    <n v="41736.629999999997"/>
    <x v="0"/>
    <n v="25"/>
    <x v="0"/>
    <d v="2024-10-29T00:00:00"/>
    <d v="2024-11-23T00:00:00"/>
    <x v="6"/>
  </r>
  <r>
    <n v="4692"/>
    <n v="14412"/>
    <x v="3"/>
    <n v="144838.29999999999"/>
    <x v="0"/>
    <n v="34"/>
    <x v="2"/>
    <d v="2024-02-21T00:00:00"/>
    <d v="2024-03-26T00:00:00"/>
    <x v="4"/>
  </r>
  <r>
    <n v="4693"/>
    <n v="15902"/>
    <x v="1"/>
    <n v="73734.52"/>
    <x v="2"/>
    <m/>
    <x v="2"/>
    <d v="2024-10-29T00:00:00"/>
    <m/>
    <x v="6"/>
  </r>
  <r>
    <n v="4694"/>
    <n v="19724"/>
    <x v="3"/>
    <n v="94165.86"/>
    <x v="0"/>
    <n v="44"/>
    <x v="3"/>
    <d v="2024-04-08T00:00:00"/>
    <d v="2024-05-22T00:00:00"/>
    <x v="10"/>
  </r>
  <r>
    <n v="4695"/>
    <n v="13643"/>
    <x v="0"/>
    <n v="33981.71"/>
    <x v="0"/>
    <n v="19"/>
    <x v="3"/>
    <d v="2024-11-01T00:00:00"/>
    <d v="2024-11-20T00:00:00"/>
    <x v="1"/>
  </r>
  <r>
    <n v="4696"/>
    <n v="18559"/>
    <x v="1"/>
    <n v="83974.42"/>
    <x v="0"/>
    <n v="6"/>
    <x v="0"/>
    <d v="2024-02-14T00:00:00"/>
    <d v="2024-02-20T00:00:00"/>
    <x v="4"/>
  </r>
  <r>
    <n v="4697"/>
    <n v="14650"/>
    <x v="3"/>
    <n v="25123.96"/>
    <x v="1"/>
    <n v="16"/>
    <x v="0"/>
    <d v="2024-02-11T00:00:00"/>
    <d v="2024-02-27T00:00:00"/>
    <x v="4"/>
  </r>
  <r>
    <n v="4698"/>
    <n v="11249"/>
    <x v="1"/>
    <n v="108943.44"/>
    <x v="0"/>
    <n v="8"/>
    <x v="2"/>
    <d v="2024-11-22T00:00:00"/>
    <d v="2024-11-30T00:00:00"/>
    <x v="1"/>
  </r>
  <r>
    <n v="4699"/>
    <n v="12983"/>
    <x v="2"/>
    <n v="24097.98"/>
    <x v="0"/>
    <n v="26"/>
    <x v="3"/>
    <d v="2024-02-26T00:00:00"/>
    <d v="2024-03-23T00:00:00"/>
    <x v="4"/>
  </r>
  <r>
    <n v="4700"/>
    <n v="14575"/>
    <x v="2"/>
    <n v="159149.13"/>
    <x v="0"/>
    <n v="15"/>
    <x v="3"/>
    <d v="2024-02-02T00:00:00"/>
    <d v="2024-02-17T00:00:00"/>
    <x v="4"/>
  </r>
  <r>
    <n v="4701"/>
    <n v="17447"/>
    <x v="3"/>
    <n v="115487.33"/>
    <x v="0"/>
    <n v="41"/>
    <x v="3"/>
    <d v="2024-04-23T00:00:00"/>
    <d v="2024-06-03T00:00:00"/>
    <x v="10"/>
  </r>
  <r>
    <n v="4702"/>
    <n v="19131"/>
    <x v="3"/>
    <n v="146173.74"/>
    <x v="1"/>
    <n v="37"/>
    <x v="0"/>
    <d v="2024-10-26T00:00:00"/>
    <d v="2024-12-02T00:00:00"/>
    <x v="6"/>
  </r>
  <r>
    <n v="4703"/>
    <n v="14109"/>
    <x v="1"/>
    <n v="86610.7"/>
    <x v="0"/>
    <n v="36"/>
    <x v="3"/>
    <d v="2024-04-23T00:00:00"/>
    <d v="2024-05-29T00:00:00"/>
    <x v="10"/>
  </r>
  <r>
    <n v="4704"/>
    <n v="14023"/>
    <x v="3"/>
    <n v="79390.8"/>
    <x v="1"/>
    <n v="25"/>
    <x v="2"/>
    <d v="2024-02-25T00:00:00"/>
    <d v="2024-03-21T00:00:00"/>
    <x v="4"/>
  </r>
  <r>
    <n v="4705"/>
    <n v="17969"/>
    <x v="2"/>
    <n v="24150.73"/>
    <x v="0"/>
    <n v="16"/>
    <x v="2"/>
    <d v="2024-02-13T00:00:00"/>
    <d v="2024-02-29T00:00:00"/>
    <x v="4"/>
  </r>
  <r>
    <n v="4706"/>
    <n v="10589"/>
    <x v="3"/>
    <n v="107151.84"/>
    <x v="0"/>
    <n v="12"/>
    <x v="0"/>
    <d v="2024-07-30T00:00:00"/>
    <d v="2024-08-11T00:00:00"/>
    <x v="2"/>
  </r>
  <r>
    <n v="4707"/>
    <n v="11782"/>
    <x v="3"/>
    <n v="105327.92"/>
    <x v="1"/>
    <n v="25"/>
    <x v="1"/>
    <d v="2024-12-17T00:00:00"/>
    <d v="2025-01-11T00:00:00"/>
    <x v="11"/>
  </r>
  <r>
    <n v="4708"/>
    <n v="14568"/>
    <x v="3"/>
    <n v="96279.9"/>
    <x v="0"/>
    <n v="12"/>
    <x v="0"/>
    <d v="2024-11-24T00:00:00"/>
    <d v="2024-12-06T00:00:00"/>
    <x v="1"/>
  </r>
  <r>
    <n v="4709"/>
    <n v="19399"/>
    <x v="3"/>
    <n v="149401.07999999999"/>
    <x v="0"/>
    <n v="18"/>
    <x v="1"/>
    <d v="2024-02-03T00:00:00"/>
    <d v="2024-02-21T00:00:00"/>
    <x v="4"/>
  </r>
  <r>
    <n v="4710"/>
    <n v="14412"/>
    <x v="1"/>
    <n v="167338.35999999999"/>
    <x v="0"/>
    <n v="7"/>
    <x v="3"/>
    <d v="2024-09-26T00:00:00"/>
    <d v="2024-10-03T00:00:00"/>
    <x v="9"/>
  </r>
  <r>
    <n v="4711"/>
    <n v="19038"/>
    <x v="3"/>
    <n v="151403.99"/>
    <x v="0"/>
    <n v="22"/>
    <x v="0"/>
    <d v="2024-07-14T00:00:00"/>
    <d v="2024-08-05T00:00:00"/>
    <x v="2"/>
  </r>
  <r>
    <n v="4712"/>
    <n v="14680"/>
    <x v="3"/>
    <n v="33053.82"/>
    <x v="0"/>
    <n v="9"/>
    <x v="2"/>
    <d v="2024-05-04T00:00:00"/>
    <d v="2024-05-13T00:00:00"/>
    <x v="3"/>
  </r>
  <r>
    <n v="4713"/>
    <n v="18990"/>
    <x v="3"/>
    <n v="126301.6"/>
    <x v="2"/>
    <m/>
    <x v="3"/>
    <d v="2024-03-19T00:00:00"/>
    <m/>
    <x v="5"/>
  </r>
  <r>
    <n v="4714"/>
    <n v="10470"/>
    <x v="1"/>
    <n v="20663.009999999998"/>
    <x v="2"/>
    <m/>
    <x v="2"/>
    <d v="2024-09-11T00:00:00"/>
    <m/>
    <x v="9"/>
  </r>
  <r>
    <n v="4715"/>
    <n v="14827"/>
    <x v="3"/>
    <n v="140451.35"/>
    <x v="0"/>
    <n v="11"/>
    <x v="3"/>
    <d v="2024-05-24T00:00:00"/>
    <d v="2024-06-04T00:00:00"/>
    <x v="3"/>
  </r>
  <r>
    <n v="4716"/>
    <n v="15067"/>
    <x v="1"/>
    <n v="79458.62"/>
    <x v="0"/>
    <n v="29"/>
    <x v="0"/>
    <d v="2024-03-23T00:00:00"/>
    <d v="2024-04-21T00:00:00"/>
    <x v="5"/>
  </r>
  <r>
    <n v="4717"/>
    <n v="12994"/>
    <x v="1"/>
    <n v="30837.3"/>
    <x v="0"/>
    <n v="16"/>
    <x v="1"/>
    <d v="2024-08-17T00:00:00"/>
    <d v="2024-09-02T00:00:00"/>
    <x v="8"/>
  </r>
  <r>
    <n v="4718"/>
    <n v="13129"/>
    <x v="1"/>
    <n v="173099.92"/>
    <x v="0"/>
    <n v="13"/>
    <x v="3"/>
    <d v="2024-05-16T00:00:00"/>
    <d v="2024-05-29T00:00:00"/>
    <x v="3"/>
  </r>
  <r>
    <n v="4719"/>
    <n v="16167"/>
    <x v="2"/>
    <n v="124731.63"/>
    <x v="0"/>
    <n v="44"/>
    <x v="1"/>
    <d v="2024-01-27T00:00:00"/>
    <d v="2024-03-11T00:00:00"/>
    <x v="0"/>
  </r>
  <r>
    <n v="4720"/>
    <n v="11313"/>
    <x v="2"/>
    <n v="74171.37"/>
    <x v="0"/>
    <n v="19"/>
    <x v="3"/>
    <d v="2024-06-25T00:00:00"/>
    <d v="2024-07-14T00:00:00"/>
    <x v="7"/>
  </r>
  <r>
    <n v="4721"/>
    <n v="16546"/>
    <x v="2"/>
    <n v="10991.8"/>
    <x v="0"/>
    <n v="38"/>
    <x v="2"/>
    <d v="2024-07-25T00:00:00"/>
    <d v="2024-09-01T00:00:00"/>
    <x v="2"/>
  </r>
  <r>
    <n v="4722"/>
    <n v="19239"/>
    <x v="3"/>
    <n v="109775.5"/>
    <x v="0"/>
    <n v="25"/>
    <x v="2"/>
    <d v="2024-11-01T00:00:00"/>
    <d v="2024-11-26T00:00:00"/>
    <x v="1"/>
  </r>
  <r>
    <n v="4723"/>
    <n v="19279"/>
    <x v="3"/>
    <n v="185029.05"/>
    <x v="0"/>
    <n v="38"/>
    <x v="3"/>
    <d v="2024-11-06T00:00:00"/>
    <d v="2024-12-14T00:00:00"/>
    <x v="1"/>
  </r>
  <r>
    <n v="4724"/>
    <n v="17934"/>
    <x v="3"/>
    <n v="121294.07"/>
    <x v="0"/>
    <n v="30"/>
    <x v="1"/>
    <d v="2024-07-31T00:00:00"/>
    <d v="2024-08-30T00:00:00"/>
    <x v="2"/>
  </r>
  <r>
    <n v="4725"/>
    <n v="15358"/>
    <x v="0"/>
    <n v="194471.87"/>
    <x v="1"/>
    <n v="11"/>
    <x v="0"/>
    <d v="2024-12-19T00:00:00"/>
    <d v="2024-12-30T00:00:00"/>
    <x v="11"/>
  </r>
  <r>
    <n v="4726"/>
    <n v="10282"/>
    <x v="2"/>
    <n v="31607.97"/>
    <x v="0"/>
    <n v="15"/>
    <x v="0"/>
    <d v="2024-02-06T00:00:00"/>
    <d v="2024-02-21T00:00:00"/>
    <x v="4"/>
  </r>
  <r>
    <n v="4727"/>
    <n v="17609"/>
    <x v="0"/>
    <n v="115819.5"/>
    <x v="0"/>
    <n v="17"/>
    <x v="2"/>
    <d v="2024-10-19T00:00:00"/>
    <d v="2024-11-05T00:00:00"/>
    <x v="6"/>
  </r>
  <r>
    <n v="4728"/>
    <n v="11398"/>
    <x v="3"/>
    <n v="160634.38"/>
    <x v="0"/>
    <n v="38"/>
    <x v="0"/>
    <d v="2024-06-27T00:00:00"/>
    <d v="2024-08-04T00:00:00"/>
    <x v="7"/>
  </r>
  <r>
    <n v="4729"/>
    <n v="12733"/>
    <x v="2"/>
    <n v="107480.44"/>
    <x v="0"/>
    <n v="12"/>
    <x v="2"/>
    <d v="2024-06-08T00:00:00"/>
    <d v="2024-06-20T00:00:00"/>
    <x v="7"/>
  </r>
  <r>
    <n v="4730"/>
    <n v="14067"/>
    <x v="3"/>
    <n v="22757.94"/>
    <x v="0"/>
    <n v="27"/>
    <x v="0"/>
    <d v="2024-01-12T00:00:00"/>
    <d v="2024-02-08T00:00:00"/>
    <x v="0"/>
  </r>
  <r>
    <n v="4731"/>
    <n v="12357"/>
    <x v="3"/>
    <n v="118662.77"/>
    <x v="0"/>
    <n v="41"/>
    <x v="3"/>
    <d v="2024-06-17T00:00:00"/>
    <d v="2024-07-28T00:00:00"/>
    <x v="7"/>
  </r>
  <r>
    <n v="4732"/>
    <n v="13238"/>
    <x v="3"/>
    <n v="124288.89"/>
    <x v="2"/>
    <m/>
    <x v="2"/>
    <d v="2024-11-07T00:00:00"/>
    <m/>
    <x v="1"/>
  </r>
  <r>
    <n v="4733"/>
    <n v="19964"/>
    <x v="3"/>
    <n v="147098.29999999999"/>
    <x v="0"/>
    <n v="19"/>
    <x v="2"/>
    <d v="2024-03-20T00:00:00"/>
    <d v="2024-04-08T00:00:00"/>
    <x v="5"/>
  </r>
  <r>
    <n v="4734"/>
    <n v="17989"/>
    <x v="1"/>
    <n v="153436.25"/>
    <x v="0"/>
    <n v="31"/>
    <x v="3"/>
    <d v="2024-01-14T00:00:00"/>
    <d v="2024-02-14T00:00:00"/>
    <x v="0"/>
  </r>
  <r>
    <n v="4735"/>
    <n v="17210"/>
    <x v="3"/>
    <n v="155300.67000000001"/>
    <x v="0"/>
    <n v="33"/>
    <x v="2"/>
    <d v="2024-02-23T00:00:00"/>
    <d v="2024-03-27T00:00:00"/>
    <x v="4"/>
  </r>
  <r>
    <n v="4736"/>
    <n v="10787"/>
    <x v="3"/>
    <n v="134371.66"/>
    <x v="2"/>
    <m/>
    <x v="0"/>
    <d v="2024-09-10T00:00:00"/>
    <m/>
    <x v="9"/>
  </r>
  <r>
    <n v="4737"/>
    <n v="18234"/>
    <x v="1"/>
    <n v="47083.18"/>
    <x v="1"/>
    <n v="13"/>
    <x v="0"/>
    <d v="2024-03-05T00:00:00"/>
    <d v="2024-03-18T00:00:00"/>
    <x v="5"/>
  </r>
  <r>
    <n v="4738"/>
    <n v="15784"/>
    <x v="0"/>
    <n v="83825.97"/>
    <x v="1"/>
    <n v="14"/>
    <x v="2"/>
    <d v="2024-02-27T00:00:00"/>
    <d v="2024-03-12T00:00:00"/>
    <x v="4"/>
  </r>
  <r>
    <n v="4739"/>
    <n v="14643"/>
    <x v="1"/>
    <n v="156345.34"/>
    <x v="0"/>
    <n v="22"/>
    <x v="0"/>
    <d v="2024-04-05T00:00:00"/>
    <d v="2024-04-27T00:00:00"/>
    <x v="10"/>
  </r>
  <r>
    <n v="4740"/>
    <n v="14321"/>
    <x v="3"/>
    <n v="190918.26"/>
    <x v="2"/>
    <m/>
    <x v="1"/>
    <d v="2024-01-21T00:00:00"/>
    <m/>
    <x v="0"/>
  </r>
  <r>
    <n v="4741"/>
    <n v="14728"/>
    <x v="0"/>
    <n v="20394.66"/>
    <x v="0"/>
    <n v="30"/>
    <x v="2"/>
    <d v="2024-09-16T00:00:00"/>
    <d v="2024-10-16T00:00:00"/>
    <x v="9"/>
  </r>
  <r>
    <n v="4742"/>
    <n v="15640"/>
    <x v="2"/>
    <n v="109429.65"/>
    <x v="0"/>
    <n v="30"/>
    <x v="3"/>
    <d v="2024-03-13T00:00:00"/>
    <d v="2024-04-12T00:00:00"/>
    <x v="5"/>
  </r>
  <r>
    <n v="4743"/>
    <n v="13410"/>
    <x v="3"/>
    <n v="65941.84"/>
    <x v="1"/>
    <n v="28"/>
    <x v="1"/>
    <d v="2024-09-04T00:00:00"/>
    <d v="2024-10-02T00:00:00"/>
    <x v="9"/>
  </r>
  <r>
    <n v="4744"/>
    <n v="11358"/>
    <x v="1"/>
    <n v="48951.81"/>
    <x v="2"/>
    <m/>
    <x v="2"/>
    <d v="2024-05-06T00:00:00"/>
    <m/>
    <x v="3"/>
  </r>
  <r>
    <n v="4745"/>
    <n v="19396"/>
    <x v="3"/>
    <n v="103633.08"/>
    <x v="0"/>
    <n v="16"/>
    <x v="3"/>
    <d v="2024-02-15T00:00:00"/>
    <d v="2024-03-02T00:00:00"/>
    <x v="4"/>
  </r>
  <r>
    <n v="4746"/>
    <n v="10537"/>
    <x v="3"/>
    <n v="123187.42"/>
    <x v="0"/>
    <n v="13"/>
    <x v="0"/>
    <d v="2024-09-24T00:00:00"/>
    <d v="2024-10-07T00:00:00"/>
    <x v="9"/>
  </r>
  <r>
    <n v="4747"/>
    <n v="13868"/>
    <x v="1"/>
    <n v="6905.59"/>
    <x v="0"/>
    <n v="42"/>
    <x v="3"/>
    <d v="2024-05-07T00:00:00"/>
    <d v="2024-06-18T00:00:00"/>
    <x v="3"/>
  </r>
  <r>
    <n v="4748"/>
    <n v="14576"/>
    <x v="0"/>
    <n v="157140.28"/>
    <x v="0"/>
    <n v="20"/>
    <x v="1"/>
    <d v="2024-01-30T00:00:00"/>
    <d v="2024-02-19T00:00:00"/>
    <x v="0"/>
  </r>
  <r>
    <n v="4749"/>
    <n v="14525"/>
    <x v="3"/>
    <n v="164877.01999999999"/>
    <x v="0"/>
    <n v="13"/>
    <x v="0"/>
    <d v="2024-04-03T00:00:00"/>
    <d v="2024-04-16T00:00:00"/>
    <x v="10"/>
  </r>
  <r>
    <n v="4750"/>
    <n v="13583"/>
    <x v="0"/>
    <n v="193274.61"/>
    <x v="2"/>
    <m/>
    <x v="2"/>
    <d v="2024-08-11T00:00:00"/>
    <m/>
    <x v="8"/>
  </r>
  <r>
    <n v="4751"/>
    <n v="17898"/>
    <x v="0"/>
    <n v="40225.53"/>
    <x v="0"/>
    <n v="6"/>
    <x v="0"/>
    <d v="2024-11-11T00:00:00"/>
    <d v="2024-11-17T00:00:00"/>
    <x v="1"/>
  </r>
  <r>
    <n v="4752"/>
    <n v="11350"/>
    <x v="2"/>
    <n v="120937.75"/>
    <x v="1"/>
    <n v="27"/>
    <x v="2"/>
    <d v="2024-04-09T00:00:00"/>
    <d v="2024-05-06T00:00:00"/>
    <x v="10"/>
  </r>
  <r>
    <n v="4753"/>
    <n v="19136"/>
    <x v="3"/>
    <n v="88191.95"/>
    <x v="1"/>
    <n v="11"/>
    <x v="2"/>
    <d v="2024-03-11T00:00:00"/>
    <d v="2024-03-22T00:00:00"/>
    <x v="5"/>
  </r>
  <r>
    <n v="4754"/>
    <n v="13856"/>
    <x v="2"/>
    <n v="70291.429999999993"/>
    <x v="0"/>
    <n v="23"/>
    <x v="3"/>
    <d v="2024-03-21T00:00:00"/>
    <d v="2024-04-13T00:00:00"/>
    <x v="5"/>
  </r>
  <r>
    <n v="4755"/>
    <n v="12625"/>
    <x v="3"/>
    <n v="115298.52"/>
    <x v="1"/>
    <n v="40"/>
    <x v="3"/>
    <d v="2024-10-26T00:00:00"/>
    <d v="2024-12-05T00:00:00"/>
    <x v="6"/>
  </r>
  <r>
    <n v="4756"/>
    <n v="14307"/>
    <x v="1"/>
    <n v="157564.70000000001"/>
    <x v="0"/>
    <n v="24"/>
    <x v="3"/>
    <d v="2024-04-17T00:00:00"/>
    <d v="2024-05-11T00:00:00"/>
    <x v="10"/>
  </r>
  <r>
    <n v="4757"/>
    <n v="19042"/>
    <x v="3"/>
    <n v="9495.2900000000009"/>
    <x v="0"/>
    <n v="12"/>
    <x v="1"/>
    <d v="2024-04-11T00:00:00"/>
    <d v="2024-04-23T00:00:00"/>
    <x v="10"/>
  </r>
  <r>
    <n v="4758"/>
    <n v="12925"/>
    <x v="3"/>
    <n v="194033.02"/>
    <x v="0"/>
    <n v="29"/>
    <x v="1"/>
    <d v="2024-03-31T00:00:00"/>
    <d v="2024-04-29T00:00:00"/>
    <x v="5"/>
  </r>
  <r>
    <n v="4759"/>
    <n v="19187"/>
    <x v="1"/>
    <n v="162926.91"/>
    <x v="0"/>
    <n v="32"/>
    <x v="3"/>
    <d v="2024-12-30T00:00:00"/>
    <d v="2025-01-31T00:00:00"/>
    <x v="11"/>
  </r>
  <r>
    <n v="4760"/>
    <n v="16714"/>
    <x v="3"/>
    <n v="151474.97"/>
    <x v="1"/>
    <n v="9"/>
    <x v="1"/>
    <d v="2024-01-16T00:00:00"/>
    <d v="2024-01-25T00:00:00"/>
    <x v="0"/>
  </r>
  <r>
    <n v="4761"/>
    <n v="17197"/>
    <x v="3"/>
    <n v="153275.54"/>
    <x v="2"/>
    <m/>
    <x v="0"/>
    <d v="2024-04-19T00:00:00"/>
    <m/>
    <x v="10"/>
  </r>
  <r>
    <n v="4762"/>
    <n v="16006"/>
    <x v="3"/>
    <n v="80866.84"/>
    <x v="0"/>
    <n v="29"/>
    <x v="0"/>
    <d v="2024-09-19T00:00:00"/>
    <d v="2024-10-18T00:00:00"/>
    <x v="9"/>
  </r>
  <r>
    <n v="4763"/>
    <n v="18541"/>
    <x v="1"/>
    <n v="151566.01"/>
    <x v="1"/>
    <n v="17"/>
    <x v="1"/>
    <d v="2024-06-08T00:00:00"/>
    <d v="2024-06-25T00:00:00"/>
    <x v="7"/>
  </r>
  <r>
    <n v="4764"/>
    <n v="11537"/>
    <x v="3"/>
    <n v="80420.19"/>
    <x v="0"/>
    <n v="32"/>
    <x v="1"/>
    <d v="2024-09-09T00:00:00"/>
    <d v="2024-10-11T00:00:00"/>
    <x v="9"/>
  </r>
  <r>
    <n v="4765"/>
    <n v="12728"/>
    <x v="0"/>
    <n v="180247.83"/>
    <x v="1"/>
    <n v="42"/>
    <x v="0"/>
    <d v="2024-03-29T00:00:00"/>
    <d v="2024-05-10T00:00:00"/>
    <x v="5"/>
  </r>
  <r>
    <n v="4766"/>
    <n v="17381"/>
    <x v="3"/>
    <n v="39558.36"/>
    <x v="0"/>
    <n v="17"/>
    <x v="2"/>
    <d v="2024-04-04T00:00:00"/>
    <d v="2024-04-21T00:00:00"/>
    <x v="10"/>
  </r>
  <r>
    <n v="4767"/>
    <n v="14346"/>
    <x v="3"/>
    <n v="62007.75"/>
    <x v="0"/>
    <n v="6"/>
    <x v="0"/>
    <d v="2024-09-28T00:00:00"/>
    <d v="2024-10-04T00:00:00"/>
    <x v="9"/>
  </r>
  <r>
    <n v="4768"/>
    <n v="12366"/>
    <x v="3"/>
    <n v="112510.82"/>
    <x v="0"/>
    <n v="36"/>
    <x v="0"/>
    <d v="2024-09-03T00:00:00"/>
    <d v="2024-10-09T00:00:00"/>
    <x v="9"/>
  </r>
  <r>
    <n v="4769"/>
    <n v="17028"/>
    <x v="3"/>
    <n v="67246.149999999994"/>
    <x v="0"/>
    <n v="26"/>
    <x v="1"/>
    <d v="2024-12-26T00:00:00"/>
    <d v="2025-01-21T00:00:00"/>
    <x v="11"/>
  </r>
  <r>
    <n v="4770"/>
    <n v="16868"/>
    <x v="3"/>
    <n v="87726.26"/>
    <x v="0"/>
    <n v="14"/>
    <x v="0"/>
    <d v="2024-07-24T00:00:00"/>
    <d v="2024-08-07T00:00:00"/>
    <x v="2"/>
  </r>
  <r>
    <n v="4771"/>
    <n v="13875"/>
    <x v="3"/>
    <n v="101022.42"/>
    <x v="2"/>
    <m/>
    <x v="1"/>
    <d v="2024-12-10T00:00:00"/>
    <m/>
    <x v="11"/>
  </r>
  <r>
    <n v="4772"/>
    <n v="16041"/>
    <x v="2"/>
    <n v="171988.9"/>
    <x v="0"/>
    <n v="28"/>
    <x v="1"/>
    <d v="2024-11-13T00:00:00"/>
    <d v="2024-12-11T00:00:00"/>
    <x v="1"/>
  </r>
  <r>
    <n v="4773"/>
    <n v="13601"/>
    <x v="1"/>
    <n v="107022.49"/>
    <x v="2"/>
    <m/>
    <x v="3"/>
    <d v="2024-10-12T00:00:00"/>
    <m/>
    <x v="6"/>
  </r>
  <r>
    <n v="4774"/>
    <n v="14174"/>
    <x v="3"/>
    <n v="75679.67"/>
    <x v="1"/>
    <n v="18"/>
    <x v="0"/>
    <d v="2024-09-04T00:00:00"/>
    <d v="2024-09-22T00:00:00"/>
    <x v="9"/>
  </r>
  <r>
    <n v="4775"/>
    <n v="10923"/>
    <x v="3"/>
    <n v="53308.55"/>
    <x v="0"/>
    <n v="38"/>
    <x v="2"/>
    <d v="2024-03-07T00:00:00"/>
    <d v="2024-04-14T00:00:00"/>
    <x v="5"/>
  </r>
  <r>
    <n v="4776"/>
    <n v="10618"/>
    <x v="0"/>
    <n v="84691.82"/>
    <x v="0"/>
    <n v="39"/>
    <x v="3"/>
    <d v="2024-02-15T00:00:00"/>
    <d v="2024-03-25T00:00:00"/>
    <x v="4"/>
  </r>
  <r>
    <n v="4777"/>
    <n v="14400"/>
    <x v="3"/>
    <n v="105568.54"/>
    <x v="1"/>
    <n v="30"/>
    <x v="1"/>
    <d v="2024-02-12T00:00:00"/>
    <d v="2024-03-13T00:00:00"/>
    <x v="4"/>
  </r>
  <r>
    <n v="4778"/>
    <n v="16342"/>
    <x v="3"/>
    <n v="150492.4"/>
    <x v="0"/>
    <n v="35"/>
    <x v="1"/>
    <d v="2024-08-16T00:00:00"/>
    <d v="2024-09-20T00:00:00"/>
    <x v="8"/>
  </r>
  <r>
    <n v="4779"/>
    <n v="13303"/>
    <x v="1"/>
    <n v="28604.51"/>
    <x v="0"/>
    <n v="31"/>
    <x v="2"/>
    <d v="2024-10-27T00:00:00"/>
    <d v="2024-11-27T00:00:00"/>
    <x v="6"/>
  </r>
  <r>
    <n v="4780"/>
    <n v="19239"/>
    <x v="1"/>
    <n v="48213.79"/>
    <x v="0"/>
    <n v="32"/>
    <x v="1"/>
    <d v="2024-08-21T00:00:00"/>
    <d v="2024-09-22T00:00:00"/>
    <x v="8"/>
  </r>
  <r>
    <n v="4781"/>
    <n v="19890"/>
    <x v="1"/>
    <n v="79032.53"/>
    <x v="0"/>
    <n v="23"/>
    <x v="0"/>
    <d v="2024-07-17T00:00:00"/>
    <d v="2024-08-09T00:00:00"/>
    <x v="2"/>
  </r>
  <r>
    <n v="4782"/>
    <n v="15580"/>
    <x v="3"/>
    <n v="75277.69"/>
    <x v="2"/>
    <m/>
    <x v="3"/>
    <d v="2024-12-01T00:00:00"/>
    <m/>
    <x v="11"/>
  </r>
  <r>
    <n v="4783"/>
    <n v="17600"/>
    <x v="3"/>
    <n v="81390.880000000005"/>
    <x v="0"/>
    <n v="5"/>
    <x v="1"/>
    <d v="2024-02-01T00:00:00"/>
    <d v="2024-02-06T00:00:00"/>
    <x v="4"/>
  </r>
  <r>
    <n v="4784"/>
    <n v="18122"/>
    <x v="1"/>
    <n v="159736.65"/>
    <x v="0"/>
    <n v="36"/>
    <x v="1"/>
    <d v="2024-09-20T00:00:00"/>
    <d v="2024-10-26T00:00:00"/>
    <x v="9"/>
  </r>
  <r>
    <n v="4785"/>
    <n v="10082"/>
    <x v="3"/>
    <n v="68210.11"/>
    <x v="0"/>
    <n v="42"/>
    <x v="2"/>
    <d v="2024-04-22T00:00:00"/>
    <d v="2024-06-03T00:00:00"/>
    <x v="10"/>
  </r>
  <r>
    <n v="4786"/>
    <n v="10092"/>
    <x v="1"/>
    <n v="102870.15"/>
    <x v="1"/>
    <n v="10"/>
    <x v="0"/>
    <d v="2024-11-13T00:00:00"/>
    <d v="2024-11-23T00:00:00"/>
    <x v="1"/>
  </r>
  <r>
    <n v="4787"/>
    <n v="16760"/>
    <x v="1"/>
    <n v="126661.87"/>
    <x v="1"/>
    <n v="27"/>
    <x v="1"/>
    <d v="2024-10-02T00:00:00"/>
    <d v="2024-10-29T00:00:00"/>
    <x v="6"/>
  </r>
  <r>
    <n v="4788"/>
    <n v="17375"/>
    <x v="3"/>
    <n v="50274.82"/>
    <x v="0"/>
    <n v="28"/>
    <x v="2"/>
    <d v="2024-05-25T00:00:00"/>
    <d v="2024-06-22T00:00:00"/>
    <x v="3"/>
  </r>
  <r>
    <n v="4789"/>
    <n v="17837"/>
    <x v="2"/>
    <n v="145145.60000000001"/>
    <x v="0"/>
    <n v="28"/>
    <x v="1"/>
    <d v="2024-12-22T00:00:00"/>
    <d v="2025-01-19T00:00:00"/>
    <x v="11"/>
  </r>
  <r>
    <n v="4790"/>
    <n v="16724"/>
    <x v="0"/>
    <n v="111686.71"/>
    <x v="0"/>
    <n v="19"/>
    <x v="2"/>
    <d v="2024-01-06T00:00:00"/>
    <d v="2024-01-25T00:00:00"/>
    <x v="0"/>
  </r>
  <r>
    <n v="4791"/>
    <n v="13048"/>
    <x v="1"/>
    <n v="92122.33"/>
    <x v="0"/>
    <n v="31"/>
    <x v="2"/>
    <d v="2024-12-05T00:00:00"/>
    <d v="2025-01-05T00:00:00"/>
    <x v="11"/>
  </r>
  <r>
    <n v="4792"/>
    <n v="11467"/>
    <x v="3"/>
    <n v="162907.89000000001"/>
    <x v="0"/>
    <n v="32"/>
    <x v="0"/>
    <d v="2024-04-17T00:00:00"/>
    <d v="2024-05-19T00:00:00"/>
    <x v="10"/>
  </r>
  <r>
    <n v="4793"/>
    <n v="15489"/>
    <x v="3"/>
    <n v="52481.58"/>
    <x v="2"/>
    <m/>
    <x v="1"/>
    <d v="2024-09-16T00:00:00"/>
    <m/>
    <x v="9"/>
  </r>
  <r>
    <n v="4794"/>
    <n v="12698"/>
    <x v="3"/>
    <n v="177219.31"/>
    <x v="0"/>
    <n v="4"/>
    <x v="0"/>
    <d v="2024-03-11T00:00:00"/>
    <d v="2024-03-15T00:00:00"/>
    <x v="5"/>
  </r>
  <r>
    <n v="4795"/>
    <n v="18983"/>
    <x v="3"/>
    <n v="114404.5"/>
    <x v="0"/>
    <n v="30"/>
    <x v="2"/>
    <d v="2024-12-05T00:00:00"/>
    <d v="2025-01-04T00:00:00"/>
    <x v="11"/>
  </r>
  <r>
    <n v="4796"/>
    <n v="10475"/>
    <x v="2"/>
    <n v="123789.1"/>
    <x v="1"/>
    <n v="8"/>
    <x v="3"/>
    <d v="2024-06-10T00:00:00"/>
    <d v="2024-06-18T00:00:00"/>
    <x v="7"/>
  </r>
  <r>
    <n v="4797"/>
    <n v="18695"/>
    <x v="3"/>
    <n v="175636.5"/>
    <x v="0"/>
    <n v="19"/>
    <x v="1"/>
    <d v="2024-04-09T00:00:00"/>
    <d v="2024-04-28T00:00:00"/>
    <x v="10"/>
  </r>
  <r>
    <n v="4798"/>
    <n v="10230"/>
    <x v="3"/>
    <n v="164428.62"/>
    <x v="0"/>
    <n v="17"/>
    <x v="3"/>
    <d v="2024-11-22T00:00:00"/>
    <d v="2024-12-09T00:00:00"/>
    <x v="1"/>
  </r>
  <r>
    <n v="4799"/>
    <n v="17021"/>
    <x v="3"/>
    <n v="122304.6"/>
    <x v="0"/>
    <n v="33"/>
    <x v="1"/>
    <d v="2024-02-02T00:00:00"/>
    <d v="2024-03-06T00:00:00"/>
    <x v="4"/>
  </r>
  <r>
    <n v="4800"/>
    <n v="19778"/>
    <x v="1"/>
    <n v="151871.6"/>
    <x v="0"/>
    <n v="39"/>
    <x v="0"/>
    <d v="2024-05-22T00:00:00"/>
    <d v="2024-06-30T00:00:00"/>
    <x v="3"/>
  </r>
  <r>
    <n v="4801"/>
    <n v="19966"/>
    <x v="3"/>
    <n v="89497.3"/>
    <x v="2"/>
    <m/>
    <x v="0"/>
    <d v="2024-08-31T00:00:00"/>
    <m/>
    <x v="8"/>
  </r>
  <r>
    <n v="4802"/>
    <n v="16833"/>
    <x v="3"/>
    <n v="111738.66"/>
    <x v="0"/>
    <n v="33"/>
    <x v="0"/>
    <d v="2024-08-11T00:00:00"/>
    <d v="2024-09-13T00:00:00"/>
    <x v="8"/>
  </r>
  <r>
    <n v="4803"/>
    <n v="12256"/>
    <x v="3"/>
    <n v="17103.68"/>
    <x v="0"/>
    <n v="20"/>
    <x v="0"/>
    <d v="2024-08-01T00:00:00"/>
    <d v="2024-08-21T00:00:00"/>
    <x v="8"/>
  </r>
  <r>
    <n v="4804"/>
    <n v="13970"/>
    <x v="0"/>
    <n v="22522.29"/>
    <x v="0"/>
    <n v="4"/>
    <x v="0"/>
    <d v="2024-04-29T00:00:00"/>
    <d v="2024-05-03T00:00:00"/>
    <x v="10"/>
  </r>
  <r>
    <n v="4805"/>
    <n v="14838"/>
    <x v="3"/>
    <n v="166737.95000000001"/>
    <x v="2"/>
    <m/>
    <x v="3"/>
    <d v="2024-06-16T00:00:00"/>
    <m/>
    <x v="7"/>
  </r>
  <r>
    <n v="4806"/>
    <n v="10383"/>
    <x v="2"/>
    <n v="16635.97"/>
    <x v="0"/>
    <n v="30"/>
    <x v="0"/>
    <d v="2024-12-14T00:00:00"/>
    <d v="2025-01-13T00:00:00"/>
    <x v="11"/>
  </r>
  <r>
    <n v="4807"/>
    <n v="10760"/>
    <x v="0"/>
    <n v="38032.83"/>
    <x v="0"/>
    <n v="12"/>
    <x v="2"/>
    <d v="2024-08-04T00:00:00"/>
    <d v="2024-08-16T00:00:00"/>
    <x v="8"/>
  </r>
  <r>
    <n v="4808"/>
    <n v="15243"/>
    <x v="3"/>
    <n v="160187.37"/>
    <x v="2"/>
    <m/>
    <x v="2"/>
    <d v="2024-12-20T00:00:00"/>
    <m/>
    <x v="11"/>
  </r>
  <r>
    <n v="4809"/>
    <n v="13952"/>
    <x v="1"/>
    <n v="5223.46"/>
    <x v="0"/>
    <n v="20"/>
    <x v="3"/>
    <d v="2024-11-17T00:00:00"/>
    <d v="2024-12-07T00:00:00"/>
    <x v="1"/>
  </r>
  <r>
    <n v="4810"/>
    <n v="10942"/>
    <x v="3"/>
    <n v="60068.84"/>
    <x v="1"/>
    <n v="38"/>
    <x v="1"/>
    <d v="2024-08-04T00:00:00"/>
    <d v="2024-09-11T00:00:00"/>
    <x v="8"/>
  </r>
  <r>
    <n v="4811"/>
    <n v="12695"/>
    <x v="2"/>
    <n v="118887.54"/>
    <x v="0"/>
    <n v="28"/>
    <x v="2"/>
    <d v="2024-02-23T00:00:00"/>
    <d v="2024-03-22T00:00:00"/>
    <x v="4"/>
  </r>
  <r>
    <n v="4812"/>
    <n v="11296"/>
    <x v="1"/>
    <n v="121112.74"/>
    <x v="0"/>
    <n v="6"/>
    <x v="1"/>
    <d v="2024-07-26T00:00:00"/>
    <d v="2024-08-01T00:00:00"/>
    <x v="2"/>
  </r>
  <r>
    <n v="4813"/>
    <n v="12147"/>
    <x v="3"/>
    <n v="156544.82"/>
    <x v="0"/>
    <n v="27"/>
    <x v="3"/>
    <d v="2024-03-20T00:00:00"/>
    <d v="2024-04-16T00:00:00"/>
    <x v="5"/>
  </r>
  <r>
    <n v="4814"/>
    <n v="16874"/>
    <x v="3"/>
    <n v="103655.62"/>
    <x v="0"/>
    <n v="36"/>
    <x v="1"/>
    <d v="2024-05-30T00:00:00"/>
    <d v="2024-07-05T00:00:00"/>
    <x v="3"/>
  </r>
  <r>
    <n v="4815"/>
    <n v="19831"/>
    <x v="3"/>
    <n v="104333.36"/>
    <x v="0"/>
    <n v="20"/>
    <x v="1"/>
    <d v="2024-02-24T00:00:00"/>
    <d v="2024-03-15T00:00:00"/>
    <x v="4"/>
  </r>
  <r>
    <n v="4816"/>
    <n v="14396"/>
    <x v="2"/>
    <n v="146435.56"/>
    <x v="0"/>
    <n v="18"/>
    <x v="1"/>
    <d v="2024-01-05T00:00:00"/>
    <d v="2024-01-23T00:00:00"/>
    <x v="0"/>
  </r>
  <r>
    <n v="4817"/>
    <n v="10608"/>
    <x v="3"/>
    <n v="102231.77"/>
    <x v="0"/>
    <n v="36"/>
    <x v="1"/>
    <d v="2024-02-04T00:00:00"/>
    <d v="2024-03-11T00:00:00"/>
    <x v="4"/>
  </r>
  <r>
    <n v="4818"/>
    <n v="10881"/>
    <x v="1"/>
    <n v="123655.76"/>
    <x v="0"/>
    <n v="14"/>
    <x v="3"/>
    <d v="2024-12-14T00:00:00"/>
    <d v="2024-12-28T00:00:00"/>
    <x v="11"/>
  </r>
  <r>
    <n v="4819"/>
    <n v="17316"/>
    <x v="3"/>
    <n v="180065.94"/>
    <x v="0"/>
    <n v="15"/>
    <x v="2"/>
    <d v="2024-04-28T00:00:00"/>
    <d v="2024-05-13T00:00:00"/>
    <x v="10"/>
  </r>
  <r>
    <n v="4820"/>
    <n v="14891"/>
    <x v="2"/>
    <n v="83282.95"/>
    <x v="2"/>
    <m/>
    <x v="0"/>
    <d v="2024-07-15T00:00:00"/>
    <m/>
    <x v="2"/>
  </r>
  <r>
    <n v="4821"/>
    <n v="16480"/>
    <x v="3"/>
    <n v="80099.39"/>
    <x v="0"/>
    <n v="44"/>
    <x v="1"/>
    <d v="2024-02-23T00:00:00"/>
    <d v="2024-04-07T00:00:00"/>
    <x v="4"/>
  </r>
  <r>
    <n v="4822"/>
    <n v="17505"/>
    <x v="1"/>
    <n v="5692.05"/>
    <x v="2"/>
    <m/>
    <x v="2"/>
    <d v="2024-09-15T00:00:00"/>
    <m/>
    <x v="9"/>
  </r>
  <r>
    <n v="4823"/>
    <n v="11994"/>
    <x v="3"/>
    <n v="124618.12"/>
    <x v="0"/>
    <n v="38"/>
    <x v="2"/>
    <d v="2024-09-18T00:00:00"/>
    <d v="2024-10-26T00:00:00"/>
    <x v="9"/>
  </r>
  <r>
    <n v="4824"/>
    <n v="11323"/>
    <x v="1"/>
    <n v="10805.52"/>
    <x v="0"/>
    <n v="16"/>
    <x v="3"/>
    <d v="2024-12-08T00:00:00"/>
    <d v="2024-12-24T00:00:00"/>
    <x v="11"/>
  </r>
  <r>
    <n v="4825"/>
    <n v="17768"/>
    <x v="3"/>
    <n v="103308.96"/>
    <x v="0"/>
    <n v="19"/>
    <x v="2"/>
    <d v="2024-11-07T00:00:00"/>
    <d v="2024-11-26T00:00:00"/>
    <x v="1"/>
  </r>
  <r>
    <n v="4826"/>
    <n v="11011"/>
    <x v="3"/>
    <n v="161825.59"/>
    <x v="1"/>
    <n v="15"/>
    <x v="3"/>
    <d v="2024-01-02T00:00:00"/>
    <d v="2024-01-17T00:00:00"/>
    <x v="0"/>
  </r>
  <r>
    <n v="4827"/>
    <n v="16903"/>
    <x v="3"/>
    <n v="112234.61"/>
    <x v="1"/>
    <n v="15"/>
    <x v="1"/>
    <d v="2024-03-22T00:00:00"/>
    <d v="2024-04-06T00:00:00"/>
    <x v="5"/>
  </r>
  <r>
    <n v="4828"/>
    <n v="10688"/>
    <x v="1"/>
    <n v="57579.05"/>
    <x v="0"/>
    <n v="34"/>
    <x v="1"/>
    <d v="2024-12-15T00:00:00"/>
    <d v="2025-01-18T00:00:00"/>
    <x v="11"/>
  </r>
  <r>
    <n v="4829"/>
    <n v="14068"/>
    <x v="3"/>
    <n v="158302.84"/>
    <x v="2"/>
    <m/>
    <x v="0"/>
    <d v="2024-01-05T00:00:00"/>
    <m/>
    <x v="0"/>
  </r>
  <r>
    <n v="4830"/>
    <n v="19434"/>
    <x v="1"/>
    <n v="57594.82"/>
    <x v="0"/>
    <n v="12"/>
    <x v="0"/>
    <d v="2024-06-22T00:00:00"/>
    <d v="2024-07-04T00:00:00"/>
    <x v="7"/>
  </r>
  <r>
    <n v="4831"/>
    <n v="13447"/>
    <x v="3"/>
    <n v="147941.20000000001"/>
    <x v="0"/>
    <n v="12"/>
    <x v="0"/>
    <d v="2024-05-18T00:00:00"/>
    <d v="2024-05-30T00:00:00"/>
    <x v="3"/>
  </r>
  <r>
    <n v="4832"/>
    <n v="17897"/>
    <x v="0"/>
    <n v="124000.4"/>
    <x v="2"/>
    <m/>
    <x v="2"/>
    <d v="2024-07-11T00:00:00"/>
    <m/>
    <x v="2"/>
  </r>
  <r>
    <n v="4833"/>
    <n v="17255"/>
    <x v="2"/>
    <n v="38149.279999999999"/>
    <x v="1"/>
    <n v="4"/>
    <x v="1"/>
    <d v="2024-05-17T00:00:00"/>
    <d v="2024-05-21T00:00:00"/>
    <x v="3"/>
  </r>
  <r>
    <n v="4834"/>
    <n v="18075"/>
    <x v="1"/>
    <n v="181501.11"/>
    <x v="2"/>
    <m/>
    <x v="3"/>
    <d v="2024-10-23T00:00:00"/>
    <m/>
    <x v="6"/>
  </r>
  <r>
    <n v="4835"/>
    <n v="18632"/>
    <x v="3"/>
    <n v="44125.52"/>
    <x v="0"/>
    <n v="18"/>
    <x v="0"/>
    <d v="2024-04-25T00:00:00"/>
    <d v="2024-05-13T00:00:00"/>
    <x v="10"/>
  </r>
  <r>
    <n v="4836"/>
    <n v="19416"/>
    <x v="3"/>
    <n v="197969.48"/>
    <x v="0"/>
    <n v="23"/>
    <x v="3"/>
    <d v="2024-02-13T00:00:00"/>
    <d v="2024-03-07T00:00:00"/>
    <x v="4"/>
  </r>
  <r>
    <n v="4837"/>
    <n v="12462"/>
    <x v="3"/>
    <n v="6425.55"/>
    <x v="0"/>
    <n v="30"/>
    <x v="3"/>
    <d v="2024-12-11T00:00:00"/>
    <d v="2025-01-10T00:00:00"/>
    <x v="11"/>
  </r>
  <r>
    <n v="4838"/>
    <n v="15123"/>
    <x v="3"/>
    <n v="56379.26"/>
    <x v="0"/>
    <n v="27"/>
    <x v="0"/>
    <d v="2024-10-15T00:00:00"/>
    <d v="2024-11-11T00:00:00"/>
    <x v="6"/>
  </r>
  <r>
    <n v="4839"/>
    <n v="14178"/>
    <x v="1"/>
    <n v="43972.76"/>
    <x v="1"/>
    <n v="35"/>
    <x v="1"/>
    <d v="2024-08-06T00:00:00"/>
    <d v="2024-09-10T00:00:00"/>
    <x v="8"/>
  </r>
  <r>
    <n v="4840"/>
    <n v="16149"/>
    <x v="1"/>
    <n v="7728.71"/>
    <x v="0"/>
    <n v="27"/>
    <x v="0"/>
    <d v="2024-02-25T00:00:00"/>
    <d v="2024-03-23T00:00:00"/>
    <x v="4"/>
  </r>
  <r>
    <n v="4841"/>
    <n v="11752"/>
    <x v="2"/>
    <n v="147811.74"/>
    <x v="0"/>
    <n v="10"/>
    <x v="3"/>
    <d v="2024-08-29T00:00:00"/>
    <d v="2024-09-08T00:00:00"/>
    <x v="8"/>
  </r>
  <r>
    <n v="4842"/>
    <n v="14629"/>
    <x v="3"/>
    <n v="140218.03"/>
    <x v="0"/>
    <n v="41"/>
    <x v="0"/>
    <d v="2024-09-14T00:00:00"/>
    <d v="2024-10-25T00:00:00"/>
    <x v="9"/>
  </r>
  <r>
    <n v="4843"/>
    <n v="15916"/>
    <x v="1"/>
    <n v="159508.44"/>
    <x v="0"/>
    <n v="12"/>
    <x v="3"/>
    <d v="2024-01-01T00:00:00"/>
    <d v="2024-01-13T00:00:00"/>
    <x v="0"/>
  </r>
  <r>
    <n v="4844"/>
    <n v="14546"/>
    <x v="3"/>
    <n v="55056.22"/>
    <x v="0"/>
    <n v="8"/>
    <x v="3"/>
    <d v="2024-10-15T00:00:00"/>
    <d v="2024-10-23T00:00:00"/>
    <x v="6"/>
  </r>
  <r>
    <n v="4845"/>
    <n v="13359"/>
    <x v="1"/>
    <n v="91645.36"/>
    <x v="0"/>
    <n v="31"/>
    <x v="0"/>
    <d v="2024-04-12T00:00:00"/>
    <d v="2024-05-13T00:00:00"/>
    <x v="10"/>
  </r>
  <r>
    <n v="4846"/>
    <n v="15013"/>
    <x v="3"/>
    <n v="133527.14000000001"/>
    <x v="1"/>
    <n v="3"/>
    <x v="2"/>
    <d v="2024-10-18T00:00:00"/>
    <d v="2024-10-21T00:00:00"/>
    <x v="6"/>
  </r>
  <r>
    <n v="4847"/>
    <n v="17604"/>
    <x v="3"/>
    <n v="90754.86"/>
    <x v="0"/>
    <n v="31"/>
    <x v="0"/>
    <d v="2024-05-28T00:00:00"/>
    <d v="2024-06-28T00:00:00"/>
    <x v="3"/>
  </r>
  <r>
    <n v="4848"/>
    <n v="14014"/>
    <x v="3"/>
    <n v="140978.53"/>
    <x v="1"/>
    <n v="5"/>
    <x v="2"/>
    <d v="2024-03-24T00:00:00"/>
    <d v="2024-03-29T00:00:00"/>
    <x v="5"/>
  </r>
  <r>
    <n v="4849"/>
    <n v="10899"/>
    <x v="1"/>
    <n v="128624.81"/>
    <x v="0"/>
    <n v="15"/>
    <x v="3"/>
    <d v="2024-01-26T00:00:00"/>
    <d v="2024-02-10T00:00:00"/>
    <x v="0"/>
  </r>
  <r>
    <n v="4850"/>
    <n v="11189"/>
    <x v="2"/>
    <n v="27356.32"/>
    <x v="0"/>
    <n v="14"/>
    <x v="3"/>
    <d v="2024-06-23T00:00:00"/>
    <d v="2024-07-07T00:00:00"/>
    <x v="7"/>
  </r>
  <r>
    <n v="4851"/>
    <n v="10652"/>
    <x v="3"/>
    <n v="157303.41"/>
    <x v="0"/>
    <n v="26"/>
    <x v="2"/>
    <d v="2024-08-10T00:00:00"/>
    <d v="2024-09-05T00:00:00"/>
    <x v="8"/>
  </r>
  <r>
    <n v="4852"/>
    <n v="17996"/>
    <x v="3"/>
    <n v="145531.89000000001"/>
    <x v="1"/>
    <n v="14"/>
    <x v="3"/>
    <d v="2024-05-08T00:00:00"/>
    <d v="2024-05-22T00:00:00"/>
    <x v="3"/>
  </r>
  <r>
    <n v="4853"/>
    <n v="10982"/>
    <x v="3"/>
    <n v="132887.71"/>
    <x v="0"/>
    <n v="14"/>
    <x v="2"/>
    <d v="2024-05-21T00:00:00"/>
    <d v="2024-06-04T00:00:00"/>
    <x v="3"/>
  </r>
  <r>
    <n v="4854"/>
    <n v="10575"/>
    <x v="1"/>
    <n v="35243.25"/>
    <x v="0"/>
    <n v="38"/>
    <x v="2"/>
    <d v="2024-12-11T00:00:00"/>
    <d v="2025-01-18T00:00:00"/>
    <x v="11"/>
  </r>
  <r>
    <n v="4855"/>
    <n v="18524"/>
    <x v="3"/>
    <n v="57259.31"/>
    <x v="0"/>
    <n v="7"/>
    <x v="3"/>
    <d v="2024-10-28T00:00:00"/>
    <d v="2024-11-04T00:00:00"/>
    <x v="6"/>
  </r>
  <r>
    <n v="4856"/>
    <n v="14307"/>
    <x v="1"/>
    <n v="81669.52"/>
    <x v="0"/>
    <n v="27"/>
    <x v="1"/>
    <d v="2024-10-24T00:00:00"/>
    <d v="2024-11-20T00:00:00"/>
    <x v="6"/>
  </r>
  <r>
    <n v="4857"/>
    <n v="18480"/>
    <x v="2"/>
    <n v="59586.28"/>
    <x v="1"/>
    <n v="15"/>
    <x v="2"/>
    <d v="2024-05-14T00:00:00"/>
    <d v="2024-05-29T00:00:00"/>
    <x v="3"/>
  </r>
  <r>
    <n v="4858"/>
    <n v="16753"/>
    <x v="2"/>
    <n v="49423.01"/>
    <x v="1"/>
    <n v="9"/>
    <x v="0"/>
    <d v="2024-02-24T00:00:00"/>
    <d v="2024-03-04T00:00:00"/>
    <x v="4"/>
  </r>
  <r>
    <n v="4859"/>
    <n v="17740"/>
    <x v="3"/>
    <n v="162044.75"/>
    <x v="0"/>
    <n v="25"/>
    <x v="0"/>
    <d v="2024-02-25T00:00:00"/>
    <d v="2024-03-21T00:00:00"/>
    <x v="4"/>
  </r>
  <r>
    <n v="4860"/>
    <n v="11055"/>
    <x v="0"/>
    <n v="129455.29"/>
    <x v="0"/>
    <n v="23"/>
    <x v="3"/>
    <d v="2024-03-16T00:00:00"/>
    <d v="2024-04-08T00:00:00"/>
    <x v="5"/>
  </r>
  <r>
    <n v="4861"/>
    <n v="16026"/>
    <x v="1"/>
    <n v="115267.07"/>
    <x v="1"/>
    <n v="41"/>
    <x v="1"/>
    <d v="2024-11-14T00:00:00"/>
    <d v="2024-12-25T00:00:00"/>
    <x v="1"/>
  </r>
  <r>
    <n v="4862"/>
    <n v="14369"/>
    <x v="3"/>
    <n v="49060.78"/>
    <x v="0"/>
    <n v="40"/>
    <x v="3"/>
    <d v="2024-12-04T00:00:00"/>
    <d v="2025-01-13T00:00:00"/>
    <x v="11"/>
  </r>
  <r>
    <n v="4863"/>
    <n v="11324"/>
    <x v="1"/>
    <n v="184024.93"/>
    <x v="0"/>
    <n v="22"/>
    <x v="1"/>
    <d v="2024-12-20T00:00:00"/>
    <d v="2025-01-11T00:00:00"/>
    <x v="11"/>
  </r>
  <r>
    <n v="4864"/>
    <n v="13595"/>
    <x v="0"/>
    <n v="42280.69"/>
    <x v="0"/>
    <n v="44"/>
    <x v="2"/>
    <d v="2024-05-11T00:00:00"/>
    <d v="2024-06-24T00:00:00"/>
    <x v="3"/>
  </r>
  <r>
    <n v="4865"/>
    <n v="13827"/>
    <x v="3"/>
    <n v="160015.43"/>
    <x v="0"/>
    <n v="27"/>
    <x v="2"/>
    <d v="2024-02-11T00:00:00"/>
    <d v="2024-03-09T00:00:00"/>
    <x v="4"/>
  </r>
  <r>
    <n v="4866"/>
    <n v="12323"/>
    <x v="3"/>
    <n v="193501.17"/>
    <x v="0"/>
    <n v="11"/>
    <x v="2"/>
    <d v="2024-12-17T00:00:00"/>
    <d v="2024-12-28T00:00:00"/>
    <x v="11"/>
  </r>
  <r>
    <n v="4867"/>
    <n v="11882"/>
    <x v="3"/>
    <n v="146783.07999999999"/>
    <x v="1"/>
    <n v="14"/>
    <x v="2"/>
    <d v="2024-04-19T00:00:00"/>
    <d v="2024-05-03T00:00:00"/>
    <x v="10"/>
  </r>
  <r>
    <n v="4868"/>
    <n v="11153"/>
    <x v="1"/>
    <n v="198607.46"/>
    <x v="0"/>
    <n v="43"/>
    <x v="0"/>
    <d v="2024-03-10T00:00:00"/>
    <d v="2024-04-22T00:00:00"/>
    <x v="5"/>
  </r>
  <r>
    <n v="4869"/>
    <n v="13370"/>
    <x v="3"/>
    <n v="131954.97"/>
    <x v="0"/>
    <n v="15"/>
    <x v="0"/>
    <d v="2024-10-10T00:00:00"/>
    <d v="2024-10-25T00:00:00"/>
    <x v="6"/>
  </r>
  <r>
    <n v="4870"/>
    <n v="18288"/>
    <x v="2"/>
    <n v="47404.77"/>
    <x v="1"/>
    <n v="10"/>
    <x v="3"/>
    <d v="2024-05-05T00:00:00"/>
    <d v="2024-05-15T00:00:00"/>
    <x v="3"/>
  </r>
  <r>
    <n v="4871"/>
    <n v="10276"/>
    <x v="1"/>
    <n v="44744.800000000003"/>
    <x v="0"/>
    <n v="8"/>
    <x v="1"/>
    <d v="2024-12-13T00:00:00"/>
    <d v="2024-12-21T00:00:00"/>
    <x v="11"/>
  </r>
  <r>
    <n v="4872"/>
    <n v="15404"/>
    <x v="1"/>
    <n v="68290.039999999994"/>
    <x v="0"/>
    <n v="40"/>
    <x v="2"/>
    <d v="2024-10-22T00:00:00"/>
    <d v="2024-12-01T00:00:00"/>
    <x v="6"/>
  </r>
  <r>
    <n v="4873"/>
    <n v="15292"/>
    <x v="3"/>
    <n v="6390.35"/>
    <x v="0"/>
    <n v="32"/>
    <x v="2"/>
    <d v="2024-06-27T00:00:00"/>
    <d v="2024-07-29T00:00:00"/>
    <x v="7"/>
  </r>
  <r>
    <n v="4874"/>
    <n v="18523"/>
    <x v="1"/>
    <n v="137931.20000000001"/>
    <x v="0"/>
    <n v="17"/>
    <x v="1"/>
    <d v="2024-10-24T00:00:00"/>
    <d v="2024-11-10T00:00:00"/>
    <x v="6"/>
  </r>
  <r>
    <n v="4875"/>
    <n v="14198"/>
    <x v="3"/>
    <n v="57390.22"/>
    <x v="2"/>
    <m/>
    <x v="1"/>
    <d v="2024-07-15T00:00:00"/>
    <m/>
    <x v="2"/>
  </r>
  <r>
    <n v="4876"/>
    <n v="13696"/>
    <x v="3"/>
    <n v="163960.73000000001"/>
    <x v="1"/>
    <n v="16"/>
    <x v="3"/>
    <d v="2024-09-17T00:00:00"/>
    <d v="2024-10-03T00:00:00"/>
    <x v="9"/>
  </r>
  <r>
    <n v="4877"/>
    <n v="13202"/>
    <x v="1"/>
    <n v="75038.67"/>
    <x v="0"/>
    <n v="26"/>
    <x v="1"/>
    <d v="2024-04-10T00:00:00"/>
    <d v="2024-05-06T00:00:00"/>
    <x v="10"/>
  </r>
  <r>
    <n v="4878"/>
    <n v="12086"/>
    <x v="3"/>
    <n v="98591.52"/>
    <x v="1"/>
    <n v="39"/>
    <x v="2"/>
    <d v="2024-03-01T00:00:00"/>
    <d v="2024-04-09T00:00:00"/>
    <x v="5"/>
  </r>
  <r>
    <n v="4879"/>
    <n v="10306"/>
    <x v="1"/>
    <n v="193309.34"/>
    <x v="0"/>
    <n v="42"/>
    <x v="2"/>
    <d v="2024-07-01T00:00:00"/>
    <d v="2024-08-12T00:00:00"/>
    <x v="2"/>
  </r>
  <r>
    <n v="4880"/>
    <n v="10883"/>
    <x v="3"/>
    <n v="52223.56"/>
    <x v="2"/>
    <m/>
    <x v="2"/>
    <d v="2024-10-23T00:00:00"/>
    <m/>
    <x v="6"/>
  </r>
  <r>
    <n v="4881"/>
    <n v="16663"/>
    <x v="3"/>
    <n v="145644.54999999999"/>
    <x v="0"/>
    <n v="26"/>
    <x v="2"/>
    <d v="2024-01-09T00:00:00"/>
    <d v="2024-02-04T00:00:00"/>
    <x v="0"/>
  </r>
  <r>
    <n v="4882"/>
    <n v="16189"/>
    <x v="3"/>
    <n v="152247.97"/>
    <x v="0"/>
    <n v="8"/>
    <x v="2"/>
    <d v="2024-07-24T00:00:00"/>
    <d v="2024-08-01T00:00:00"/>
    <x v="2"/>
  </r>
  <r>
    <n v="4883"/>
    <n v="14289"/>
    <x v="2"/>
    <n v="48094.64"/>
    <x v="0"/>
    <n v="27"/>
    <x v="3"/>
    <d v="2024-11-13T00:00:00"/>
    <d v="2024-12-10T00:00:00"/>
    <x v="1"/>
  </r>
  <r>
    <n v="4884"/>
    <n v="13589"/>
    <x v="1"/>
    <n v="102694.38"/>
    <x v="0"/>
    <n v="9"/>
    <x v="2"/>
    <d v="2024-02-23T00:00:00"/>
    <d v="2024-03-03T00:00:00"/>
    <x v="4"/>
  </r>
  <r>
    <n v="4885"/>
    <n v="13641"/>
    <x v="1"/>
    <n v="73289.38"/>
    <x v="0"/>
    <n v="19"/>
    <x v="3"/>
    <d v="2024-06-28T00:00:00"/>
    <d v="2024-07-17T00:00:00"/>
    <x v="7"/>
  </r>
  <r>
    <n v="4886"/>
    <n v="17336"/>
    <x v="3"/>
    <n v="155521.72"/>
    <x v="0"/>
    <n v="22"/>
    <x v="2"/>
    <d v="2024-04-13T00:00:00"/>
    <d v="2024-05-05T00:00:00"/>
    <x v="10"/>
  </r>
  <r>
    <n v="4887"/>
    <n v="15108"/>
    <x v="3"/>
    <n v="126384.25"/>
    <x v="1"/>
    <n v="17"/>
    <x v="0"/>
    <d v="2024-05-05T00:00:00"/>
    <d v="2024-05-22T00:00:00"/>
    <x v="3"/>
  </r>
  <r>
    <n v="4888"/>
    <n v="12162"/>
    <x v="2"/>
    <n v="97816.7"/>
    <x v="0"/>
    <n v="4"/>
    <x v="0"/>
    <d v="2024-02-03T00:00:00"/>
    <d v="2024-02-07T00:00:00"/>
    <x v="4"/>
  </r>
  <r>
    <n v="4889"/>
    <n v="16709"/>
    <x v="3"/>
    <n v="156975.84"/>
    <x v="2"/>
    <m/>
    <x v="0"/>
    <d v="2024-06-13T00:00:00"/>
    <m/>
    <x v="7"/>
  </r>
  <r>
    <n v="4890"/>
    <n v="15167"/>
    <x v="3"/>
    <n v="50855.34"/>
    <x v="0"/>
    <n v="14"/>
    <x v="0"/>
    <d v="2024-10-24T00:00:00"/>
    <d v="2024-11-07T00:00:00"/>
    <x v="6"/>
  </r>
  <r>
    <n v="4891"/>
    <n v="13141"/>
    <x v="1"/>
    <n v="151956.26999999999"/>
    <x v="0"/>
    <n v="33"/>
    <x v="3"/>
    <d v="2024-09-26T00:00:00"/>
    <d v="2024-10-29T00:00:00"/>
    <x v="9"/>
  </r>
  <r>
    <n v="4892"/>
    <n v="16131"/>
    <x v="3"/>
    <n v="173747.99"/>
    <x v="2"/>
    <m/>
    <x v="3"/>
    <d v="2024-10-15T00:00:00"/>
    <m/>
    <x v="6"/>
  </r>
  <r>
    <n v="4893"/>
    <n v="14603"/>
    <x v="0"/>
    <n v="176331.21"/>
    <x v="0"/>
    <n v="32"/>
    <x v="1"/>
    <d v="2024-04-27T00:00:00"/>
    <d v="2024-05-29T00:00:00"/>
    <x v="10"/>
  </r>
  <r>
    <n v="4894"/>
    <n v="10154"/>
    <x v="1"/>
    <n v="157816.35"/>
    <x v="1"/>
    <n v="42"/>
    <x v="2"/>
    <d v="2024-12-19T00:00:00"/>
    <d v="2025-01-30T00:00:00"/>
    <x v="11"/>
  </r>
  <r>
    <n v="4895"/>
    <n v="13630"/>
    <x v="3"/>
    <n v="84562.76"/>
    <x v="1"/>
    <n v="3"/>
    <x v="0"/>
    <d v="2024-04-01T00:00:00"/>
    <d v="2024-04-04T00:00:00"/>
    <x v="10"/>
  </r>
  <r>
    <n v="4896"/>
    <n v="18652"/>
    <x v="3"/>
    <n v="196452.56"/>
    <x v="0"/>
    <n v="42"/>
    <x v="3"/>
    <d v="2024-04-09T00:00:00"/>
    <d v="2024-05-21T00:00:00"/>
    <x v="10"/>
  </r>
  <r>
    <n v="4897"/>
    <n v="11396"/>
    <x v="3"/>
    <n v="79020.759999999995"/>
    <x v="0"/>
    <n v="9"/>
    <x v="2"/>
    <d v="2024-03-27T00:00:00"/>
    <d v="2024-04-05T00:00:00"/>
    <x v="5"/>
  </r>
  <r>
    <n v="4898"/>
    <n v="18982"/>
    <x v="0"/>
    <n v="129531.95"/>
    <x v="0"/>
    <n v="26"/>
    <x v="2"/>
    <d v="2024-08-21T00:00:00"/>
    <d v="2024-09-16T00:00:00"/>
    <x v="8"/>
  </r>
  <r>
    <n v="4899"/>
    <n v="16797"/>
    <x v="1"/>
    <n v="36409.46"/>
    <x v="0"/>
    <n v="6"/>
    <x v="3"/>
    <d v="2024-05-03T00:00:00"/>
    <d v="2024-05-09T00:00:00"/>
    <x v="3"/>
  </r>
  <r>
    <n v="4900"/>
    <n v="16594"/>
    <x v="3"/>
    <n v="196187.54"/>
    <x v="0"/>
    <n v="3"/>
    <x v="0"/>
    <d v="2024-07-21T00:00:00"/>
    <d v="2024-07-24T00:00:00"/>
    <x v="2"/>
  </r>
  <r>
    <n v="4901"/>
    <n v="13709"/>
    <x v="3"/>
    <n v="142277.25"/>
    <x v="1"/>
    <n v="43"/>
    <x v="1"/>
    <d v="2024-02-01T00:00:00"/>
    <d v="2024-03-15T00:00:00"/>
    <x v="4"/>
  </r>
  <r>
    <n v="4902"/>
    <n v="11867"/>
    <x v="1"/>
    <n v="151908.62"/>
    <x v="0"/>
    <n v="39"/>
    <x v="2"/>
    <d v="2024-12-22T00:00:00"/>
    <d v="2025-01-30T00:00:00"/>
    <x v="11"/>
  </r>
  <r>
    <n v="4903"/>
    <n v="19880"/>
    <x v="1"/>
    <n v="17826.46"/>
    <x v="0"/>
    <n v="40"/>
    <x v="1"/>
    <d v="2024-02-08T00:00:00"/>
    <d v="2024-03-19T00:00:00"/>
    <x v="4"/>
  </r>
  <r>
    <n v="4904"/>
    <n v="10576"/>
    <x v="3"/>
    <n v="153866.47"/>
    <x v="0"/>
    <n v="4"/>
    <x v="0"/>
    <d v="2024-04-03T00:00:00"/>
    <d v="2024-04-07T00:00:00"/>
    <x v="10"/>
  </r>
  <r>
    <n v="4905"/>
    <n v="17263"/>
    <x v="3"/>
    <n v="156071.07"/>
    <x v="2"/>
    <m/>
    <x v="0"/>
    <d v="2024-01-10T00:00:00"/>
    <m/>
    <x v="0"/>
  </r>
  <r>
    <n v="4906"/>
    <n v="13764"/>
    <x v="3"/>
    <n v="135995.68"/>
    <x v="0"/>
    <n v="23"/>
    <x v="1"/>
    <d v="2024-08-02T00:00:00"/>
    <d v="2024-08-25T00:00:00"/>
    <x v="8"/>
  </r>
  <r>
    <n v="4907"/>
    <n v="18553"/>
    <x v="1"/>
    <n v="61922.37"/>
    <x v="0"/>
    <n v="41"/>
    <x v="0"/>
    <d v="2024-04-09T00:00:00"/>
    <d v="2024-05-20T00:00:00"/>
    <x v="10"/>
  </r>
  <r>
    <n v="4908"/>
    <n v="10456"/>
    <x v="2"/>
    <n v="100489.56"/>
    <x v="0"/>
    <n v="34"/>
    <x v="2"/>
    <d v="2024-08-31T00:00:00"/>
    <d v="2024-10-04T00:00:00"/>
    <x v="8"/>
  </r>
  <r>
    <n v="4909"/>
    <n v="13561"/>
    <x v="3"/>
    <n v="26534.7"/>
    <x v="2"/>
    <m/>
    <x v="1"/>
    <d v="2024-02-27T00:00:00"/>
    <m/>
    <x v="4"/>
  </r>
  <r>
    <n v="4910"/>
    <n v="13110"/>
    <x v="1"/>
    <n v="96959.48"/>
    <x v="2"/>
    <m/>
    <x v="0"/>
    <d v="2024-12-22T00:00:00"/>
    <m/>
    <x v="11"/>
  </r>
  <r>
    <n v="4911"/>
    <n v="13529"/>
    <x v="3"/>
    <n v="52545.65"/>
    <x v="0"/>
    <n v="19"/>
    <x v="1"/>
    <d v="2024-11-15T00:00:00"/>
    <d v="2024-12-04T00:00:00"/>
    <x v="1"/>
  </r>
  <r>
    <n v="4912"/>
    <n v="14907"/>
    <x v="3"/>
    <n v="73073.91"/>
    <x v="1"/>
    <n v="4"/>
    <x v="2"/>
    <d v="2024-01-19T00:00:00"/>
    <d v="2024-01-23T00:00:00"/>
    <x v="0"/>
  </r>
  <r>
    <n v="4913"/>
    <n v="14968"/>
    <x v="3"/>
    <n v="36707.08"/>
    <x v="0"/>
    <n v="7"/>
    <x v="0"/>
    <d v="2024-12-22T00:00:00"/>
    <d v="2024-12-29T00:00:00"/>
    <x v="11"/>
  </r>
  <r>
    <n v="4914"/>
    <n v="18541"/>
    <x v="0"/>
    <n v="49860.6"/>
    <x v="2"/>
    <m/>
    <x v="2"/>
    <d v="2024-04-26T00:00:00"/>
    <m/>
    <x v="10"/>
  </r>
  <r>
    <n v="4915"/>
    <n v="14547"/>
    <x v="3"/>
    <n v="19930.89"/>
    <x v="0"/>
    <n v="32"/>
    <x v="0"/>
    <d v="2024-05-15T00:00:00"/>
    <d v="2024-06-16T00:00:00"/>
    <x v="3"/>
  </r>
  <r>
    <n v="4916"/>
    <n v="14083"/>
    <x v="1"/>
    <n v="184380.77"/>
    <x v="0"/>
    <n v="18"/>
    <x v="3"/>
    <d v="2024-11-22T00:00:00"/>
    <d v="2024-12-10T00:00:00"/>
    <x v="1"/>
  </r>
  <r>
    <n v="4917"/>
    <n v="10108"/>
    <x v="3"/>
    <n v="108430.08"/>
    <x v="0"/>
    <n v="22"/>
    <x v="0"/>
    <d v="2024-10-22T00:00:00"/>
    <d v="2024-11-13T00:00:00"/>
    <x v="6"/>
  </r>
  <r>
    <n v="4918"/>
    <n v="17751"/>
    <x v="3"/>
    <n v="82364.679999999993"/>
    <x v="0"/>
    <n v="17"/>
    <x v="1"/>
    <d v="2024-01-13T00:00:00"/>
    <d v="2024-01-30T00:00:00"/>
    <x v="0"/>
  </r>
  <r>
    <n v="4919"/>
    <n v="11231"/>
    <x v="3"/>
    <n v="109330.7"/>
    <x v="1"/>
    <n v="18"/>
    <x v="0"/>
    <d v="2024-04-10T00:00:00"/>
    <d v="2024-04-28T00:00:00"/>
    <x v="10"/>
  </r>
  <r>
    <n v="4920"/>
    <n v="10576"/>
    <x v="1"/>
    <n v="127517.18"/>
    <x v="0"/>
    <n v="33"/>
    <x v="2"/>
    <d v="2024-06-03T00:00:00"/>
    <d v="2024-07-06T00:00:00"/>
    <x v="7"/>
  </r>
  <r>
    <n v="4921"/>
    <n v="10240"/>
    <x v="3"/>
    <n v="184766.36"/>
    <x v="2"/>
    <m/>
    <x v="2"/>
    <d v="2024-03-22T00:00:00"/>
    <m/>
    <x v="5"/>
  </r>
  <r>
    <n v="4922"/>
    <n v="17566"/>
    <x v="1"/>
    <n v="39845.129999999997"/>
    <x v="0"/>
    <n v="39"/>
    <x v="0"/>
    <d v="2024-03-28T00:00:00"/>
    <d v="2024-05-06T00:00:00"/>
    <x v="5"/>
  </r>
  <r>
    <n v="4923"/>
    <n v="15809"/>
    <x v="3"/>
    <n v="62632.74"/>
    <x v="0"/>
    <n v="9"/>
    <x v="1"/>
    <d v="2024-04-14T00:00:00"/>
    <d v="2024-04-23T00:00:00"/>
    <x v="10"/>
  </r>
  <r>
    <n v="4924"/>
    <n v="16721"/>
    <x v="3"/>
    <n v="195278.92"/>
    <x v="0"/>
    <n v="2"/>
    <x v="3"/>
    <d v="2024-05-09T00:00:00"/>
    <d v="2024-05-11T00:00:00"/>
    <x v="3"/>
  </r>
  <r>
    <n v="4925"/>
    <n v="10370"/>
    <x v="3"/>
    <n v="77382.63"/>
    <x v="0"/>
    <n v="3"/>
    <x v="1"/>
    <d v="2024-09-28T00:00:00"/>
    <d v="2024-10-01T00:00:00"/>
    <x v="9"/>
  </r>
  <r>
    <n v="4926"/>
    <n v="16054"/>
    <x v="3"/>
    <n v="9399.52"/>
    <x v="1"/>
    <n v="38"/>
    <x v="3"/>
    <d v="2024-01-14T00:00:00"/>
    <d v="2024-02-21T00:00:00"/>
    <x v="0"/>
  </r>
  <r>
    <n v="4927"/>
    <n v="10097"/>
    <x v="3"/>
    <n v="33790.480000000003"/>
    <x v="0"/>
    <n v="25"/>
    <x v="2"/>
    <d v="2024-05-07T00:00:00"/>
    <d v="2024-06-01T00:00:00"/>
    <x v="3"/>
  </r>
  <r>
    <n v="4928"/>
    <n v="15606"/>
    <x v="3"/>
    <n v="10136.049999999999"/>
    <x v="0"/>
    <n v="28"/>
    <x v="1"/>
    <d v="2024-02-29T00:00:00"/>
    <d v="2024-03-28T00:00:00"/>
    <x v="4"/>
  </r>
  <r>
    <n v="4929"/>
    <n v="18156"/>
    <x v="1"/>
    <n v="198035.01"/>
    <x v="0"/>
    <n v="21"/>
    <x v="3"/>
    <d v="2024-08-14T00:00:00"/>
    <d v="2024-09-04T00:00:00"/>
    <x v="8"/>
  </r>
  <r>
    <n v="4930"/>
    <n v="19687"/>
    <x v="1"/>
    <n v="59379.82"/>
    <x v="0"/>
    <n v="22"/>
    <x v="0"/>
    <d v="2024-01-17T00:00:00"/>
    <d v="2024-02-08T00:00:00"/>
    <x v="0"/>
  </r>
  <r>
    <n v="4931"/>
    <n v="12455"/>
    <x v="3"/>
    <n v="185090.84"/>
    <x v="2"/>
    <m/>
    <x v="2"/>
    <d v="2024-02-14T00:00:00"/>
    <m/>
    <x v="4"/>
  </r>
  <r>
    <n v="4932"/>
    <n v="13446"/>
    <x v="3"/>
    <n v="199197.82"/>
    <x v="0"/>
    <n v="38"/>
    <x v="0"/>
    <d v="2024-02-07T00:00:00"/>
    <d v="2024-03-16T00:00:00"/>
    <x v="4"/>
  </r>
  <r>
    <n v="4933"/>
    <n v="19597"/>
    <x v="3"/>
    <n v="121969.04"/>
    <x v="1"/>
    <n v="36"/>
    <x v="2"/>
    <d v="2024-05-03T00:00:00"/>
    <d v="2024-06-08T00:00:00"/>
    <x v="3"/>
  </r>
  <r>
    <n v="4934"/>
    <n v="14811"/>
    <x v="3"/>
    <n v="11473.28"/>
    <x v="0"/>
    <n v="39"/>
    <x v="1"/>
    <d v="2024-12-25T00:00:00"/>
    <d v="2025-02-02T00:00:00"/>
    <x v="11"/>
  </r>
  <r>
    <n v="4935"/>
    <n v="17827"/>
    <x v="3"/>
    <n v="20910.37"/>
    <x v="0"/>
    <n v="16"/>
    <x v="1"/>
    <d v="2024-03-04T00:00:00"/>
    <d v="2024-03-20T00:00:00"/>
    <x v="5"/>
  </r>
  <r>
    <n v="4936"/>
    <n v="12691"/>
    <x v="0"/>
    <n v="98909.87"/>
    <x v="2"/>
    <m/>
    <x v="2"/>
    <d v="2024-09-09T00:00:00"/>
    <m/>
    <x v="9"/>
  </r>
  <r>
    <n v="4937"/>
    <n v="10972"/>
    <x v="3"/>
    <n v="84203.54"/>
    <x v="0"/>
    <n v="31"/>
    <x v="2"/>
    <d v="2024-09-18T00:00:00"/>
    <d v="2024-10-19T00:00:00"/>
    <x v="9"/>
  </r>
  <r>
    <n v="4938"/>
    <n v="19704"/>
    <x v="3"/>
    <n v="123204.57"/>
    <x v="0"/>
    <n v="5"/>
    <x v="2"/>
    <d v="2024-04-21T00:00:00"/>
    <d v="2024-04-26T00:00:00"/>
    <x v="10"/>
  </r>
  <r>
    <n v="4939"/>
    <n v="17806"/>
    <x v="3"/>
    <n v="90575.32"/>
    <x v="0"/>
    <n v="44"/>
    <x v="1"/>
    <d v="2024-04-11T00:00:00"/>
    <d v="2024-05-25T00:00:00"/>
    <x v="10"/>
  </r>
  <r>
    <n v="4940"/>
    <n v="12923"/>
    <x v="3"/>
    <n v="187144.99"/>
    <x v="0"/>
    <n v="40"/>
    <x v="3"/>
    <d v="2024-02-18T00:00:00"/>
    <d v="2024-03-29T00:00:00"/>
    <x v="4"/>
  </r>
  <r>
    <n v="4941"/>
    <n v="15001"/>
    <x v="1"/>
    <n v="109274.24000000001"/>
    <x v="1"/>
    <n v="16"/>
    <x v="0"/>
    <d v="2024-10-03T00:00:00"/>
    <d v="2024-10-19T00:00:00"/>
    <x v="6"/>
  </r>
  <r>
    <n v="4942"/>
    <n v="10808"/>
    <x v="3"/>
    <n v="140276.57999999999"/>
    <x v="0"/>
    <n v="24"/>
    <x v="0"/>
    <d v="2024-08-14T00:00:00"/>
    <d v="2024-09-07T00:00:00"/>
    <x v="8"/>
  </r>
  <r>
    <n v="4943"/>
    <n v="17476"/>
    <x v="3"/>
    <n v="179814.63"/>
    <x v="2"/>
    <m/>
    <x v="1"/>
    <d v="2024-01-23T00:00:00"/>
    <m/>
    <x v="0"/>
  </r>
  <r>
    <n v="4944"/>
    <n v="15963"/>
    <x v="1"/>
    <n v="33640.019999999997"/>
    <x v="0"/>
    <n v="16"/>
    <x v="0"/>
    <d v="2024-11-27T00:00:00"/>
    <d v="2024-12-13T00:00:00"/>
    <x v="1"/>
  </r>
  <r>
    <n v="4945"/>
    <n v="15935"/>
    <x v="3"/>
    <n v="49798.26"/>
    <x v="0"/>
    <n v="27"/>
    <x v="2"/>
    <d v="2024-07-03T00:00:00"/>
    <d v="2024-07-30T00:00:00"/>
    <x v="2"/>
  </r>
  <r>
    <n v="4946"/>
    <n v="14230"/>
    <x v="1"/>
    <n v="25927.14"/>
    <x v="0"/>
    <n v="13"/>
    <x v="3"/>
    <d v="2024-03-04T00:00:00"/>
    <d v="2024-03-17T00:00:00"/>
    <x v="5"/>
  </r>
  <r>
    <n v="4947"/>
    <n v="10327"/>
    <x v="1"/>
    <n v="32229.49"/>
    <x v="0"/>
    <n v="19"/>
    <x v="0"/>
    <d v="2024-06-05T00:00:00"/>
    <d v="2024-06-24T00:00:00"/>
    <x v="7"/>
  </r>
  <r>
    <n v="4948"/>
    <n v="10682"/>
    <x v="3"/>
    <n v="104953.87"/>
    <x v="2"/>
    <m/>
    <x v="3"/>
    <d v="2024-10-09T00:00:00"/>
    <m/>
    <x v="6"/>
  </r>
  <r>
    <n v="4949"/>
    <n v="10123"/>
    <x v="1"/>
    <n v="67629.960000000006"/>
    <x v="0"/>
    <n v="19"/>
    <x v="2"/>
    <d v="2024-05-28T00:00:00"/>
    <d v="2024-06-16T00:00:00"/>
    <x v="3"/>
  </r>
  <r>
    <n v="4950"/>
    <n v="10753"/>
    <x v="3"/>
    <n v="87518.7"/>
    <x v="0"/>
    <n v="25"/>
    <x v="0"/>
    <d v="2024-11-22T00:00:00"/>
    <d v="2024-12-17T00:00:00"/>
    <x v="1"/>
  </r>
  <r>
    <n v="4951"/>
    <n v="18114"/>
    <x v="1"/>
    <n v="196585.52"/>
    <x v="1"/>
    <n v="39"/>
    <x v="1"/>
    <d v="2024-12-28T00:00:00"/>
    <d v="2025-02-05T00:00:00"/>
    <x v="11"/>
  </r>
  <r>
    <n v="4952"/>
    <n v="11606"/>
    <x v="3"/>
    <n v="35557.35"/>
    <x v="1"/>
    <n v="29"/>
    <x v="3"/>
    <d v="2024-06-17T00:00:00"/>
    <d v="2024-07-16T00:00:00"/>
    <x v="7"/>
  </r>
  <r>
    <n v="4953"/>
    <n v="16525"/>
    <x v="3"/>
    <n v="110458.35"/>
    <x v="0"/>
    <n v="16"/>
    <x v="2"/>
    <d v="2024-05-12T00:00:00"/>
    <d v="2024-05-28T00:00:00"/>
    <x v="3"/>
  </r>
  <r>
    <n v="4954"/>
    <n v="13578"/>
    <x v="1"/>
    <n v="24279.88"/>
    <x v="1"/>
    <n v="20"/>
    <x v="3"/>
    <d v="2024-11-09T00:00:00"/>
    <d v="2024-11-29T00:00:00"/>
    <x v="1"/>
  </r>
  <r>
    <n v="4955"/>
    <n v="14666"/>
    <x v="0"/>
    <n v="67106.78"/>
    <x v="0"/>
    <n v="6"/>
    <x v="0"/>
    <d v="2024-05-11T00:00:00"/>
    <d v="2024-05-17T00:00:00"/>
    <x v="3"/>
  </r>
  <r>
    <n v="4956"/>
    <n v="17208"/>
    <x v="2"/>
    <n v="107867.56"/>
    <x v="0"/>
    <n v="5"/>
    <x v="0"/>
    <d v="2024-07-15T00:00:00"/>
    <d v="2024-07-20T00:00:00"/>
    <x v="2"/>
  </r>
  <r>
    <n v="4957"/>
    <n v="19660"/>
    <x v="1"/>
    <n v="189593.19"/>
    <x v="0"/>
    <n v="18"/>
    <x v="1"/>
    <d v="2024-05-14T00:00:00"/>
    <d v="2024-06-01T00:00:00"/>
    <x v="3"/>
  </r>
  <r>
    <n v="4958"/>
    <n v="12845"/>
    <x v="3"/>
    <n v="81289.5"/>
    <x v="0"/>
    <n v="11"/>
    <x v="2"/>
    <d v="2024-02-04T00:00:00"/>
    <d v="2024-02-15T00:00:00"/>
    <x v="4"/>
  </r>
  <r>
    <n v="4959"/>
    <n v="12938"/>
    <x v="3"/>
    <n v="17656.810000000001"/>
    <x v="0"/>
    <n v="13"/>
    <x v="2"/>
    <d v="2024-08-07T00:00:00"/>
    <d v="2024-08-20T00:00:00"/>
    <x v="8"/>
  </r>
  <r>
    <n v="4960"/>
    <n v="16319"/>
    <x v="3"/>
    <n v="80691.48"/>
    <x v="0"/>
    <n v="6"/>
    <x v="1"/>
    <d v="2024-07-03T00:00:00"/>
    <d v="2024-07-09T00:00:00"/>
    <x v="2"/>
  </r>
  <r>
    <n v="4961"/>
    <n v="12427"/>
    <x v="3"/>
    <n v="33419.53"/>
    <x v="0"/>
    <n v="8"/>
    <x v="1"/>
    <d v="2024-01-05T00:00:00"/>
    <d v="2024-01-13T00:00:00"/>
    <x v="0"/>
  </r>
  <r>
    <n v="4962"/>
    <n v="18356"/>
    <x v="3"/>
    <n v="49847.97"/>
    <x v="1"/>
    <n v="24"/>
    <x v="2"/>
    <d v="2024-03-11T00:00:00"/>
    <d v="2024-04-04T00:00:00"/>
    <x v="5"/>
  </r>
  <r>
    <n v="4963"/>
    <n v="19701"/>
    <x v="2"/>
    <n v="125527.67"/>
    <x v="2"/>
    <m/>
    <x v="3"/>
    <d v="2024-12-07T00:00:00"/>
    <m/>
    <x v="11"/>
  </r>
  <r>
    <n v="4964"/>
    <n v="18156"/>
    <x v="3"/>
    <n v="18147.650000000001"/>
    <x v="1"/>
    <n v="31"/>
    <x v="3"/>
    <d v="2024-08-28T00:00:00"/>
    <d v="2024-09-28T00:00:00"/>
    <x v="8"/>
  </r>
  <r>
    <n v="4965"/>
    <n v="16907"/>
    <x v="3"/>
    <n v="95621.13"/>
    <x v="0"/>
    <n v="38"/>
    <x v="1"/>
    <d v="2024-12-16T00:00:00"/>
    <d v="2025-01-23T00:00:00"/>
    <x v="11"/>
  </r>
  <r>
    <n v="4966"/>
    <n v="17732"/>
    <x v="3"/>
    <n v="123845.01"/>
    <x v="0"/>
    <n v="6"/>
    <x v="3"/>
    <d v="2024-10-23T00:00:00"/>
    <d v="2024-10-29T00:00:00"/>
    <x v="6"/>
  </r>
  <r>
    <n v="4967"/>
    <n v="15886"/>
    <x v="0"/>
    <n v="87262.39"/>
    <x v="0"/>
    <n v="21"/>
    <x v="2"/>
    <d v="2024-11-26T00:00:00"/>
    <d v="2024-12-17T00:00:00"/>
    <x v="1"/>
  </r>
  <r>
    <n v="4968"/>
    <n v="19392"/>
    <x v="1"/>
    <n v="8729.64"/>
    <x v="0"/>
    <n v="27"/>
    <x v="0"/>
    <d v="2024-07-11T00:00:00"/>
    <d v="2024-08-07T00:00:00"/>
    <x v="2"/>
  </r>
  <r>
    <n v="4969"/>
    <n v="15168"/>
    <x v="1"/>
    <n v="197176.27"/>
    <x v="0"/>
    <n v="40"/>
    <x v="0"/>
    <d v="2024-06-16T00:00:00"/>
    <d v="2024-07-26T00:00:00"/>
    <x v="7"/>
  </r>
  <r>
    <n v="4970"/>
    <n v="13281"/>
    <x v="3"/>
    <n v="76587.570000000007"/>
    <x v="0"/>
    <n v="7"/>
    <x v="3"/>
    <d v="2024-12-04T00:00:00"/>
    <d v="2024-12-11T00:00:00"/>
    <x v="11"/>
  </r>
  <r>
    <n v="4971"/>
    <n v="18810"/>
    <x v="0"/>
    <n v="156822.54999999999"/>
    <x v="1"/>
    <n v="30"/>
    <x v="1"/>
    <d v="2024-08-23T00:00:00"/>
    <d v="2024-09-22T00:00:00"/>
    <x v="8"/>
  </r>
  <r>
    <n v="4972"/>
    <n v="12712"/>
    <x v="3"/>
    <n v="68501.070000000007"/>
    <x v="0"/>
    <n v="11"/>
    <x v="1"/>
    <d v="2024-10-20T00:00:00"/>
    <d v="2024-10-31T00:00:00"/>
    <x v="6"/>
  </r>
  <r>
    <n v="4973"/>
    <n v="14954"/>
    <x v="0"/>
    <n v="97628.27"/>
    <x v="0"/>
    <n v="17"/>
    <x v="1"/>
    <d v="2024-10-24T00:00:00"/>
    <d v="2024-11-10T00:00:00"/>
    <x v="6"/>
  </r>
  <r>
    <n v="4974"/>
    <n v="13723"/>
    <x v="1"/>
    <n v="80750.41"/>
    <x v="0"/>
    <n v="35"/>
    <x v="1"/>
    <d v="2024-09-04T00:00:00"/>
    <d v="2024-10-09T00:00:00"/>
    <x v="9"/>
  </r>
  <r>
    <n v="4975"/>
    <n v="11686"/>
    <x v="3"/>
    <n v="71795.149999999994"/>
    <x v="0"/>
    <n v="32"/>
    <x v="1"/>
    <d v="2024-06-13T00:00:00"/>
    <d v="2024-07-15T00:00:00"/>
    <x v="7"/>
  </r>
  <r>
    <n v="4976"/>
    <n v="17440"/>
    <x v="3"/>
    <n v="9261.02"/>
    <x v="0"/>
    <n v="37"/>
    <x v="3"/>
    <d v="2024-11-07T00:00:00"/>
    <d v="2024-12-14T00:00:00"/>
    <x v="1"/>
  </r>
  <r>
    <n v="4977"/>
    <n v="11606"/>
    <x v="1"/>
    <n v="75204.08"/>
    <x v="0"/>
    <n v="42"/>
    <x v="0"/>
    <d v="2024-03-11T00:00:00"/>
    <d v="2024-04-22T00:00:00"/>
    <x v="5"/>
  </r>
  <r>
    <n v="4978"/>
    <n v="19545"/>
    <x v="3"/>
    <n v="178450.55"/>
    <x v="0"/>
    <n v="6"/>
    <x v="0"/>
    <d v="2024-08-18T00:00:00"/>
    <d v="2024-08-24T00:00:00"/>
    <x v="8"/>
  </r>
  <r>
    <n v="4979"/>
    <n v="14239"/>
    <x v="0"/>
    <n v="139626.70000000001"/>
    <x v="0"/>
    <n v="34"/>
    <x v="3"/>
    <d v="2024-02-24T00:00:00"/>
    <d v="2024-03-29T00:00:00"/>
    <x v="4"/>
  </r>
  <r>
    <n v="4980"/>
    <n v="18810"/>
    <x v="3"/>
    <n v="33357.46"/>
    <x v="0"/>
    <n v="44"/>
    <x v="1"/>
    <d v="2024-06-30T00:00:00"/>
    <d v="2024-08-13T00:00:00"/>
    <x v="7"/>
  </r>
  <r>
    <n v="4981"/>
    <n v="15103"/>
    <x v="3"/>
    <n v="120275.23"/>
    <x v="1"/>
    <n v="20"/>
    <x v="3"/>
    <d v="2024-01-22T00:00:00"/>
    <d v="2024-02-11T00:00:00"/>
    <x v="0"/>
  </r>
  <r>
    <n v="4982"/>
    <n v="18545"/>
    <x v="3"/>
    <n v="178985.02"/>
    <x v="1"/>
    <n v="33"/>
    <x v="0"/>
    <d v="2024-10-09T00:00:00"/>
    <d v="2024-11-11T00:00:00"/>
    <x v="6"/>
  </r>
  <r>
    <n v="4983"/>
    <n v="10280"/>
    <x v="3"/>
    <n v="141506.64000000001"/>
    <x v="0"/>
    <n v="24"/>
    <x v="2"/>
    <d v="2024-04-14T00:00:00"/>
    <d v="2024-05-08T00:00:00"/>
    <x v="10"/>
  </r>
  <r>
    <n v="4984"/>
    <n v="14932"/>
    <x v="3"/>
    <n v="33993.46"/>
    <x v="0"/>
    <n v="4"/>
    <x v="3"/>
    <d v="2024-06-23T00:00:00"/>
    <d v="2024-06-27T00:00:00"/>
    <x v="7"/>
  </r>
  <r>
    <n v="4985"/>
    <n v="13550"/>
    <x v="3"/>
    <n v="174227.34"/>
    <x v="1"/>
    <n v="2"/>
    <x v="1"/>
    <d v="2024-10-20T00:00:00"/>
    <d v="2024-10-22T00:00:00"/>
    <x v="6"/>
  </r>
  <r>
    <n v="4986"/>
    <n v="11959"/>
    <x v="1"/>
    <n v="63801.08"/>
    <x v="0"/>
    <n v="37"/>
    <x v="0"/>
    <d v="2024-02-08T00:00:00"/>
    <d v="2024-03-16T00:00:00"/>
    <x v="4"/>
  </r>
  <r>
    <n v="4987"/>
    <n v="10389"/>
    <x v="3"/>
    <n v="93544.85"/>
    <x v="0"/>
    <n v="42"/>
    <x v="0"/>
    <d v="2024-02-29T00:00:00"/>
    <d v="2024-04-11T00:00:00"/>
    <x v="4"/>
  </r>
  <r>
    <n v="4988"/>
    <n v="15183"/>
    <x v="2"/>
    <n v="107597.84"/>
    <x v="0"/>
    <n v="29"/>
    <x v="0"/>
    <d v="2024-10-26T00:00:00"/>
    <d v="2024-11-24T00:00:00"/>
    <x v="6"/>
  </r>
  <r>
    <n v="4989"/>
    <n v="13867"/>
    <x v="1"/>
    <n v="170848.79"/>
    <x v="0"/>
    <n v="40"/>
    <x v="0"/>
    <d v="2024-10-25T00:00:00"/>
    <d v="2024-12-04T00:00:00"/>
    <x v="6"/>
  </r>
  <r>
    <n v="4990"/>
    <n v="14360"/>
    <x v="0"/>
    <n v="186663.46"/>
    <x v="1"/>
    <n v="6"/>
    <x v="1"/>
    <d v="2024-07-30T00:00:00"/>
    <d v="2024-08-05T00:00:00"/>
    <x v="2"/>
  </r>
  <r>
    <n v="4991"/>
    <n v="12053"/>
    <x v="3"/>
    <n v="186282.31"/>
    <x v="1"/>
    <n v="14"/>
    <x v="2"/>
    <d v="2024-06-03T00:00:00"/>
    <d v="2024-06-17T00:00:00"/>
    <x v="7"/>
  </r>
  <r>
    <n v="4992"/>
    <n v="15008"/>
    <x v="3"/>
    <n v="6551.07"/>
    <x v="0"/>
    <n v="12"/>
    <x v="0"/>
    <d v="2024-06-21T00:00:00"/>
    <d v="2024-07-03T00:00:00"/>
    <x v="7"/>
  </r>
  <r>
    <n v="4993"/>
    <n v="18359"/>
    <x v="3"/>
    <n v="184768.25"/>
    <x v="0"/>
    <n v="23"/>
    <x v="3"/>
    <d v="2024-01-23T00:00:00"/>
    <d v="2024-02-15T00:00:00"/>
    <x v="0"/>
  </r>
  <r>
    <n v="4994"/>
    <n v="16316"/>
    <x v="1"/>
    <n v="15605.46"/>
    <x v="0"/>
    <n v="24"/>
    <x v="2"/>
    <d v="2024-08-27T00:00:00"/>
    <d v="2024-09-20T00:00:00"/>
    <x v="8"/>
  </r>
  <r>
    <n v="4995"/>
    <n v="12166"/>
    <x v="0"/>
    <n v="56825.86"/>
    <x v="0"/>
    <n v="13"/>
    <x v="0"/>
    <d v="2024-07-27T00:00:00"/>
    <d v="2024-08-09T00:00:00"/>
    <x v="2"/>
  </r>
  <r>
    <n v="4996"/>
    <n v="18106"/>
    <x v="3"/>
    <n v="105422.63"/>
    <x v="2"/>
    <m/>
    <x v="2"/>
    <d v="2024-05-01T00:00:00"/>
    <m/>
    <x v="3"/>
  </r>
  <r>
    <n v="4997"/>
    <n v="16272"/>
    <x v="3"/>
    <n v="98585.51"/>
    <x v="0"/>
    <n v="20"/>
    <x v="3"/>
    <d v="2024-09-09T00:00:00"/>
    <d v="2024-09-29T00:00:00"/>
    <x v="9"/>
  </r>
  <r>
    <n v="4998"/>
    <n v="10186"/>
    <x v="0"/>
    <n v="122918.41"/>
    <x v="0"/>
    <n v="6"/>
    <x v="0"/>
    <d v="2024-05-20T00:00:00"/>
    <d v="2024-05-26T00:00:00"/>
    <x v="3"/>
  </r>
  <r>
    <n v="4999"/>
    <n v="15182"/>
    <x v="3"/>
    <n v="98492.01"/>
    <x v="1"/>
    <n v="25"/>
    <x v="3"/>
    <d v="2024-12-05T00:00:00"/>
    <d v="2024-12-30T00:00:00"/>
    <x v="11"/>
  </r>
  <r>
    <n v="5000"/>
    <n v="19489"/>
    <x v="1"/>
    <n v="187203.26"/>
    <x v="1"/>
    <n v="31"/>
    <x v="1"/>
    <d v="2024-12-27T00:00:00"/>
    <d v="2025-01-27T00:00:0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59E42-BC29-4B4E-B084-8B913678F83B}" name="PivotTable3" cacheId="28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D3:E8" firstHeaderRow="1" firstDataRow="1" firstDataCol="1"/>
  <pivotFields count="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numFmtId="14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laim_ID" fld="0" subtotal="count" baseField="0" baseItem="0"/>
  </dataFields>
  <chartFormats count="1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058A9-6FBE-441E-B17C-EF548CBE814C}" name="PivotTable2" cacheId="28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0:B15" firstHeaderRow="1" firstDataRow="1" firstDataCol="1"/>
  <pivotFields count="9">
    <pivotField dataField="1" compact="0" outline="0" showAll="0"/>
    <pivotField compact="0" outline="0" showAll="0"/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laim_ID" fld="0" subtotal="count" baseField="0" baseItem="0"/>
  </dataFields>
  <chartFormats count="3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D6E37-CD9F-4BF9-ABD1-B21FCA7E9B67}" name="PivotTable1" cacheId="28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7" firstHeaderRow="1" firstDataRow="1" firstDataCol="1"/>
  <pivotFields count="9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laim_ID" fld="0" subtotal="count" baseField="0" baseItem="0"/>
  </dataFields>
  <chartFormats count="2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DDCBC-E4E2-44F3-A093-8E51DA9B871F}" name="PivotTable4" cacheId="31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6:B18" firstHeaderRow="1" firstDataRow="1" firstDataCol="1"/>
  <pivotFields count="10">
    <pivotField compact="0" outline="0" showAll="0"/>
    <pivotField compact="0" outline="0" showAll="0"/>
    <pivotField compact="0" outline="0" showAll="0">
      <items count="5">
        <item h="1" x="1"/>
        <item x="3"/>
        <item h="1" x="2"/>
        <item h="1" x="0"/>
        <item t="default"/>
      </items>
    </pivotField>
    <pivotField compact="0" outline="0" showAll="0"/>
    <pivotField compact="0" outline="0" showAll="0">
      <items count="4">
        <item h="1" x="0"/>
        <item h="1" x="2"/>
        <item x="1"/>
        <item t="default"/>
      </items>
    </pivotField>
    <pivotField dataField="1" compact="0" outline="0" showAll="0"/>
    <pivotField axis="axisRow" compact="0" outline="0" showAll="0">
      <items count="5">
        <item h="1" x="0"/>
        <item h="1" x="2"/>
        <item x="3"/>
        <item h="1" x="1"/>
        <item t="default"/>
      </items>
    </pivotField>
    <pivotField compact="0" numFmtId="14" outline="0" showAll="0"/>
    <pivotField compact="0" outline="0" showAll="0"/>
    <pivotField compact="0" outline="0" showAll="0"/>
  </pivotFields>
  <rowFields count="1">
    <field x="6"/>
  </rowFields>
  <rowItems count="2">
    <i>
      <x v="2"/>
    </i>
    <i t="grand">
      <x/>
    </i>
  </rowItems>
  <colItems count="1">
    <i/>
  </colItems>
  <dataFields count="1">
    <dataField name="Average of Processing_Time_Days" fld="5" subtotal="average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33ED4-83DE-428C-9B3A-E9E9D35035D7}" name="PivotTable3" cacheId="31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1:B11" firstHeaderRow="1" firstDataRow="1" firstDataCol="1"/>
  <pivotFields count="10">
    <pivotField dataField="1" compact="0" outline="0" showAll="0"/>
    <pivotField compact="0" outline="0" showAll="0"/>
    <pivotField compact="0" outline="0" showAll="0">
      <items count="5">
        <item h="1" x="1"/>
        <item x="3"/>
        <item h="1" x="2"/>
        <item h="1" x="0"/>
        <item t="default"/>
      </items>
    </pivotField>
    <pivotField compact="0" outline="0" showAll="0"/>
    <pivotField compact="0" outline="0" showAll="0">
      <items count="4">
        <item h="1" x="0"/>
        <item h="1" x="2"/>
        <item x="1"/>
        <item t="default"/>
      </items>
    </pivotField>
    <pivotField compact="0" outline="0" showAll="0"/>
    <pivotField compact="0" outline="0" showAll="0">
      <items count="5">
        <item x="0"/>
        <item h="1" x="2"/>
        <item h="1" x="3"/>
        <item h="1" x="1"/>
        <item t="default"/>
      </items>
    </pivotField>
    <pivotField compact="0" numFmtId="14" outline="0" showAll="0"/>
    <pivotField compact="0" outline="0" showAll="0"/>
    <pivotField axis="axisRow" compact="0" outline="0" showAll="0" sortType="ascending">
      <items count="13">
        <item x="10"/>
        <item x="8"/>
        <item x="11"/>
        <item x="4"/>
        <item x="0"/>
        <item x="2"/>
        <item x="7"/>
        <item x="5"/>
        <item x="3"/>
        <item h="1" x="1"/>
        <item h="1" x="6"/>
        <item h="1" x="9"/>
        <item t="default"/>
      </items>
    </pivotField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Claim_ID" fld="0" subtotal="count" baseField="0" baseItem="0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olicy_Type" xr10:uid="{FD06576B-9F28-4928-AD77-738B1A3C1834}" sourceName="Policy_Type">
  <pivotTables>
    <pivotTable tabId="4" name="PivotTable3"/>
  </pivotTables>
  <data>
    <tabular pivotCacheId="1163536736">
      <items count="4">
        <i x="1"/>
        <i x="3" s="1"/>
        <i x="2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us" xr10:uid="{D5A5CD58-D5B5-4644-B2AF-429E0D2677FF}" sourceName="Status">
  <pivotTables>
    <pivotTable tabId="4" name="PivotTable3"/>
  </pivotTables>
  <data>
    <tabular pivotCacheId="1163536736">
      <items count="3">
        <i x="0"/>
        <i x="2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65E3A78E-0FF6-40F6-B955-F5E8FF5F7EA8}" sourceName="Region">
  <pivotTables>
    <pivotTable tabId="4" name="PivotTable3"/>
  </pivotTables>
  <data>
    <tabular pivotCacheId="1163536736">
      <items count="4">
        <i x="0" s="1"/>
        <i x="2"/>
        <i x="3"/>
        <i x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mission_Month" xr10:uid="{E13B35AA-EB4D-442A-A0B7-11060F21C870}" sourceName="Submission_Month">
  <pivotTables>
    <pivotTable tabId="4" name="PivotTable3"/>
  </pivotTables>
  <data>
    <tabular pivotCacheId="1163536736">
      <items count="12">
        <i x="10" s="1"/>
        <i x="8" s="1"/>
        <i x="11" s="1"/>
        <i x="4" s="1"/>
        <i x="0" s="1"/>
        <i x="2" s="1"/>
        <i x="7" s="1"/>
        <i x="5" s="1"/>
        <i x="3" s="1"/>
        <i x="1"/>
        <i x="6"/>
        <i x="9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olicy_Type" xr10:uid="{CE21E1AB-9E7E-4E3D-B35B-38D9F49C3D24}" cache="Slicer_Policy_Type" caption="Policy_Type" rowHeight="228600"/>
  <slicer name="Status" xr10:uid="{A55FE350-CC5C-42BB-A888-9A9579C52578}" cache="Slicer_Status" caption="Status" rowHeight="228600"/>
  <slicer name="Region" xr10:uid="{2A68D130-7DA3-413E-BCB9-F51D97E844F0}" cache="Slicer_Region" caption="Region" rowHeight="228600"/>
  <slicer name="Submission_Month" xr10:uid="{B422CF4F-991E-4381-ABD7-F62345F7E09B}" cache="Slicer_Submission_Month" caption="Submission_Month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7B2FDC-5FA4-48B2-AEDC-067E3625892B}" name="Claims" displayName="Claims" ref="A1:J5001" totalsRowShown="0">
  <autoFilter ref="A1:J5001" xr:uid="{2C7B2FDC-5FA4-48B2-AEDC-067E3625892B}"/>
  <tableColumns count="10">
    <tableColumn id="1" xr3:uid="{4B7C998C-A933-4038-9A47-E73219907405}" name="Claim_ID"/>
    <tableColumn id="2" xr3:uid="{CFB9292C-4A62-4B08-AD1A-3614CE41252C}" name="Customer_ID"/>
    <tableColumn id="3" xr3:uid="{0392C4D9-72D9-4B93-A113-F070B01430C4}" name="Policy_Type"/>
    <tableColumn id="4" xr3:uid="{BECE38C6-D0E8-4D35-AD80-0E0D5DD132D9}" name="Claim_Amount"/>
    <tableColumn id="5" xr3:uid="{6939B2C1-3ABE-46C0-B96D-6CF693FF4EDA}" name="Status"/>
    <tableColumn id="6" xr3:uid="{B7586C90-5E2D-4FA9-8D72-0F16340A99FF}" name="Processing_Time_Days"/>
    <tableColumn id="7" xr3:uid="{51F4626E-B71F-4E05-93B0-B2722FCA616D}" name="Region"/>
    <tableColumn id="8" xr3:uid="{3D0E079E-0953-4088-9EF8-940CA895DD91}" name="Submission_Date" dataDxfId="1"/>
    <tableColumn id="9" xr3:uid="{37BFB75D-2A41-49E4-8486-648063CCB4F3}" name="Approval_Date" dataDxfId="0"/>
    <tableColumn id="10" xr3:uid="{19B73B76-B54E-4AA0-B93F-519AE9F511BE}" name="Submission_Month">
      <calculatedColumnFormula>TEXT(H2,"mmm-yyyy")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7029-18AE-40DD-8710-AA1FBA211D9C}">
  <dimension ref="A1:B5"/>
  <sheetViews>
    <sheetView workbookViewId="0">
      <selection activeCell="B12" sqref="B12"/>
    </sheetView>
  </sheetViews>
  <sheetFormatPr defaultRowHeight="15"/>
  <cols>
    <col min="1" max="1" width="22.28515625" customWidth="1"/>
    <col min="2" max="2" width="15.7109375" customWidth="1"/>
    <col min="20" max="20" width="20.42578125" bestFit="1" customWidth="1"/>
  </cols>
  <sheetData>
    <row r="1" spans="1:2">
      <c r="A1" t="s">
        <v>0</v>
      </c>
      <c r="B1" s="7">
        <f>COUNTA(in!A:A)</f>
        <v>5001</v>
      </c>
    </row>
    <row r="2" spans="1:2">
      <c r="A2" t="s">
        <v>1</v>
      </c>
      <c r="B2" s="7">
        <f>COUNTIF(in!E:E,"Approved")</f>
        <v>3524</v>
      </c>
    </row>
    <row r="3" spans="1:2">
      <c r="A3" t="s">
        <v>2</v>
      </c>
      <c r="B3" s="8">
        <f>B2/B1</f>
        <v>0.7046590681863627</v>
      </c>
    </row>
    <row r="4" spans="1:2">
      <c r="A4" t="s">
        <v>3</v>
      </c>
      <c r="B4" s="7">
        <f>AVERAGE(in!F:F)</f>
        <v>23.135296722763506</v>
      </c>
    </row>
    <row r="5" spans="1:2">
      <c r="A5" t="s">
        <v>4</v>
      </c>
      <c r="B5" s="9">
        <f>SUM(in!D:D)</f>
        <v>513835918.80999845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6701-5A1F-4D69-B2FF-34E73A6E49CF}">
  <dimension ref="A1:J5001"/>
  <sheetViews>
    <sheetView topLeftCell="C1" workbookViewId="0">
      <selection activeCell="B7" sqref="B7"/>
    </sheetView>
  </sheetViews>
  <sheetFormatPr defaultRowHeight="15"/>
  <cols>
    <col min="1" max="1" width="12.5703125" customWidth="1"/>
    <col min="2" max="2" width="14.7109375" bestFit="1" customWidth="1"/>
    <col min="3" max="3" width="15.42578125" customWidth="1"/>
    <col min="4" max="4" width="18.28515625" customWidth="1"/>
    <col min="5" max="5" width="9.5703125" bestFit="1" customWidth="1"/>
    <col min="6" max="6" width="23.42578125" bestFit="1" customWidth="1"/>
    <col min="7" max="7" width="9.28515625" bestFit="1" customWidth="1"/>
    <col min="8" max="8" width="18.5703125" bestFit="1" customWidth="1"/>
    <col min="9" max="9" width="16.5703125" bestFit="1" customWidth="1"/>
    <col min="10" max="10" width="20.42578125" bestFit="1" customWidth="1"/>
  </cols>
  <sheetData>
    <row r="1" spans="1:10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>
      <c r="A2">
        <v>1</v>
      </c>
      <c r="B2">
        <v>19671</v>
      </c>
      <c r="C2" t="s">
        <v>15</v>
      </c>
      <c r="D2">
        <v>162309.38</v>
      </c>
      <c r="E2" t="s">
        <v>16</v>
      </c>
      <c r="F2">
        <v>26</v>
      </c>
      <c r="G2" t="s">
        <v>17</v>
      </c>
      <c r="H2" s="1">
        <v>45308</v>
      </c>
      <c r="I2" s="1">
        <v>45334</v>
      </c>
      <c r="J2" t="str">
        <f>TEXT(H2,"mmm-yyyy")</f>
        <v>Jan-2024</v>
      </c>
    </row>
    <row r="3" spans="1:10">
      <c r="A3">
        <v>2</v>
      </c>
      <c r="B3">
        <v>12369</v>
      </c>
      <c r="C3" t="s">
        <v>18</v>
      </c>
      <c r="D3">
        <v>8225.19</v>
      </c>
      <c r="E3" t="s">
        <v>19</v>
      </c>
      <c r="F3">
        <v>23</v>
      </c>
      <c r="G3" t="s">
        <v>20</v>
      </c>
      <c r="H3" s="1">
        <v>45605</v>
      </c>
      <c r="I3" s="1">
        <v>45628</v>
      </c>
      <c r="J3" t="str">
        <f t="shared" ref="J3:J66" si="0">TEXT(H3,"mmm-yyyy")</f>
        <v>Nov-2024</v>
      </c>
    </row>
    <row r="4" spans="1:10">
      <c r="A4">
        <v>3</v>
      </c>
      <c r="B4">
        <v>14065</v>
      </c>
      <c r="C4" t="s">
        <v>18</v>
      </c>
      <c r="D4">
        <v>41427.54</v>
      </c>
      <c r="E4" t="s">
        <v>16</v>
      </c>
      <c r="F4">
        <v>18</v>
      </c>
      <c r="G4" t="s">
        <v>21</v>
      </c>
      <c r="H4" s="1">
        <v>45476</v>
      </c>
      <c r="I4" s="1">
        <v>45494</v>
      </c>
      <c r="J4" t="str">
        <f t="shared" si="0"/>
        <v>Jul-2024</v>
      </c>
    </row>
    <row r="5" spans="1:10">
      <c r="A5">
        <v>4</v>
      </c>
      <c r="B5">
        <v>11463</v>
      </c>
      <c r="C5" t="s">
        <v>22</v>
      </c>
      <c r="D5">
        <v>132706.53</v>
      </c>
      <c r="E5" t="s">
        <v>16</v>
      </c>
      <c r="F5">
        <v>41</v>
      </c>
      <c r="G5" t="s">
        <v>17</v>
      </c>
      <c r="H5" s="1">
        <v>45625</v>
      </c>
      <c r="I5" s="1">
        <v>45666</v>
      </c>
      <c r="J5" t="str">
        <f t="shared" si="0"/>
        <v>Nov-2024</v>
      </c>
    </row>
    <row r="6" spans="1:10">
      <c r="A6">
        <v>5</v>
      </c>
      <c r="B6">
        <v>11907</v>
      </c>
      <c r="C6" t="s">
        <v>23</v>
      </c>
      <c r="D6">
        <v>78273.070000000007</v>
      </c>
      <c r="E6" t="s">
        <v>16</v>
      </c>
      <c r="F6">
        <v>12</v>
      </c>
      <c r="G6" t="s">
        <v>17</v>
      </c>
      <c r="H6" s="1">
        <v>45475</v>
      </c>
      <c r="I6" s="1">
        <v>45487</v>
      </c>
      <c r="J6" t="str">
        <f t="shared" si="0"/>
        <v>Jul-2024</v>
      </c>
    </row>
    <row r="7" spans="1:10">
      <c r="A7">
        <v>6</v>
      </c>
      <c r="B7">
        <v>16201</v>
      </c>
      <c r="C7" t="s">
        <v>23</v>
      </c>
      <c r="D7">
        <v>196584.12</v>
      </c>
      <c r="E7" t="s">
        <v>24</v>
      </c>
      <c r="G7" t="s">
        <v>20</v>
      </c>
      <c r="H7" s="1">
        <v>45434</v>
      </c>
      <c r="J7" t="str">
        <f t="shared" si="0"/>
        <v>May-2024</v>
      </c>
    </row>
    <row r="8" spans="1:10">
      <c r="A8">
        <v>7</v>
      </c>
      <c r="B8">
        <v>17895</v>
      </c>
      <c r="C8" t="s">
        <v>15</v>
      </c>
      <c r="D8">
        <v>134753.93</v>
      </c>
      <c r="E8" t="s">
        <v>16</v>
      </c>
      <c r="F8">
        <v>6</v>
      </c>
      <c r="G8" t="s">
        <v>21</v>
      </c>
      <c r="H8" s="1">
        <v>45335</v>
      </c>
      <c r="I8" s="1">
        <v>45341</v>
      </c>
      <c r="J8" t="str">
        <f t="shared" si="0"/>
        <v>Feb-2024</v>
      </c>
    </row>
    <row r="9" spans="1:10">
      <c r="A9">
        <v>8</v>
      </c>
      <c r="B9">
        <v>17825</v>
      </c>
      <c r="C9" t="s">
        <v>23</v>
      </c>
      <c r="D9">
        <v>191527.04000000001</v>
      </c>
      <c r="E9" t="s">
        <v>16</v>
      </c>
      <c r="F9">
        <v>22</v>
      </c>
      <c r="G9" t="s">
        <v>21</v>
      </c>
      <c r="H9" s="1">
        <v>45303</v>
      </c>
      <c r="I9" s="1">
        <v>45325</v>
      </c>
      <c r="J9" t="str">
        <f t="shared" si="0"/>
        <v>Jan-2024</v>
      </c>
    </row>
    <row r="10" spans="1:10">
      <c r="A10">
        <v>9</v>
      </c>
      <c r="B10">
        <v>13965</v>
      </c>
      <c r="C10" t="s">
        <v>15</v>
      </c>
      <c r="D10">
        <v>44282.06</v>
      </c>
      <c r="E10" t="s">
        <v>16</v>
      </c>
      <c r="F10">
        <v>27</v>
      </c>
      <c r="G10" t="s">
        <v>17</v>
      </c>
      <c r="H10" s="1">
        <v>45299</v>
      </c>
      <c r="I10" s="1">
        <v>45326</v>
      </c>
      <c r="J10" t="str">
        <f t="shared" si="0"/>
        <v>Jan-2024</v>
      </c>
    </row>
    <row r="11" spans="1:10">
      <c r="A11">
        <v>10</v>
      </c>
      <c r="B11">
        <v>19508</v>
      </c>
      <c r="C11" t="s">
        <v>15</v>
      </c>
      <c r="D11">
        <v>173471.62</v>
      </c>
      <c r="E11" t="s">
        <v>24</v>
      </c>
      <c r="G11" t="s">
        <v>25</v>
      </c>
      <c r="H11" s="1">
        <v>45371</v>
      </c>
      <c r="J11" t="str">
        <f t="shared" si="0"/>
        <v>Mar-2024</v>
      </c>
    </row>
    <row r="12" spans="1:10">
      <c r="A12">
        <v>11</v>
      </c>
      <c r="B12">
        <v>10181</v>
      </c>
      <c r="C12" t="s">
        <v>23</v>
      </c>
      <c r="D12">
        <v>67663.7</v>
      </c>
      <c r="E12" t="s">
        <v>19</v>
      </c>
      <c r="F12">
        <v>41</v>
      </c>
      <c r="G12" t="s">
        <v>17</v>
      </c>
      <c r="H12" s="1">
        <v>45588</v>
      </c>
      <c r="I12" s="1">
        <v>45629</v>
      </c>
      <c r="J12" t="str">
        <f t="shared" si="0"/>
        <v>Oct-2024</v>
      </c>
    </row>
    <row r="13" spans="1:10">
      <c r="A13">
        <v>12</v>
      </c>
      <c r="B13">
        <v>16000</v>
      </c>
      <c r="C13" t="s">
        <v>15</v>
      </c>
      <c r="D13">
        <v>197965.14</v>
      </c>
      <c r="E13" t="s">
        <v>24</v>
      </c>
      <c r="G13" t="s">
        <v>17</v>
      </c>
      <c r="H13" s="1">
        <v>45453</v>
      </c>
      <c r="J13" t="str">
        <f t="shared" si="0"/>
        <v>Jun-2024</v>
      </c>
    </row>
    <row r="14" spans="1:10">
      <c r="A14">
        <v>13</v>
      </c>
      <c r="B14">
        <v>17245</v>
      </c>
      <c r="C14" t="s">
        <v>23</v>
      </c>
      <c r="D14">
        <v>35749.29</v>
      </c>
      <c r="E14" t="s">
        <v>16</v>
      </c>
      <c r="F14">
        <v>33</v>
      </c>
      <c r="G14" t="s">
        <v>17</v>
      </c>
      <c r="H14" s="1">
        <v>45593</v>
      </c>
      <c r="I14" s="1">
        <v>45626</v>
      </c>
      <c r="J14" t="str">
        <f t="shared" si="0"/>
        <v>Oct-2024</v>
      </c>
    </row>
    <row r="15" spans="1:10">
      <c r="A15">
        <v>14</v>
      </c>
      <c r="B15">
        <v>19152</v>
      </c>
      <c r="C15" t="s">
        <v>18</v>
      </c>
      <c r="D15">
        <v>105686.26</v>
      </c>
      <c r="E15" t="s">
        <v>16</v>
      </c>
      <c r="F15">
        <v>5</v>
      </c>
      <c r="G15" t="s">
        <v>17</v>
      </c>
      <c r="H15" s="1">
        <v>45507</v>
      </c>
      <c r="I15" s="1">
        <v>45512</v>
      </c>
      <c r="J15" t="str">
        <f t="shared" si="0"/>
        <v>Aug-2024</v>
      </c>
    </row>
    <row r="16" spans="1:10">
      <c r="A16">
        <v>15</v>
      </c>
      <c r="B16">
        <v>10989</v>
      </c>
      <c r="C16" t="s">
        <v>18</v>
      </c>
      <c r="D16">
        <v>159604.68</v>
      </c>
      <c r="E16" t="s">
        <v>16</v>
      </c>
      <c r="F16">
        <v>39</v>
      </c>
      <c r="G16" t="s">
        <v>20</v>
      </c>
      <c r="H16" s="1">
        <v>45539</v>
      </c>
      <c r="I16" s="1">
        <v>45578</v>
      </c>
      <c r="J16" t="str">
        <f t="shared" si="0"/>
        <v>Sep-2024</v>
      </c>
    </row>
    <row r="17" spans="1:10">
      <c r="A17">
        <v>16</v>
      </c>
      <c r="B17">
        <v>19917</v>
      </c>
      <c r="C17" t="s">
        <v>22</v>
      </c>
      <c r="D17">
        <v>89365.28</v>
      </c>
      <c r="E17" t="s">
        <v>19</v>
      </c>
      <c r="F17">
        <v>9</v>
      </c>
      <c r="G17" t="s">
        <v>21</v>
      </c>
      <c r="H17" s="1">
        <v>45320</v>
      </c>
      <c r="I17" s="1">
        <v>45329</v>
      </c>
      <c r="J17" t="str">
        <f t="shared" si="0"/>
        <v>Jan-2024</v>
      </c>
    </row>
    <row r="18" spans="1:10">
      <c r="A18">
        <v>17</v>
      </c>
      <c r="B18">
        <v>16272</v>
      </c>
      <c r="C18" t="s">
        <v>23</v>
      </c>
      <c r="D18">
        <v>96276.39</v>
      </c>
      <c r="E18" t="s">
        <v>16</v>
      </c>
      <c r="F18">
        <v>10</v>
      </c>
      <c r="G18" t="s">
        <v>20</v>
      </c>
      <c r="H18" s="1">
        <v>45563</v>
      </c>
      <c r="I18" s="1">
        <v>45573</v>
      </c>
      <c r="J18" t="str">
        <f t="shared" si="0"/>
        <v>Sep-2024</v>
      </c>
    </row>
    <row r="19" spans="1:10">
      <c r="A19">
        <v>18</v>
      </c>
      <c r="B19">
        <v>10706</v>
      </c>
      <c r="C19" t="s">
        <v>23</v>
      </c>
      <c r="D19">
        <v>197339.38</v>
      </c>
      <c r="E19" t="s">
        <v>16</v>
      </c>
      <c r="F19">
        <v>18</v>
      </c>
      <c r="G19" t="s">
        <v>20</v>
      </c>
      <c r="H19" s="1">
        <v>45424</v>
      </c>
      <c r="I19" s="1">
        <v>45442</v>
      </c>
      <c r="J19" t="str">
        <f t="shared" si="0"/>
        <v>May-2024</v>
      </c>
    </row>
    <row r="20" spans="1:10">
      <c r="A20">
        <v>19</v>
      </c>
      <c r="B20">
        <v>16652</v>
      </c>
      <c r="C20" t="s">
        <v>18</v>
      </c>
      <c r="D20">
        <v>87935.09</v>
      </c>
      <c r="E20" t="s">
        <v>19</v>
      </c>
      <c r="F20">
        <v>42</v>
      </c>
      <c r="G20" t="s">
        <v>20</v>
      </c>
      <c r="H20" s="1">
        <v>45296</v>
      </c>
      <c r="I20" s="1">
        <v>45338</v>
      </c>
      <c r="J20" t="str">
        <f t="shared" si="0"/>
        <v>Jan-2024</v>
      </c>
    </row>
    <row r="21" spans="1:10">
      <c r="A21">
        <v>20</v>
      </c>
      <c r="B21">
        <v>14847</v>
      </c>
      <c r="C21" t="s">
        <v>18</v>
      </c>
      <c r="D21">
        <v>122794.06</v>
      </c>
      <c r="E21" t="s">
        <v>16</v>
      </c>
      <c r="F21">
        <v>14</v>
      </c>
      <c r="G21" t="s">
        <v>17</v>
      </c>
      <c r="H21" s="1">
        <v>45535</v>
      </c>
      <c r="I21" s="1">
        <v>45549</v>
      </c>
      <c r="J21" t="str">
        <f t="shared" si="0"/>
        <v>Aug-2024</v>
      </c>
    </row>
    <row r="22" spans="1:10">
      <c r="A22">
        <v>21</v>
      </c>
      <c r="B22">
        <v>14330</v>
      </c>
      <c r="C22" t="s">
        <v>18</v>
      </c>
      <c r="D22">
        <v>15635.23</v>
      </c>
      <c r="E22" t="s">
        <v>16</v>
      </c>
      <c r="F22">
        <v>10</v>
      </c>
      <c r="G22" t="s">
        <v>25</v>
      </c>
      <c r="H22" s="1">
        <v>45321</v>
      </c>
      <c r="I22" s="1">
        <v>45331</v>
      </c>
      <c r="J22" t="str">
        <f t="shared" si="0"/>
        <v>Jan-2024</v>
      </c>
    </row>
    <row r="23" spans="1:10">
      <c r="A23">
        <v>22</v>
      </c>
      <c r="B23">
        <v>11620</v>
      </c>
      <c r="C23" t="s">
        <v>23</v>
      </c>
      <c r="D23">
        <v>169230.97</v>
      </c>
      <c r="E23" t="s">
        <v>16</v>
      </c>
      <c r="F23">
        <v>7</v>
      </c>
      <c r="G23" t="s">
        <v>21</v>
      </c>
      <c r="H23" s="1">
        <v>45408</v>
      </c>
      <c r="I23" s="1">
        <v>45415</v>
      </c>
      <c r="J23" t="str">
        <f t="shared" si="0"/>
        <v>Apr-2024</v>
      </c>
    </row>
    <row r="24" spans="1:10">
      <c r="A24">
        <v>23</v>
      </c>
      <c r="B24">
        <v>14649</v>
      </c>
      <c r="C24" t="s">
        <v>23</v>
      </c>
      <c r="D24">
        <v>131392.76999999999</v>
      </c>
      <c r="E24" t="s">
        <v>16</v>
      </c>
      <c r="F24">
        <v>28</v>
      </c>
      <c r="G24" t="s">
        <v>25</v>
      </c>
      <c r="H24" s="1">
        <v>45469</v>
      </c>
      <c r="I24" s="1">
        <v>45497</v>
      </c>
      <c r="J24" t="str">
        <f t="shared" si="0"/>
        <v>Jun-2024</v>
      </c>
    </row>
    <row r="25" spans="1:10">
      <c r="A25">
        <v>24</v>
      </c>
      <c r="B25">
        <v>16596</v>
      </c>
      <c r="C25" t="s">
        <v>23</v>
      </c>
      <c r="D25">
        <v>83783.92</v>
      </c>
      <c r="E25" t="s">
        <v>19</v>
      </c>
      <c r="F25">
        <v>43</v>
      </c>
      <c r="G25" t="s">
        <v>20</v>
      </c>
      <c r="H25" s="1">
        <v>45552</v>
      </c>
      <c r="I25" s="1">
        <v>45595</v>
      </c>
      <c r="J25" t="str">
        <f t="shared" si="0"/>
        <v>Sep-2024</v>
      </c>
    </row>
    <row r="26" spans="1:10">
      <c r="A26">
        <v>25</v>
      </c>
      <c r="B26">
        <v>14681</v>
      </c>
      <c r="C26" t="s">
        <v>15</v>
      </c>
      <c r="D26">
        <v>8153.06</v>
      </c>
      <c r="E26" t="s">
        <v>16</v>
      </c>
      <c r="F26">
        <v>38</v>
      </c>
      <c r="G26" t="s">
        <v>20</v>
      </c>
      <c r="H26" s="1">
        <v>45526</v>
      </c>
      <c r="I26" s="1">
        <v>45564</v>
      </c>
      <c r="J26" t="str">
        <f t="shared" si="0"/>
        <v>Aug-2024</v>
      </c>
    </row>
    <row r="27" spans="1:10">
      <c r="A27">
        <v>26</v>
      </c>
      <c r="B27">
        <v>18044</v>
      </c>
      <c r="C27" t="s">
        <v>23</v>
      </c>
      <c r="D27">
        <v>120375.42</v>
      </c>
      <c r="E27" t="s">
        <v>16</v>
      </c>
      <c r="F27">
        <v>40</v>
      </c>
      <c r="G27" t="s">
        <v>25</v>
      </c>
      <c r="H27" s="1">
        <v>45432</v>
      </c>
      <c r="I27" s="1">
        <v>45472</v>
      </c>
      <c r="J27" t="str">
        <f t="shared" si="0"/>
        <v>May-2024</v>
      </c>
    </row>
    <row r="28" spans="1:10">
      <c r="A28">
        <v>27</v>
      </c>
      <c r="B28">
        <v>13580</v>
      </c>
      <c r="C28" t="s">
        <v>23</v>
      </c>
      <c r="D28">
        <v>7468.28</v>
      </c>
      <c r="E28" t="s">
        <v>16</v>
      </c>
      <c r="F28">
        <v>44</v>
      </c>
      <c r="G28" t="s">
        <v>25</v>
      </c>
      <c r="H28" s="1">
        <v>45596</v>
      </c>
      <c r="I28" s="1">
        <v>45640</v>
      </c>
      <c r="J28" t="str">
        <f t="shared" si="0"/>
        <v>Oct-2024</v>
      </c>
    </row>
    <row r="29" spans="1:10">
      <c r="A29">
        <v>28</v>
      </c>
      <c r="B29">
        <v>18614</v>
      </c>
      <c r="C29" t="s">
        <v>22</v>
      </c>
      <c r="D29">
        <v>5234.7</v>
      </c>
      <c r="E29" t="s">
        <v>16</v>
      </c>
      <c r="F29">
        <v>25</v>
      </c>
      <c r="G29" t="s">
        <v>25</v>
      </c>
      <c r="H29" s="1">
        <v>45636</v>
      </c>
      <c r="I29" s="1">
        <v>45661</v>
      </c>
      <c r="J29" t="str">
        <f t="shared" si="0"/>
        <v>Dec-2024</v>
      </c>
    </row>
    <row r="30" spans="1:10">
      <c r="A30">
        <v>29</v>
      </c>
      <c r="B30">
        <v>14015</v>
      </c>
      <c r="C30" t="s">
        <v>23</v>
      </c>
      <c r="D30">
        <v>125139.22</v>
      </c>
      <c r="E30" t="s">
        <v>16</v>
      </c>
      <c r="F30">
        <v>10</v>
      </c>
      <c r="G30" t="s">
        <v>20</v>
      </c>
      <c r="H30" s="1">
        <v>45341</v>
      </c>
      <c r="I30" s="1">
        <v>45351</v>
      </c>
      <c r="J30" t="str">
        <f t="shared" si="0"/>
        <v>Feb-2024</v>
      </c>
    </row>
    <row r="31" spans="1:10">
      <c r="A31">
        <v>30</v>
      </c>
      <c r="B31">
        <v>13196</v>
      </c>
      <c r="C31" t="s">
        <v>22</v>
      </c>
      <c r="D31">
        <v>41858.33</v>
      </c>
      <c r="E31" t="s">
        <v>16</v>
      </c>
      <c r="F31">
        <v>43</v>
      </c>
      <c r="G31" t="s">
        <v>20</v>
      </c>
      <c r="H31" s="1">
        <v>45561</v>
      </c>
      <c r="I31" s="1">
        <v>45604</v>
      </c>
      <c r="J31" t="str">
        <f t="shared" si="0"/>
        <v>Sep-2024</v>
      </c>
    </row>
    <row r="32" spans="1:10">
      <c r="A32">
        <v>31</v>
      </c>
      <c r="B32">
        <v>16149</v>
      </c>
      <c r="C32" t="s">
        <v>18</v>
      </c>
      <c r="D32">
        <v>42418.07</v>
      </c>
      <c r="E32" t="s">
        <v>16</v>
      </c>
      <c r="F32">
        <v>12</v>
      </c>
      <c r="G32" t="s">
        <v>21</v>
      </c>
      <c r="H32" s="1">
        <v>45399</v>
      </c>
      <c r="I32" s="1">
        <v>45411</v>
      </c>
      <c r="J32" t="str">
        <f t="shared" si="0"/>
        <v>Apr-2024</v>
      </c>
    </row>
    <row r="33" spans="1:10">
      <c r="A33">
        <v>32</v>
      </c>
      <c r="B33">
        <v>14553</v>
      </c>
      <c r="C33" t="s">
        <v>15</v>
      </c>
      <c r="D33">
        <v>132387.96</v>
      </c>
      <c r="E33" t="s">
        <v>16</v>
      </c>
      <c r="F33">
        <v>36</v>
      </c>
      <c r="G33" t="s">
        <v>21</v>
      </c>
      <c r="H33" s="1">
        <v>45337</v>
      </c>
      <c r="I33" s="1">
        <v>45373</v>
      </c>
      <c r="J33" t="str">
        <f t="shared" si="0"/>
        <v>Feb-2024</v>
      </c>
    </row>
    <row r="34" spans="1:10">
      <c r="A34">
        <v>33</v>
      </c>
      <c r="B34">
        <v>14010</v>
      </c>
      <c r="C34" t="s">
        <v>23</v>
      </c>
      <c r="D34">
        <v>15470.95</v>
      </c>
      <c r="E34" t="s">
        <v>16</v>
      </c>
      <c r="F34">
        <v>30</v>
      </c>
      <c r="G34" t="s">
        <v>20</v>
      </c>
      <c r="H34" s="1">
        <v>45373</v>
      </c>
      <c r="I34" s="1">
        <v>45403</v>
      </c>
      <c r="J34" t="str">
        <f t="shared" si="0"/>
        <v>Mar-2024</v>
      </c>
    </row>
    <row r="35" spans="1:10">
      <c r="A35">
        <v>34</v>
      </c>
      <c r="B35">
        <v>16665</v>
      </c>
      <c r="C35" t="s">
        <v>23</v>
      </c>
      <c r="D35">
        <v>66114.080000000002</v>
      </c>
      <c r="E35" t="s">
        <v>16</v>
      </c>
      <c r="F35">
        <v>9</v>
      </c>
      <c r="G35" t="s">
        <v>25</v>
      </c>
      <c r="H35" s="1">
        <v>45417</v>
      </c>
      <c r="I35" s="1">
        <v>45426</v>
      </c>
      <c r="J35" t="str">
        <f t="shared" si="0"/>
        <v>May-2024</v>
      </c>
    </row>
    <row r="36" spans="1:10">
      <c r="A36">
        <v>35</v>
      </c>
      <c r="B36">
        <v>14646</v>
      </c>
      <c r="C36" t="s">
        <v>18</v>
      </c>
      <c r="D36">
        <v>34139.22</v>
      </c>
      <c r="E36" t="s">
        <v>19</v>
      </c>
      <c r="F36">
        <v>18</v>
      </c>
      <c r="G36" t="s">
        <v>25</v>
      </c>
      <c r="H36" s="1">
        <v>45375</v>
      </c>
      <c r="I36" s="1">
        <v>45393</v>
      </c>
      <c r="J36" t="str">
        <f t="shared" si="0"/>
        <v>Mar-2024</v>
      </c>
    </row>
    <row r="37" spans="1:10">
      <c r="A37">
        <v>36</v>
      </c>
      <c r="B37">
        <v>16090</v>
      </c>
      <c r="C37" t="s">
        <v>15</v>
      </c>
      <c r="D37">
        <v>118134.39</v>
      </c>
      <c r="E37" t="s">
        <v>19</v>
      </c>
      <c r="F37">
        <v>8</v>
      </c>
      <c r="G37" t="s">
        <v>21</v>
      </c>
      <c r="H37" s="1">
        <v>45581</v>
      </c>
      <c r="I37" s="1">
        <v>45589</v>
      </c>
      <c r="J37" t="str">
        <f t="shared" si="0"/>
        <v>Oct-2024</v>
      </c>
    </row>
    <row r="38" spans="1:10">
      <c r="A38">
        <v>37</v>
      </c>
      <c r="B38">
        <v>13750</v>
      </c>
      <c r="C38" t="s">
        <v>18</v>
      </c>
      <c r="D38">
        <v>134044.21</v>
      </c>
      <c r="E38" t="s">
        <v>19</v>
      </c>
      <c r="F38">
        <v>13</v>
      </c>
      <c r="G38" t="s">
        <v>20</v>
      </c>
      <c r="H38" s="1">
        <v>45362</v>
      </c>
      <c r="I38" s="1">
        <v>45375</v>
      </c>
      <c r="J38" t="str">
        <f t="shared" si="0"/>
        <v>Mar-2024</v>
      </c>
    </row>
    <row r="39" spans="1:10">
      <c r="A39">
        <v>38</v>
      </c>
      <c r="B39">
        <v>19837</v>
      </c>
      <c r="C39" t="s">
        <v>23</v>
      </c>
      <c r="D39">
        <v>145621.49</v>
      </c>
      <c r="E39" t="s">
        <v>16</v>
      </c>
      <c r="F39">
        <v>16</v>
      </c>
      <c r="G39" t="s">
        <v>21</v>
      </c>
      <c r="H39" s="1">
        <v>45466</v>
      </c>
      <c r="I39" s="1">
        <v>45482</v>
      </c>
      <c r="J39" t="str">
        <f t="shared" si="0"/>
        <v>Jun-2024</v>
      </c>
    </row>
    <row r="40" spans="1:10">
      <c r="A40">
        <v>39</v>
      </c>
      <c r="B40">
        <v>12536</v>
      </c>
      <c r="C40" t="s">
        <v>18</v>
      </c>
      <c r="D40">
        <v>54770.09</v>
      </c>
      <c r="E40" t="s">
        <v>16</v>
      </c>
      <c r="F40">
        <v>30</v>
      </c>
      <c r="G40" t="s">
        <v>21</v>
      </c>
      <c r="H40" s="1">
        <v>45607</v>
      </c>
      <c r="I40" s="1">
        <v>45637</v>
      </c>
      <c r="J40" t="str">
        <f t="shared" si="0"/>
        <v>Nov-2024</v>
      </c>
    </row>
    <row r="41" spans="1:10">
      <c r="A41">
        <v>40</v>
      </c>
      <c r="B41">
        <v>13259</v>
      </c>
      <c r="C41" t="s">
        <v>18</v>
      </c>
      <c r="D41">
        <v>22403.7</v>
      </c>
      <c r="E41" t="s">
        <v>16</v>
      </c>
      <c r="F41">
        <v>25</v>
      </c>
      <c r="G41" t="s">
        <v>17</v>
      </c>
      <c r="H41" s="1">
        <v>45621</v>
      </c>
      <c r="I41" s="1">
        <v>45646</v>
      </c>
      <c r="J41" t="str">
        <f t="shared" si="0"/>
        <v>Nov-2024</v>
      </c>
    </row>
    <row r="42" spans="1:10">
      <c r="A42">
        <v>41</v>
      </c>
      <c r="B42">
        <v>16879</v>
      </c>
      <c r="C42" t="s">
        <v>18</v>
      </c>
      <c r="D42">
        <v>20343.310000000001</v>
      </c>
      <c r="E42" t="s">
        <v>16</v>
      </c>
      <c r="F42">
        <v>38</v>
      </c>
      <c r="G42" t="s">
        <v>17</v>
      </c>
      <c r="H42" s="1">
        <v>45628</v>
      </c>
      <c r="I42" s="1">
        <v>45666</v>
      </c>
      <c r="J42" t="str">
        <f t="shared" si="0"/>
        <v>Dec-2024</v>
      </c>
    </row>
    <row r="43" spans="1:10">
      <c r="A43">
        <v>42</v>
      </c>
      <c r="B43">
        <v>17438</v>
      </c>
      <c r="C43" t="s">
        <v>18</v>
      </c>
      <c r="D43">
        <v>88099.55</v>
      </c>
      <c r="E43" t="s">
        <v>16</v>
      </c>
      <c r="F43">
        <v>15</v>
      </c>
      <c r="G43" t="s">
        <v>17</v>
      </c>
      <c r="H43" s="1">
        <v>45645</v>
      </c>
      <c r="I43" s="1">
        <v>45660</v>
      </c>
      <c r="J43" t="str">
        <f t="shared" si="0"/>
        <v>Dec-2024</v>
      </c>
    </row>
    <row r="44" spans="1:10">
      <c r="A44">
        <v>43</v>
      </c>
      <c r="B44">
        <v>12511</v>
      </c>
      <c r="C44" t="s">
        <v>15</v>
      </c>
      <c r="D44">
        <v>189439.66</v>
      </c>
      <c r="E44" t="s">
        <v>16</v>
      </c>
      <c r="F44">
        <v>12</v>
      </c>
      <c r="G44" t="s">
        <v>25</v>
      </c>
      <c r="H44" s="1">
        <v>45382</v>
      </c>
      <c r="I44" s="1">
        <v>45394</v>
      </c>
      <c r="J44" t="str">
        <f t="shared" si="0"/>
        <v>Mar-2024</v>
      </c>
    </row>
    <row r="45" spans="1:10">
      <c r="A45">
        <v>44</v>
      </c>
      <c r="B45">
        <v>12090</v>
      </c>
      <c r="C45" t="s">
        <v>18</v>
      </c>
      <c r="D45">
        <v>47457.16</v>
      </c>
      <c r="E45" t="s">
        <v>24</v>
      </c>
      <c r="G45" t="s">
        <v>20</v>
      </c>
      <c r="H45" s="1">
        <v>45642</v>
      </c>
      <c r="J45" t="str">
        <f t="shared" si="0"/>
        <v>Dec-2024</v>
      </c>
    </row>
    <row r="46" spans="1:10">
      <c r="A46">
        <v>45</v>
      </c>
      <c r="B46">
        <v>14634</v>
      </c>
      <c r="C46" t="s">
        <v>23</v>
      </c>
      <c r="D46">
        <v>55064.61</v>
      </c>
      <c r="E46" t="s">
        <v>16</v>
      </c>
      <c r="F46">
        <v>18</v>
      </c>
      <c r="G46" t="s">
        <v>20</v>
      </c>
      <c r="H46" s="1">
        <v>45540</v>
      </c>
      <c r="I46" s="1">
        <v>45558</v>
      </c>
      <c r="J46" t="str">
        <f t="shared" si="0"/>
        <v>Sep-2024</v>
      </c>
    </row>
    <row r="47" spans="1:10">
      <c r="A47">
        <v>46</v>
      </c>
      <c r="B47">
        <v>10567</v>
      </c>
      <c r="C47" t="s">
        <v>23</v>
      </c>
      <c r="D47">
        <v>24673.32</v>
      </c>
      <c r="E47" t="s">
        <v>16</v>
      </c>
      <c r="F47">
        <v>28</v>
      </c>
      <c r="G47" t="s">
        <v>20</v>
      </c>
      <c r="H47" s="1">
        <v>45423</v>
      </c>
      <c r="I47" s="1">
        <v>45451</v>
      </c>
      <c r="J47" t="str">
        <f t="shared" si="0"/>
        <v>May-2024</v>
      </c>
    </row>
    <row r="48" spans="1:10">
      <c r="A48">
        <v>47</v>
      </c>
      <c r="B48">
        <v>10120</v>
      </c>
      <c r="C48" t="s">
        <v>23</v>
      </c>
      <c r="D48">
        <v>123086.2</v>
      </c>
      <c r="E48" t="s">
        <v>19</v>
      </c>
      <c r="F48">
        <v>4</v>
      </c>
      <c r="G48" t="s">
        <v>20</v>
      </c>
      <c r="H48" s="1">
        <v>45460</v>
      </c>
      <c r="I48" s="1">
        <v>45464</v>
      </c>
      <c r="J48" t="str">
        <f t="shared" si="0"/>
        <v>Jun-2024</v>
      </c>
    </row>
    <row r="49" spans="1:10">
      <c r="A49">
        <v>48</v>
      </c>
      <c r="B49">
        <v>16768</v>
      </c>
      <c r="C49" t="s">
        <v>23</v>
      </c>
      <c r="D49">
        <v>137575.21</v>
      </c>
      <c r="E49" t="s">
        <v>16</v>
      </c>
      <c r="F49">
        <v>3</v>
      </c>
      <c r="G49" t="s">
        <v>17</v>
      </c>
      <c r="H49" s="1">
        <v>45351</v>
      </c>
      <c r="I49" s="1">
        <v>45354</v>
      </c>
      <c r="J49" t="str">
        <f t="shared" si="0"/>
        <v>Feb-2024</v>
      </c>
    </row>
    <row r="50" spans="1:10">
      <c r="A50">
        <v>49</v>
      </c>
      <c r="B50">
        <v>18507</v>
      </c>
      <c r="C50" t="s">
        <v>23</v>
      </c>
      <c r="D50">
        <v>130371.59</v>
      </c>
      <c r="E50" t="s">
        <v>19</v>
      </c>
      <c r="F50">
        <v>5</v>
      </c>
      <c r="G50" t="s">
        <v>25</v>
      </c>
      <c r="H50" s="1">
        <v>45628</v>
      </c>
      <c r="I50" s="1">
        <v>45633</v>
      </c>
      <c r="J50" t="str">
        <f t="shared" si="0"/>
        <v>Dec-2024</v>
      </c>
    </row>
    <row r="51" spans="1:10">
      <c r="A51">
        <v>50</v>
      </c>
      <c r="B51">
        <v>10620</v>
      </c>
      <c r="C51" t="s">
        <v>23</v>
      </c>
      <c r="D51">
        <v>172920.4</v>
      </c>
      <c r="E51" t="s">
        <v>19</v>
      </c>
      <c r="F51">
        <v>19</v>
      </c>
      <c r="G51" t="s">
        <v>25</v>
      </c>
      <c r="H51" s="1">
        <v>45532</v>
      </c>
      <c r="I51" s="1">
        <v>45551</v>
      </c>
      <c r="J51" t="str">
        <f t="shared" si="0"/>
        <v>Aug-2024</v>
      </c>
    </row>
    <row r="52" spans="1:10">
      <c r="A52">
        <v>51</v>
      </c>
      <c r="B52">
        <v>14063</v>
      </c>
      <c r="C52" t="s">
        <v>23</v>
      </c>
      <c r="D52">
        <v>99853.04</v>
      </c>
      <c r="E52" t="s">
        <v>24</v>
      </c>
      <c r="G52" t="s">
        <v>17</v>
      </c>
      <c r="H52" s="1">
        <v>45481</v>
      </c>
      <c r="J52" t="str">
        <f t="shared" si="0"/>
        <v>Jul-2024</v>
      </c>
    </row>
    <row r="53" spans="1:10">
      <c r="A53">
        <v>52</v>
      </c>
      <c r="B53">
        <v>10453</v>
      </c>
      <c r="C53" t="s">
        <v>23</v>
      </c>
      <c r="D53">
        <v>31219.119999999999</v>
      </c>
      <c r="E53" t="s">
        <v>16</v>
      </c>
      <c r="F53">
        <v>22</v>
      </c>
      <c r="G53" t="s">
        <v>25</v>
      </c>
      <c r="H53" s="1">
        <v>45631</v>
      </c>
      <c r="I53" s="1">
        <v>45653</v>
      </c>
      <c r="J53" t="str">
        <f t="shared" si="0"/>
        <v>Dec-2024</v>
      </c>
    </row>
    <row r="54" spans="1:10">
      <c r="A54">
        <v>53</v>
      </c>
      <c r="B54">
        <v>12734</v>
      </c>
      <c r="C54" t="s">
        <v>15</v>
      </c>
      <c r="D54">
        <v>61434</v>
      </c>
      <c r="E54" t="s">
        <v>16</v>
      </c>
      <c r="F54">
        <v>15</v>
      </c>
      <c r="G54" t="s">
        <v>17</v>
      </c>
      <c r="H54" s="1">
        <v>45572</v>
      </c>
      <c r="I54" s="1">
        <v>45587</v>
      </c>
      <c r="J54" t="str">
        <f t="shared" si="0"/>
        <v>Oct-2024</v>
      </c>
    </row>
    <row r="55" spans="1:10">
      <c r="A55">
        <v>54</v>
      </c>
      <c r="B55">
        <v>10958</v>
      </c>
      <c r="C55" t="s">
        <v>22</v>
      </c>
      <c r="D55">
        <v>134173.84</v>
      </c>
      <c r="E55" t="s">
        <v>16</v>
      </c>
      <c r="F55">
        <v>9</v>
      </c>
      <c r="G55" t="s">
        <v>20</v>
      </c>
      <c r="H55" s="1">
        <v>45523</v>
      </c>
      <c r="I55" s="1">
        <v>45532</v>
      </c>
      <c r="J55" t="str">
        <f t="shared" si="0"/>
        <v>Aug-2024</v>
      </c>
    </row>
    <row r="56" spans="1:10">
      <c r="A56">
        <v>55</v>
      </c>
      <c r="B56">
        <v>10762</v>
      </c>
      <c r="C56" t="s">
        <v>23</v>
      </c>
      <c r="D56">
        <v>124558.78</v>
      </c>
      <c r="E56" t="s">
        <v>16</v>
      </c>
      <c r="F56">
        <v>3</v>
      </c>
      <c r="G56" t="s">
        <v>17</v>
      </c>
      <c r="H56" s="1">
        <v>45580</v>
      </c>
      <c r="I56" s="1">
        <v>45583</v>
      </c>
      <c r="J56" t="str">
        <f t="shared" si="0"/>
        <v>Oct-2024</v>
      </c>
    </row>
    <row r="57" spans="1:10">
      <c r="A57">
        <v>56</v>
      </c>
      <c r="B57">
        <v>19552</v>
      </c>
      <c r="C57" t="s">
        <v>22</v>
      </c>
      <c r="D57">
        <v>108545.61</v>
      </c>
      <c r="E57" t="s">
        <v>16</v>
      </c>
      <c r="F57">
        <v>27</v>
      </c>
      <c r="G57" t="s">
        <v>20</v>
      </c>
      <c r="H57" s="1">
        <v>45566</v>
      </c>
      <c r="I57" s="1">
        <v>45593</v>
      </c>
      <c r="J57" t="str">
        <f t="shared" si="0"/>
        <v>Oct-2024</v>
      </c>
    </row>
    <row r="58" spans="1:10">
      <c r="A58">
        <v>57</v>
      </c>
      <c r="B58">
        <v>14335</v>
      </c>
      <c r="C58" t="s">
        <v>18</v>
      </c>
      <c r="D58">
        <v>138178.06</v>
      </c>
      <c r="E58" t="s">
        <v>16</v>
      </c>
      <c r="F58">
        <v>20</v>
      </c>
      <c r="G58" t="s">
        <v>20</v>
      </c>
      <c r="H58" s="1">
        <v>45604</v>
      </c>
      <c r="I58" s="1">
        <v>45624</v>
      </c>
      <c r="J58" t="str">
        <f t="shared" si="0"/>
        <v>Nov-2024</v>
      </c>
    </row>
    <row r="59" spans="1:10">
      <c r="A59">
        <v>58</v>
      </c>
      <c r="B59">
        <v>16520</v>
      </c>
      <c r="C59" t="s">
        <v>23</v>
      </c>
      <c r="D59">
        <v>129291.22</v>
      </c>
      <c r="E59" t="s">
        <v>16</v>
      </c>
      <c r="F59">
        <v>43</v>
      </c>
      <c r="G59" t="s">
        <v>21</v>
      </c>
      <c r="H59" s="1">
        <v>45306</v>
      </c>
      <c r="I59" s="1">
        <v>45349</v>
      </c>
      <c r="J59" t="str">
        <f t="shared" si="0"/>
        <v>Jan-2024</v>
      </c>
    </row>
    <row r="60" spans="1:10">
      <c r="A60">
        <v>59</v>
      </c>
      <c r="B60">
        <v>12051</v>
      </c>
      <c r="C60" t="s">
        <v>23</v>
      </c>
      <c r="D60">
        <v>176858.35</v>
      </c>
      <c r="E60" t="s">
        <v>16</v>
      </c>
      <c r="F60">
        <v>29</v>
      </c>
      <c r="G60" t="s">
        <v>17</v>
      </c>
      <c r="H60" s="1">
        <v>45332</v>
      </c>
      <c r="I60" s="1">
        <v>45361</v>
      </c>
      <c r="J60" t="str">
        <f t="shared" si="0"/>
        <v>Feb-2024</v>
      </c>
    </row>
    <row r="61" spans="1:10">
      <c r="A61">
        <v>60</v>
      </c>
      <c r="B61">
        <v>16989</v>
      </c>
      <c r="C61" t="s">
        <v>18</v>
      </c>
      <c r="D61">
        <v>119273.19</v>
      </c>
      <c r="E61" t="s">
        <v>19</v>
      </c>
      <c r="F61">
        <v>30</v>
      </c>
      <c r="G61" t="s">
        <v>21</v>
      </c>
      <c r="H61" s="1">
        <v>45499</v>
      </c>
      <c r="I61" s="1">
        <v>45529</v>
      </c>
      <c r="J61" t="str">
        <f t="shared" si="0"/>
        <v>Jul-2024</v>
      </c>
    </row>
    <row r="62" spans="1:10">
      <c r="A62">
        <v>61</v>
      </c>
      <c r="B62">
        <v>18388</v>
      </c>
      <c r="C62" t="s">
        <v>18</v>
      </c>
      <c r="D62">
        <v>156827.26</v>
      </c>
      <c r="E62" t="s">
        <v>19</v>
      </c>
      <c r="F62">
        <v>6</v>
      </c>
      <c r="G62" t="s">
        <v>17</v>
      </c>
      <c r="H62" s="1">
        <v>45351</v>
      </c>
      <c r="I62" s="1">
        <v>45357</v>
      </c>
      <c r="J62" t="str">
        <f t="shared" si="0"/>
        <v>Feb-2024</v>
      </c>
    </row>
    <row r="63" spans="1:10">
      <c r="A63">
        <v>62</v>
      </c>
      <c r="B63">
        <v>17807</v>
      </c>
      <c r="C63" t="s">
        <v>18</v>
      </c>
      <c r="D63">
        <v>53497.9</v>
      </c>
      <c r="E63" t="s">
        <v>16</v>
      </c>
      <c r="F63">
        <v>44</v>
      </c>
      <c r="G63" t="s">
        <v>17</v>
      </c>
      <c r="H63" s="1">
        <v>45656</v>
      </c>
      <c r="I63" s="1">
        <v>45700</v>
      </c>
      <c r="J63" t="str">
        <f t="shared" si="0"/>
        <v>Dec-2024</v>
      </c>
    </row>
    <row r="64" spans="1:10">
      <c r="A64">
        <v>63</v>
      </c>
      <c r="B64">
        <v>10260</v>
      </c>
      <c r="C64" t="s">
        <v>23</v>
      </c>
      <c r="D64">
        <v>137245.6</v>
      </c>
      <c r="E64" t="s">
        <v>16</v>
      </c>
      <c r="F64">
        <v>29</v>
      </c>
      <c r="G64" t="s">
        <v>21</v>
      </c>
      <c r="H64" s="1">
        <v>45531</v>
      </c>
      <c r="I64" s="1">
        <v>45560</v>
      </c>
      <c r="J64" t="str">
        <f t="shared" si="0"/>
        <v>Aug-2024</v>
      </c>
    </row>
    <row r="65" spans="1:10">
      <c r="A65">
        <v>64</v>
      </c>
      <c r="B65">
        <v>16746</v>
      </c>
      <c r="C65" t="s">
        <v>23</v>
      </c>
      <c r="D65">
        <v>180927.85</v>
      </c>
      <c r="E65" t="s">
        <v>19</v>
      </c>
      <c r="F65">
        <v>42</v>
      </c>
      <c r="G65" t="s">
        <v>21</v>
      </c>
      <c r="H65" s="1">
        <v>45387</v>
      </c>
      <c r="I65" s="1">
        <v>45429</v>
      </c>
      <c r="J65" t="str">
        <f t="shared" si="0"/>
        <v>Apr-2024</v>
      </c>
    </row>
    <row r="66" spans="1:10">
      <c r="A66">
        <v>65</v>
      </c>
      <c r="B66">
        <v>15890</v>
      </c>
      <c r="C66" t="s">
        <v>23</v>
      </c>
      <c r="D66">
        <v>80217.8</v>
      </c>
      <c r="E66" t="s">
        <v>16</v>
      </c>
      <c r="F66">
        <v>27</v>
      </c>
      <c r="G66" t="s">
        <v>17</v>
      </c>
      <c r="H66" s="1">
        <v>45569</v>
      </c>
      <c r="I66" s="1">
        <v>45596</v>
      </c>
      <c r="J66" t="str">
        <f t="shared" si="0"/>
        <v>Oct-2024</v>
      </c>
    </row>
    <row r="67" spans="1:10">
      <c r="A67">
        <v>66</v>
      </c>
      <c r="B67">
        <v>16053</v>
      </c>
      <c r="C67" t="s">
        <v>23</v>
      </c>
      <c r="D67">
        <v>156925.32</v>
      </c>
      <c r="E67" t="s">
        <v>19</v>
      </c>
      <c r="F67">
        <v>6</v>
      </c>
      <c r="G67" t="s">
        <v>25</v>
      </c>
      <c r="H67" s="1">
        <v>45451</v>
      </c>
      <c r="I67" s="1">
        <v>45457</v>
      </c>
      <c r="J67" t="str">
        <f t="shared" ref="J67:J130" si="1">TEXT(H67,"mmm-yyyy")</f>
        <v>Jun-2024</v>
      </c>
    </row>
    <row r="68" spans="1:10">
      <c r="A68">
        <v>67</v>
      </c>
      <c r="B68">
        <v>11280</v>
      </c>
      <c r="C68" t="s">
        <v>23</v>
      </c>
      <c r="D68">
        <v>146333.91</v>
      </c>
      <c r="E68" t="s">
        <v>24</v>
      </c>
      <c r="G68" t="s">
        <v>20</v>
      </c>
      <c r="H68" s="1">
        <v>45573</v>
      </c>
      <c r="J68" t="str">
        <f t="shared" si="1"/>
        <v>Oct-2024</v>
      </c>
    </row>
    <row r="69" spans="1:10">
      <c r="A69">
        <v>68</v>
      </c>
      <c r="B69">
        <v>10135</v>
      </c>
      <c r="C69" t="s">
        <v>23</v>
      </c>
      <c r="D69">
        <v>16607.61</v>
      </c>
      <c r="E69" t="s">
        <v>16</v>
      </c>
      <c r="F69">
        <v>10</v>
      </c>
      <c r="G69" t="s">
        <v>21</v>
      </c>
      <c r="H69" s="1">
        <v>45500</v>
      </c>
      <c r="I69" s="1">
        <v>45510</v>
      </c>
      <c r="J69" t="str">
        <f t="shared" si="1"/>
        <v>Jul-2024</v>
      </c>
    </row>
    <row r="70" spans="1:10">
      <c r="A70">
        <v>69</v>
      </c>
      <c r="B70">
        <v>16099</v>
      </c>
      <c r="C70" t="s">
        <v>15</v>
      </c>
      <c r="D70">
        <v>118394.12</v>
      </c>
      <c r="E70" t="s">
        <v>19</v>
      </c>
      <c r="F70">
        <v>33</v>
      </c>
      <c r="G70" t="s">
        <v>20</v>
      </c>
      <c r="H70" s="1">
        <v>45424</v>
      </c>
      <c r="I70" s="1">
        <v>45457</v>
      </c>
      <c r="J70" t="str">
        <f t="shared" si="1"/>
        <v>May-2024</v>
      </c>
    </row>
    <row r="71" spans="1:10">
      <c r="A71">
        <v>70</v>
      </c>
      <c r="B71">
        <v>17877</v>
      </c>
      <c r="C71" t="s">
        <v>22</v>
      </c>
      <c r="D71">
        <v>30386.92</v>
      </c>
      <c r="E71" t="s">
        <v>16</v>
      </c>
      <c r="F71">
        <v>27</v>
      </c>
      <c r="G71" t="s">
        <v>25</v>
      </c>
      <c r="H71" s="1">
        <v>45388</v>
      </c>
      <c r="I71" s="1">
        <v>45415</v>
      </c>
      <c r="J71" t="str">
        <f t="shared" si="1"/>
        <v>Apr-2024</v>
      </c>
    </row>
    <row r="72" spans="1:10">
      <c r="A72">
        <v>71</v>
      </c>
      <c r="B72">
        <v>12545</v>
      </c>
      <c r="C72" t="s">
        <v>23</v>
      </c>
      <c r="D72">
        <v>193627.24</v>
      </c>
      <c r="E72" t="s">
        <v>16</v>
      </c>
      <c r="F72">
        <v>38</v>
      </c>
      <c r="G72" t="s">
        <v>25</v>
      </c>
      <c r="H72" s="1">
        <v>45510</v>
      </c>
      <c r="I72" s="1">
        <v>45548</v>
      </c>
      <c r="J72" t="str">
        <f t="shared" si="1"/>
        <v>Aug-2024</v>
      </c>
    </row>
    <row r="73" spans="1:10">
      <c r="A73">
        <v>72</v>
      </c>
      <c r="B73">
        <v>18560</v>
      </c>
      <c r="C73" t="s">
        <v>22</v>
      </c>
      <c r="D73">
        <v>163224.46</v>
      </c>
      <c r="E73" t="s">
        <v>16</v>
      </c>
      <c r="F73">
        <v>16</v>
      </c>
      <c r="G73" t="s">
        <v>25</v>
      </c>
      <c r="H73" s="1">
        <v>45362</v>
      </c>
      <c r="I73" s="1">
        <v>45378</v>
      </c>
      <c r="J73" t="str">
        <f t="shared" si="1"/>
        <v>Mar-2024</v>
      </c>
    </row>
    <row r="74" spans="1:10">
      <c r="A74">
        <v>73</v>
      </c>
      <c r="B74">
        <v>13662</v>
      </c>
      <c r="C74" t="s">
        <v>23</v>
      </c>
      <c r="D74">
        <v>26396.14</v>
      </c>
      <c r="E74" t="s">
        <v>16</v>
      </c>
      <c r="F74">
        <v>42</v>
      </c>
      <c r="G74" t="s">
        <v>21</v>
      </c>
      <c r="H74" s="1">
        <v>45565</v>
      </c>
      <c r="I74" s="1">
        <v>45607</v>
      </c>
      <c r="J74" t="str">
        <f t="shared" si="1"/>
        <v>Sep-2024</v>
      </c>
    </row>
    <row r="75" spans="1:10">
      <c r="A75">
        <v>74</v>
      </c>
      <c r="B75">
        <v>16729</v>
      </c>
      <c r="C75" t="s">
        <v>23</v>
      </c>
      <c r="D75">
        <v>28741.64</v>
      </c>
      <c r="E75" t="s">
        <v>19</v>
      </c>
      <c r="F75">
        <v>5</v>
      </c>
      <c r="G75" t="s">
        <v>25</v>
      </c>
      <c r="H75" s="1">
        <v>45642</v>
      </c>
      <c r="I75" s="1">
        <v>45647</v>
      </c>
      <c r="J75" t="str">
        <f t="shared" si="1"/>
        <v>Dec-2024</v>
      </c>
    </row>
    <row r="76" spans="1:10">
      <c r="A76">
        <v>75</v>
      </c>
      <c r="B76">
        <v>13454</v>
      </c>
      <c r="C76" t="s">
        <v>23</v>
      </c>
      <c r="D76">
        <v>120922.4</v>
      </c>
      <c r="E76" t="s">
        <v>16</v>
      </c>
      <c r="F76">
        <v>37</v>
      </c>
      <c r="G76" t="s">
        <v>21</v>
      </c>
      <c r="H76" s="1">
        <v>45425</v>
      </c>
      <c r="I76" s="1">
        <v>45462</v>
      </c>
      <c r="J76" t="str">
        <f t="shared" si="1"/>
        <v>May-2024</v>
      </c>
    </row>
    <row r="77" spans="1:10">
      <c r="A77">
        <v>76</v>
      </c>
      <c r="B77">
        <v>14808</v>
      </c>
      <c r="C77" t="s">
        <v>18</v>
      </c>
      <c r="D77">
        <v>72253.39</v>
      </c>
      <c r="E77" t="s">
        <v>16</v>
      </c>
      <c r="F77">
        <v>21</v>
      </c>
      <c r="G77" t="s">
        <v>25</v>
      </c>
      <c r="H77" s="1">
        <v>45357</v>
      </c>
      <c r="I77" s="1">
        <v>45378</v>
      </c>
      <c r="J77" t="str">
        <f t="shared" si="1"/>
        <v>Mar-2024</v>
      </c>
    </row>
    <row r="78" spans="1:10">
      <c r="A78">
        <v>77</v>
      </c>
      <c r="B78">
        <v>18048</v>
      </c>
      <c r="C78" t="s">
        <v>22</v>
      </c>
      <c r="D78">
        <v>11806.64</v>
      </c>
      <c r="E78" t="s">
        <v>16</v>
      </c>
      <c r="F78">
        <v>28</v>
      </c>
      <c r="G78" t="s">
        <v>20</v>
      </c>
      <c r="H78" s="1">
        <v>45418</v>
      </c>
      <c r="I78" s="1">
        <v>45446</v>
      </c>
      <c r="J78" t="str">
        <f t="shared" si="1"/>
        <v>May-2024</v>
      </c>
    </row>
    <row r="79" spans="1:10">
      <c r="A79">
        <v>78</v>
      </c>
      <c r="B79">
        <v>16520</v>
      </c>
      <c r="C79" t="s">
        <v>18</v>
      </c>
      <c r="D79">
        <v>110620.09</v>
      </c>
      <c r="E79" t="s">
        <v>19</v>
      </c>
      <c r="F79">
        <v>22</v>
      </c>
      <c r="G79" t="s">
        <v>20</v>
      </c>
      <c r="H79" s="1">
        <v>45496</v>
      </c>
      <c r="I79" s="1">
        <v>45518</v>
      </c>
      <c r="J79" t="str">
        <f t="shared" si="1"/>
        <v>Jul-2024</v>
      </c>
    </row>
    <row r="80" spans="1:10">
      <c r="A80">
        <v>79</v>
      </c>
      <c r="B80">
        <v>10544</v>
      </c>
      <c r="C80" t="s">
        <v>23</v>
      </c>
      <c r="D80">
        <v>80629.789999999994</v>
      </c>
      <c r="E80" t="s">
        <v>24</v>
      </c>
      <c r="G80" t="s">
        <v>17</v>
      </c>
      <c r="H80" s="1">
        <v>45589</v>
      </c>
      <c r="J80" t="str">
        <f t="shared" si="1"/>
        <v>Oct-2024</v>
      </c>
    </row>
    <row r="81" spans="1:10">
      <c r="A81">
        <v>80</v>
      </c>
      <c r="B81">
        <v>16216</v>
      </c>
      <c r="C81" t="s">
        <v>18</v>
      </c>
      <c r="D81">
        <v>24709.919999999998</v>
      </c>
      <c r="E81" t="s">
        <v>19</v>
      </c>
      <c r="F81">
        <v>8</v>
      </c>
      <c r="G81" t="s">
        <v>20</v>
      </c>
      <c r="H81" s="1">
        <v>45408</v>
      </c>
      <c r="I81" s="1">
        <v>45416</v>
      </c>
      <c r="J81" t="str">
        <f t="shared" si="1"/>
        <v>Apr-2024</v>
      </c>
    </row>
    <row r="82" spans="1:10">
      <c r="A82">
        <v>81</v>
      </c>
      <c r="B82">
        <v>17117</v>
      </c>
      <c r="C82" t="s">
        <v>23</v>
      </c>
      <c r="D82">
        <v>161374.48000000001</v>
      </c>
      <c r="E82" t="s">
        <v>16</v>
      </c>
      <c r="F82">
        <v>32</v>
      </c>
      <c r="G82" t="s">
        <v>17</v>
      </c>
      <c r="H82" s="1">
        <v>45558</v>
      </c>
      <c r="I82" s="1">
        <v>45590</v>
      </c>
      <c r="J82" t="str">
        <f t="shared" si="1"/>
        <v>Sep-2024</v>
      </c>
    </row>
    <row r="83" spans="1:10">
      <c r="A83">
        <v>82</v>
      </c>
      <c r="B83">
        <v>14599</v>
      </c>
      <c r="C83" t="s">
        <v>15</v>
      </c>
      <c r="D83">
        <v>183439.97</v>
      </c>
      <c r="E83" t="s">
        <v>16</v>
      </c>
      <c r="F83">
        <v>18</v>
      </c>
      <c r="G83" t="s">
        <v>20</v>
      </c>
      <c r="H83" s="1">
        <v>45573</v>
      </c>
      <c r="I83" s="1">
        <v>45591</v>
      </c>
      <c r="J83" t="str">
        <f t="shared" si="1"/>
        <v>Oct-2024</v>
      </c>
    </row>
    <row r="84" spans="1:10">
      <c r="A84">
        <v>83</v>
      </c>
      <c r="B84">
        <v>13423</v>
      </c>
      <c r="C84" t="s">
        <v>18</v>
      </c>
      <c r="D84">
        <v>152535.82</v>
      </c>
      <c r="E84" t="s">
        <v>16</v>
      </c>
      <c r="F84">
        <v>8</v>
      </c>
      <c r="G84" t="s">
        <v>21</v>
      </c>
      <c r="H84" s="1">
        <v>45440</v>
      </c>
      <c r="I84" s="1">
        <v>45448</v>
      </c>
      <c r="J84" t="str">
        <f t="shared" si="1"/>
        <v>May-2024</v>
      </c>
    </row>
    <row r="85" spans="1:10">
      <c r="A85">
        <v>84</v>
      </c>
      <c r="B85">
        <v>14805</v>
      </c>
      <c r="C85" t="s">
        <v>23</v>
      </c>
      <c r="D85">
        <v>165372.35</v>
      </c>
      <c r="E85" t="s">
        <v>16</v>
      </c>
      <c r="F85">
        <v>20</v>
      </c>
      <c r="G85" t="s">
        <v>20</v>
      </c>
      <c r="H85" s="1">
        <v>45485</v>
      </c>
      <c r="I85" s="1">
        <v>45505</v>
      </c>
      <c r="J85" t="str">
        <f t="shared" si="1"/>
        <v>Jul-2024</v>
      </c>
    </row>
    <row r="86" spans="1:10">
      <c r="A86">
        <v>85</v>
      </c>
      <c r="B86">
        <v>14483</v>
      </c>
      <c r="C86" t="s">
        <v>18</v>
      </c>
      <c r="D86">
        <v>47215.66</v>
      </c>
      <c r="E86" t="s">
        <v>16</v>
      </c>
      <c r="F86">
        <v>29</v>
      </c>
      <c r="G86" t="s">
        <v>17</v>
      </c>
      <c r="H86" s="1">
        <v>45459</v>
      </c>
      <c r="I86" s="1">
        <v>45488</v>
      </c>
      <c r="J86" t="str">
        <f t="shared" si="1"/>
        <v>Jun-2024</v>
      </c>
    </row>
    <row r="87" spans="1:10">
      <c r="A87">
        <v>86</v>
      </c>
      <c r="B87">
        <v>16971</v>
      </c>
      <c r="C87" t="s">
        <v>18</v>
      </c>
      <c r="D87">
        <v>56396.73</v>
      </c>
      <c r="E87" t="s">
        <v>16</v>
      </c>
      <c r="F87">
        <v>11</v>
      </c>
      <c r="G87" t="s">
        <v>17</v>
      </c>
      <c r="H87" s="1">
        <v>45603</v>
      </c>
      <c r="I87" s="1">
        <v>45614</v>
      </c>
      <c r="J87" t="str">
        <f t="shared" si="1"/>
        <v>Nov-2024</v>
      </c>
    </row>
    <row r="88" spans="1:10">
      <c r="A88">
        <v>87</v>
      </c>
      <c r="B88">
        <v>17119</v>
      </c>
      <c r="C88" t="s">
        <v>23</v>
      </c>
      <c r="D88">
        <v>45662.87</v>
      </c>
      <c r="E88" t="s">
        <v>16</v>
      </c>
      <c r="F88">
        <v>28</v>
      </c>
      <c r="G88" t="s">
        <v>25</v>
      </c>
      <c r="H88" s="1">
        <v>45470</v>
      </c>
      <c r="I88" s="1">
        <v>45498</v>
      </c>
      <c r="J88" t="str">
        <f t="shared" si="1"/>
        <v>Jun-2024</v>
      </c>
    </row>
    <row r="89" spans="1:10">
      <c r="A89">
        <v>88</v>
      </c>
      <c r="B89">
        <v>11097</v>
      </c>
      <c r="C89" t="s">
        <v>18</v>
      </c>
      <c r="D89">
        <v>154187.37</v>
      </c>
      <c r="E89" t="s">
        <v>19</v>
      </c>
      <c r="F89">
        <v>14</v>
      </c>
      <c r="G89" t="s">
        <v>21</v>
      </c>
      <c r="H89" s="1">
        <v>45439</v>
      </c>
      <c r="I89" s="1">
        <v>45453</v>
      </c>
      <c r="J89" t="str">
        <f t="shared" si="1"/>
        <v>May-2024</v>
      </c>
    </row>
    <row r="90" spans="1:10">
      <c r="A90">
        <v>89</v>
      </c>
      <c r="B90">
        <v>16860</v>
      </c>
      <c r="C90" t="s">
        <v>23</v>
      </c>
      <c r="D90">
        <v>189843.83</v>
      </c>
      <c r="E90" t="s">
        <v>16</v>
      </c>
      <c r="F90">
        <v>3</v>
      </c>
      <c r="G90" t="s">
        <v>20</v>
      </c>
      <c r="H90" s="1">
        <v>45348</v>
      </c>
      <c r="I90" s="1">
        <v>45351</v>
      </c>
      <c r="J90" t="str">
        <f t="shared" si="1"/>
        <v>Feb-2024</v>
      </c>
    </row>
    <row r="91" spans="1:10">
      <c r="A91">
        <v>90</v>
      </c>
      <c r="B91">
        <v>15435</v>
      </c>
      <c r="C91" t="s">
        <v>18</v>
      </c>
      <c r="D91">
        <v>144783.26</v>
      </c>
      <c r="E91" t="s">
        <v>16</v>
      </c>
      <c r="F91">
        <v>23</v>
      </c>
      <c r="G91" t="s">
        <v>25</v>
      </c>
      <c r="H91" s="1">
        <v>45296</v>
      </c>
      <c r="I91" s="1">
        <v>45319</v>
      </c>
      <c r="J91" t="str">
        <f t="shared" si="1"/>
        <v>Jan-2024</v>
      </c>
    </row>
    <row r="92" spans="1:10">
      <c r="A92">
        <v>91</v>
      </c>
      <c r="B92">
        <v>11943</v>
      </c>
      <c r="C92" t="s">
        <v>15</v>
      </c>
      <c r="D92">
        <v>176886.02</v>
      </c>
      <c r="E92" t="s">
        <v>16</v>
      </c>
      <c r="F92">
        <v>21</v>
      </c>
      <c r="G92" t="s">
        <v>20</v>
      </c>
      <c r="H92" s="1">
        <v>45305</v>
      </c>
      <c r="I92" s="1">
        <v>45326</v>
      </c>
      <c r="J92" t="str">
        <f t="shared" si="1"/>
        <v>Jan-2024</v>
      </c>
    </row>
    <row r="93" spans="1:10">
      <c r="A93">
        <v>92</v>
      </c>
      <c r="B93">
        <v>11719</v>
      </c>
      <c r="C93" t="s">
        <v>15</v>
      </c>
      <c r="D93">
        <v>129546.32</v>
      </c>
      <c r="E93" t="s">
        <v>19</v>
      </c>
      <c r="F93">
        <v>44</v>
      </c>
      <c r="G93" t="s">
        <v>20</v>
      </c>
      <c r="H93" s="1">
        <v>45571</v>
      </c>
      <c r="I93" s="1">
        <v>45615</v>
      </c>
      <c r="J93" t="str">
        <f t="shared" si="1"/>
        <v>Oct-2024</v>
      </c>
    </row>
    <row r="94" spans="1:10">
      <c r="A94">
        <v>93</v>
      </c>
      <c r="B94">
        <v>15768</v>
      </c>
      <c r="C94" t="s">
        <v>18</v>
      </c>
      <c r="D94">
        <v>80593.679999999993</v>
      </c>
      <c r="E94" t="s">
        <v>19</v>
      </c>
      <c r="F94">
        <v>6</v>
      </c>
      <c r="G94" t="s">
        <v>25</v>
      </c>
      <c r="H94" s="1">
        <v>45615</v>
      </c>
      <c r="I94" s="1">
        <v>45621</v>
      </c>
      <c r="J94" t="str">
        <f t="shared" si="1"/>
        <v>Nov-2024</v>
      </c>
    </row>
    <row r="95" spans="1:10">
      <c r="A95">
        <v>94</v>
      </c>
      <c r="B95">
        <v>18482</v>
      </c>
      <c r="C95" t="s">
        <v>18</v>
      </c>
      <c r="D95">
        <v>88023.51</v>
      </c>
      <c r="E95" t="s">
        <v>19</v>
      </c>
      <c r="F95">
        <v>7</v>
      </c>
      <c r="G95" t="s">
        <v>25</v>
      </c>
      <c r="H95" s="1">
        <v>45595</v>
      </c>
      <c r="I95" s="1">
        <v>45602</v>
      </c>
      <c r="J95" t="str">
        <f t="shared" si="1"/>
        <v>Oct-2024</v>
      </c>
    </row>
    <row r="96" spans="1:10">
      <c r="A96">
        <v>95</v>
      </c>
      <c r="B96">
        <v>19166</v>
      </c>
      <c r="C96" t="s">
        <v>23</v>
      </c>
      <c r="D96">
        <v>19687.68</v>
      </c>
      <c r="E96" t="s">
        <v>16</v>
      </c>
      <c r="F96">
        <v>36</v>
      </c>
      <c r="G96" t="s">
        <v>25</v>
      </c>
      <c r="H96" s="1">
        <v>45507</v>
      </c>
      <c r="I96" s="1">
        <v>45543</v>
      </c>
      <c r="J96" t="str">
        <f t="shared" si="1"/>
        <v>Aug-2024</v>
      </c>
    </row>
    <row r="97" spans="1:10">
      <c r="A97">
        <v>96</v>
      </c>
      <c r="B97">
        <v>10414</v>
      </c>
      <c r="C97" t="s">
        <v>18</v>
      </c>
      <c r="D97">
        <v>11134.15</v>
      </c>
      <c r="E97" t="s">
        <v>24</v>
      </c>
      <c r="G97" t="s">
        <v>25</v>
      </c>
      <c r="H97" s="1">
        <v>45466</v>
      </c>
      <c r="J97" t="str">
        <f t="shared" si="1"/>
        <v>Jun-2024</v>
      </c>
    </row>
    <row r="98" spans="1:10">
      <c r="A98">
        <v>97</v>
      </c>
      <c r="B98">
        <v>19042</v>
      </c>
      <c r="C98" t="s">
        <v>23</v>
      </c>
      <c r="D98">
        <v>140617.74</v>
      </c>
      <c r="E98" t="s">
        <v>16</v>
      </c>
      <c r="F98">
        <v>36</v>
      </c>
      <c r="G98" t="s">
        <v>25</v>
      </c>
      <c r="H98" s="1">
        <v>45607</v>
      </c>
      <c r="I98" s="1">
        <v>45643</v>
      </c>
      <c r="J98" t="str">
        <f t="shared" si="1"/>
        <v>Nov-2024</v>
      </c>
    </row>
    <row r="99" spans="1:10">
      <c r="A99">
        <v>98</v>
      </c>
      <c r="B99">
        <v>17105</v>
      </c>
      <c r="C99" t="s">
        <v>23</v>
      </c>
      <c r="D99">
        <v>90493.63</v>
      </c>
      <c r="E99" t="s">
        <v>16</v>
      </c>
      <c r="F99">
        <v>4</v>
      </c>
      <c r="G99" t="s">
        <v>20</v>
      </c>
      <c r="H99" s="1">
        <v>45294</v>
      </c>
      <c r="I99" s="1">
        <v>45298</v>
      </c>
      <c r="J99" t="str">
        <f t="shared" si="1"/>
        <v>Jan-2024</v>
      </c>
    </row>
    <row r="100" spans="1:10">
      <c r="A100">
        <v>99</v>
      </c>
      <c r="B100">
        <v>12728</v>
      </c>
      <c r="C100" t="s">
        <v>23</v>
      </c>
      <c r="D100">
        <v>112681.94</v>
      </c>
      <c r="E100" t="s">
        <v>24</v>
      </c>
      <c r="G100" t="s">
        <v>25</v>
      </c>
      <c r="H100" s="1">
        <v>45428</v>
      </c>
      <c r="J100" t="str">
        <f t="shared" si="1"/>
        <v>May-2024</v>
      </c>
    </row>
    <row r="101" spans="1:10">
      <c r="A101">
        <v>100</v>
      </c>
      <c r="B101">
        <v>17203</v>
      </c>
      <c r="C101" t="s">
        <v>23</v>
      </c>
      <c r="D101">
        <v>113743.94</v>
      </c>
      <c r="E101" t="s">
        <v>16</v>
      </c>
      <c r="F101">
        <v>8</v>
      </c>
      <c r="G101" t="s">
        <v>21</v>
      </c>
      <c r="H101" s="1">
        <v>45391</v>
      </c>
      <c r="I101" s="1">
        <v>45399</v>
      </c>
      <c r="J101" t="str">
        <f t="shared" si="1"/>
        <v>Apr-2024</v>
      </c>
    </row>
    <row r="102" spans="1:10">
      <c r="A102">
        <v>101</v>
      </c>
      <c r="B102">
        <v>14641</v>
      </c>
      <c r="C102" t="s">
        <v>18</v>
      </c>
      <c r="D102">
        <v>59088.28</v>
      </c>
      <c r="E102" t="s">
        <v>16</v>
      </c>
      <c r="F102">
        <v>30</v>
      </c>
      <c r="G102" t="s">
        <v>17</v>
      </c>
      <c r="H102" s="1">
        <v>45374</v>
      </c>
      <c r="I102" s="1">
        <v>45404</v>
      </c>
      <c r="J102" t="str">
        <f t="shared" si="1"/>
        <v>Mar-2024</v>
      </c>
    </row>
    <row r="103" spans="1:10">
      <c r="A103">
        <v>102</v>
      </c>
      <c r="B103">
        <v>10741</v>
      </c>
      <c r="C103" t="s">
        <v>23</v>
      </c>
      <c r="D103">
        <v>97799.039999999994</v>
      </c>
      <c r="E103" t="s">
        <v>16</v>
      </c>
      <c r="F103">
        <v>16</v>
      </c>
      <c r="G103" t="s">
        <v>25</v>
      </c>
      <c r="H103" s="1">
        <v>45571</v>
      </c>
      <c r="I103" s="1">
        <v>45587</v>
      </c>
      <c r="J103" t="str">
        <f t="shared" si="1"/>
        <v>Oct-2024</v>
      </c>
    </row>
    <row r="104" spans="1:10">
      <c r="A104">
        <v>103</v>
      </c>
      <c r="B104">
        <v>10591</v>
      </c>
      <c r="C104" t="s">
        <v>18</v>
      </c>
      <c r="D104">
        <v>96798.24</v>
      </c>
      <c r="E104" t="s">
        <v>16</v>
      </c>
      <c r="F104">
        <v>12</v>
      </c>
      <c r="G104" t="s">
        <v>25</v>
      </c>
      <c r="H104" s="1">
        <v>45423</v>
      </c>
      <c r="I104" s="1">
        <v>45435</v>
      </c>
      <c r="J104" t="str">
        <f t="shared" si="1"/>
        <v>May-2024</v>
      </c>
    </row>
    <row r="105" spans="1:10">
      <c r="A105">
        <v>104</v>
      </c>
      <c r="B105">
        <v>10749</v>
      </c>
      <c r="C105" t="s">
        <v>23</v>
      </c>
      <c r="D105">
        <v>80743.31</v>
      </c>
      <c r="E105" t="s">
        <v>24</v>
      </c>
      <c r="G105" t="s">
        <v>20</v>
      </c>
      <c r="H105" s="1">
        <v>45292</v>
      </c>
      <c r="J105" t="str">
        <f t="shared" si="1"/>
        <v>Jan-2024</v>
      </c>
    </row>
    <row r="106" spans="1:10">
      <c r="A106">
        <v>105</v>
      </c>
      <c r="B106">
        <v>12219</v>
      </c>
      <c r="C106" t="s">
        <v>23</v>
      </c>
      <c r="D106">
        <v>165031.70000000001</v>
      </c>
      <c r="E106" t="s">
        <v>16</v>
      </c>
      <c r="F106">
        <v>5</v>
      </c>
      <c r="G106" t="s">
        <v>25</v>
      </c>
      <c r="H106" s="1">
        <v>45407</v>
      </c>
      <c r="I106" s="1">
        <v>45412</v>
      </c>
      <c r="J106" t="str">
        <f t="shared" si="1"/>
        <v>Apr-2024</v>
      </c>
    </row>
    <row r="107" spans="1:10">
      <c r="A107">
        <v>106</v>
      </c>
      <c r="B107">
        <v>19029</v>
      </c>
      <c r="C107" t="s">
        <v>18</v>
      </c>
      <c r="D107">
        <v>92976.98</v>
      </c>
      <c r="E107" t="s">
        <v>16</v>
      </c>
      <c r="F107">
        <v>25</v>
      </c>
      <c r="G107" t="s">
        <v>25</v>
      </c>
      <c r="H107" s="1">
        <v>45493</v>
      </c>
      <c r="I107" s="1">
        <v>45518</v>
      </c>
      <c r="J107" t="str">
        <f t="shared" si="1"/>
        <v>Jul-2024</v>
      </c>
    </row>
    <row r="108" spans="1:10">
      <c r="A108">
        <v>107</v>
      </c>
      <c r="B108">
        <v>18725</v>
      </c>
      <c r="C108" t="s">
        <v>23</v>
      </c>
      <c r="D108">
        <v>122710.68</v>
      </c>
      <c r="E108" t="s">
        <v>16</v>
      </c>
      <c r="F108">
        <v>12</v>
      </c>
      <c r="G108" t="s">
        <v>25</v>
      </c>
      <c r="H108" s="1">
        <v>45431</v>
      </c>
      <c r="I108" s="1">
        <v>45443</v>
      </c>
      <c r="J108" t="str">
        <f t="shared" si="1"/>
        <v>May-2024</v>
      </c>
    </row>
    <row r="109" spans="1:10">
      <c r="A109">
        <v>108</v>
      </c>
      <c r="B109">
        <v>14460</v>
      </c>
      <c r="C109" t="s">
        <v>23</v>
      </c>
      <c r="D109">
        <v>179626.42</v>
      </c>
      <c r="E109" t="s">
        <v>16</v>
      </c>
      <c r="F109">
        <v>7</v>
      </c>
      <c r="G109" t="s">
        <v>20</v>
      </c>
      <c r="H109" s="1">
        <v>45437</v>
      </c>
      <c r="I109" s="1">
        <v>45444</v>
      </c>
      <c r="J109" t="str">
        <f t="shared" si="1"/>
        <v>May-2024</v>
      </c>
    </row>
    <row r="110" spans="1:10">
      <c r="A110">
        <v>109</v>
      </c>
      <c r="B110">
        <v>17511</v>
      </c>
      <c r="C110" t="s">
        <v>18</v>
      </c>
      <c r="D110">
        <v>173915.56</v>
      </c>
      <c r="E110" t="s">
        <v>16</v>
      </c>
      <c r="F110">
        <v>19</v>
      </c>
      <c r="G110" t="s">
        <v>25</v>
      </c>
      <c r="H110" s="1">
        <v>45557</v>
      </c>
      <c r="I110" s="1">
        <v>45576</v>
      </c>
      <c r="J110" t="str">
        <f t="shared" si="1"/>
        <v>Sep-2024</v>
      </c>
    </row>
    <row r="111" spans="1:10">
      <c r="A111">
        <v>110</v>
      </c>
      <c r="B111">
        <v>19965</v>
      </c>
      <c r="C111" t="s">
        <v>23</v>
      </c>
      <c r="D111">
        <v>178632.33</v>
      </c>
      <c r="E111" t="s">
        <v>16</v>
      </c>
      <c r="F111">
        <v>16</v>
      </c>
      <c r="G111" t="s">
        <v>17</v>
      </c>
      <c r="H111" s="1">
        <v>45493</v>
      </c>
      <c r="I111" s="1">
        <v>45509</v>
      </c>
      <c r="J111" t="str">
        <f t="shared" si="1"/>
        <v>Jul-2024</v>
      </c>
    </row>
    <row r="112" spans="1:10">
      <c r="A112">
        <v>111</v>
      </c>
      <c r="B112">
        <v>17508</v>
      </c>
      <c r="C112" t="s">
        <v>15</v>
      </c>
      <c r="D112">
        <v>57650.97</v>
      </c>
      <c r="E112" t="s">
        <v>16</v>
      </c>
      <c r="F112">
        <v>4</v>
      </c>
      <c r="G112" t="s">
        <v>20</v>
      </c>
      <c r="H112" s="1">
        <v>45443</v>
      </c>
      <c r="I112" s="1">
        <v>45447</v>
      </c>
      <c r="J112" t="str">
        <f t="shared" si="1"/>
        <v>May-2024</v>
      </c>
    </row>
    <row r="113" spans="1:10">
      <c r="A113">
        <v>112</v>
      </c>
      <c r="B113">
        <v>12653</v>
      </c>
      <c r="C113" t="s">
        <v>23</v>
      </c>
      <c r="D113">
        <v>11821.59</v>
      </c>
      <c r="E113" t="s">
        <v>16</v>
      </c>
      <c r="F113">
        <v>18</v>
      </c>
      <c r="G113" t="s">
        <v>17</v>
      </c>
      <c r="H113" s="1">
        <v>45513</v>
      </c>
      <c r="I113" s="1">
        <v>45531</v>
      </c>
      <c r="J113" t="str">
        <f t="shared" si="1"/>
        <v>Aug-2024</v>
      </c>
    </row>
    <row r="114" spans="1:10">
      <c r="A114">
        <v>113</v>
      </c>
      <c r="B114">
        <v>12570</v>
      </c>
      <c r="C114" t="s">
        <v>23</v>
      </c>
      <c r="D114">
        <v>55908.03</v>
      </c>
      <c r="E114" t="s">
        <v>24</v>
      </c>
      <c r="G114" t="s">
        <v>20</v>
      </c>
      <c r="H114" s="1">
        <v>45370</v>
      </c>
      <c r="J114" t="str">
        <f t="shared" si="1"/>
        <v>Mar-2024</v>
      </c>
    </row>
    <row r="115" spans="1:10">
      <c r="A115">
        <v>114</v>
      </c>
      <c r="B115">
        <v>15748</v>
      </c>
      <c r="C115" t="s">
        <v>18</v>
      </c>
      <c r="D115">
        <v>59347.93</v>
      </c>
      <c r="E115" t="s">
        <v>16</v>
      </c>
      <c r="F115">
        <v>35</v>
      </c>
      <c r="G115" t="s">
        <v>25</v>
      </c>
      <c r="H115" s="1">
        <v>45491</v>
      </c>
      <c r="I115" s="1">
        <v>45526</v>
      </c>
      <c r="J115" t="str">
        <f t="shared" si="1"/>
        <v>Jul-2024</v>
      </c>
    </row>
    <row r="116" spans="1:10">
      <c r="A116">
        <v>115</v>
      </c>
      <c r="B116">
        <v>10264</v>
      </c>
      <c r="C116" t="s">
        <v>23</v>
      </c>
      <c r="D116">
        <v>182325.26</v>
      </c>
      <c r="E116" t="s">
        <v>16</v>
      </c>
      <c r="F116">
        <v>31</v>
      </c>
      <c r="G116" t="s">
        <v>17</v>
      </c>
      <c r="H116" s="1">
        <v>45541</v>
      </c>
      <c r="I116" s="1">
        <v>45572</v>
      </c>
      <c r="J116" t="str">
        <f t="shared" si="1"/>
        <v>Sep-2024</v>
      </c>
    </row>
    <row r="117" spans="1:10">
      <c r="A117">
        <v>116</v>
      </c>
      <c r="B117">
        <v>13595</v>
      </c>
      <c r="C117" t="s">
        <v>23</v>
      </c>
      <c r="D117">
        <v>131602.32999999999</v>
      </c>
      <c r="E117" t="s">
        <v>16</v>
      </c>
      <c r="F117">
        <v>20</v>
      </c>
      <c r="G117" t="s">
        <v>20</v>
      </c>
      <c r="H117" s="1">
        <v>45390</v>
      </c>
      <c r="I117" s="1">
        <v>45410</v>
      </c>
      <c r="J117" t="str">
        <f t="shared" si="1"/>
        <v>Apr-2024</v>
      </c>
    </row>
    <row r="118" spans="1:10">
      <c r="A118">
        <v>117</v>
      </c>
      <c r="B118">
        <v>12034</v>
      </c>
      <c r="C118" t="s">
        <v>23</v>
      </c>
      <c r="D118">
        <v>20932.27</v>
      </c>
      <c r="E118" t="s">
        <v>16</v>
      </c>
      <c r="F118">
        <v>10</v>
      </c>
      <c r="G118" t="s">
        <v>21</v>
      </c>
      <c r="H118" s="1">
        <v>45504</v>
      </c>
      <c r="I118" s="1">
        <v>45514</v>
      </c>
      <c r="J118" t="str">
        <f t="shared" si="1"/>
        <v>Jul-2024</v>
      </c>
    </row>
    <row r="119" spans="1:10">
      <c r="A119">
        <v>118</v>
      </c>
      <c r="B119">
        <v>13202</v>
      </c>
      <c r="C119" t="s">
        <v>23</v>
      </c>
      <c r="D119">
        <v>31398.83</v>
      </c>
      <c r="E119" t="s">
        <v>19</v>
      </c>
      <c r="F119">
        <v>41</v>
      </c>
      <c r="G119" t="s">
        <v>25</v>
      </c>
      <c r="H119" s="1">
        <v>45434</v>
      </c>
      <c r="I119" s="1">
        <v>45475</v>
      </c>
      <c r="J119" t="str">
        <f t="shared" si="1"/>
        <v>May-2024</v>
      </c>
    </row>
    <row r="120" spans="1:10">
      <c r="A120">
        <v>119</v>
      </c>
      <c r="B120">
        <v>18573</v>
      </c>
      <c r="C120" t="s">
        <v>15</v>
      </c>
      <c r="D120">
        <v>35356.839999999997</v>
      </c>
      <c r="E120" t="s">
        <v>24</v>
      </c>
      <c r="G120" t="s">
        <v>20</v>
      </c>
      <c r="H120" s="1">
        <v>45481</v>
      </c>
      <c r="J120" t="str">
        <f t="shared" si="1"/>
        <v>Jul-2024</v>
      </c>
    </row>
    <row r="121" spans="1:10">
      <c r="A121">
        <v>120</v>
      </c>
      <c r="B121">
        <v>19358</v>
      </c>
      <c r="C121" t="s">
        <v>23</v>
      </c>
      <c r="D121">
        <v>127932.24</v>
      </c>
      <c r="E121" t="s">
        <v>16</v>
      </c>
      <c r="F121">
        <v>28</v>
      </c>
      <c r="G121" t="s">
        <v>21</v>
      </c>
      <c r="H121" s="1">
        <v>45592</v>
      </c>
      <c r="I121" s="1">
        <v>45620</v>
      </c>
      <c r="J121" t="str">
        <f t="shared" si="1"/>
        <v>Oct-2024</v>
      </c>
    </row>
    <row r="122" spans="1:10">
      <c r="A122">
        <v>121</v>
      </c>
      <c r="B122">
        <v>10388</v>
      </c>
      <c r="C122" t="s">
        <v>18</v>
      </c>
      <c r="D122">
        <v>148405.73000000001</v>
      </c>
      <c r="E122" t="s">
        <v>19</v>
      </c>
      <c r="F122">
        <v>26</v>
      </c>
      <c r="G122" t="s">
        <v>20</v>
      </c>
      <c r="H122" s="1">
        <v>45343</v>
      </c>
      <c r="I122" s="1">
        <v>45369</v>
      </c>
      <c r="J122" t="str">
        <f t="shared" si="1"/>
        <v>Feb-2024</v>
      </c>
    </row>
    <row r="123" spans="1:10">
      <c r="A123">
        <v>122</v>
      </c>
      <c r="B123">
        <v>16197</v>
      </c>
      <c r="C123" t="s">
        <v>15</v>
      </c>
      <c r="D123">
        <v>172630.56</v>
      </c>
      <c r="E123" t="s">
        <v>16</v>
      </c>
      <c r="F123">
        <v>8</v>
      </c>
      <c r="G123" t="s">
        <v>21</v>
      </c>
      <c r="H123" s="1">
        <v>45403</v>
      </c>
      <c r="I123" s="1">
        <v>45411</v>
      </c>
      <c r="J123" t="str">
        <f t="shared" si="1"/>
        <v>Apr-2024</v>
      </c>
    </row>
    <row r="124" spans="1:10">
      <c r="A124">
        <v>123</v>
      </c>
      <c r="B124">
        <v>12071</v>
      </c>
      <c r="C124" t="s">
        <v>23</v>
      </c>
      <c r="D124">
        <v>188424.13</v>
      </c>
      <c r="E124" t="s">
        <v>16</v>
      </c>
      <c r="F124">
        <v>8</v>
      </c>
      <c r="G124" t="s">
        <v>25</v>
      </c>
      <c r="H124" s="1">
        <v>45426</v>
      </c>
      <c r="I124" s="1">
        <v>45434</v>
      </c>
      <c r="J124" t="str">
        <f t="shared" si="1"/>
        <v>May-2024</v>
      </c>
    </row>
    <row r="125" spans="1:10">
      <c r="A125">
        <v>124</v>
      </c>
      <c r="B125">
        <v>18586</v>
      </c>
      <c r="C125" t="s">
        <v>22</v>
      </c>
      <c r="D125">
        <v>44332.39</v>
      </c>
      <c r="E125" t="s">
        <v>16</v>
      </c>
      <c r="F125">
        <v>21</v>
      </c>
      <c r="G125" t="s">
        <v>17</v>
      </c>
      <c r="H125" s="1">
        <v>45403</v>
      </c>
      <c r="I125" s="1">
        <v>45424</v>
      </c>
      <c r="J125" t="str">
        <f t="shared" si="1"/>
        <v>Apr-2024</v>
      </c>
    </row>
    <row r="126" spans="1:10">
      <c r="A126">
        <v>125</v>
      </c>
      <c r="B126">
        <v>17840</v>
      </c>
      <c r="C126" t="s">
        <v>23</v>
      </c>
      <c r="D126">
        <v>65405.63</v>
      </c>
      <c r="E126" t="s">
        <v>16</v>
      </c>
      <c r="F126">
        <v>44</v>
      </c>
      <c r="G126" t="s">
        <v>21</v>
      </c>
      <c r="H126" s="1">
        <v>45304</v>
      </c>
      <c r="I126" s="1">
        <v>45348</v>
      </c>
      <c r="J126" t="str">
        <f t="shared" si="1"/>
        <v>Jan-2024</v>
      </c>
    </row>
    <row r="127" spans="1:10">
      <c r="A127">
        <v>126</v>
      </c>
      <c r="B127">
        <v>13256</v>
      </c>
      <c r="C127" t="s">
        <v>22</v>
      </c>
      <c r="D127">
        <v>51862.96</v>
      </c>
      <c r="E127" t="s">
        <v>16</v>
      </c>
      <c r="F127">
        <v>37</v>
      </c>
      <c r="G127" t="s">
        <v>20</v>
      </c>
      <c r="H127" s="1">
        <v>45564</v>
      </c>
      <c r="I127" s="1">
        <v>45601</v>
      </c>
      <c r="J127" t="str">
        <f t="shared" si="1"/>
        <v>Sep-2024</v>
      </c>
    </row>
    <row r="128" spans="1:10">
      <c r="A128">
        <v>127</v>
      </c>
      <c r="B128">
        <v>14019</v>
      </c>
      <c r="C128" t="s">
        <v>23</v>
      </c>
      <c r="D128">
        <v>74958.509999999995</v>
      </c>
      <c r="E128" t="s">
        <v>19</v>
      </c>
      <c r="F128">
        <v>20</v>
      </c>
      <c r="G128" t="s">
        <v>25</v>
      </c>
      <c r="H128" s="1">
        <v>45524</v>
      </c>
      <c r="I128" s="1">
        <v>45544</v>
      </c>
      <c r="J128" t="str">
        <f t="shared" si="1"/>
        <v>Aug-2024</v>
      </c>
    </row>
    <row r="129" spans="1:10">
      <c r="A129">
        <v>128</v>
      </c>
      <c r="B129">
        <v>16058</v>
      </c>
      <c r="C129" t="s">
        <v>18</v>
      </c>
      <c r="D129">
        <v>183359.7</v>
      </c>
      <c r="E129" t="s">
        <v>16</v>
      </c>
      <c r="F129">
        <v>3</v>
      </c>
      <c r="G129" t="s">
        <v>21</v>
      </c>
      <c r="H129" s="1">
        <v>45335</v>
      </c>
      <c r="I129" s="1">
        <v>45338</v>
      </c>
      <c r="J129" t="str">
        <f t="shared" si="1"/>
        <v>Feb-2024</v>
      </c>
    </row>
    <row r="130" spans="1:10">
      <c r="A130">
        <v>129</v>
      </c>
      <c r="B130">
        <v>16630</v>
      </c>
      <c r="C130" t="s">
        <v>23</v>
      </c>
      <c r="D130">
        <v>117146.95</v>
      </c>
      <c r="E130" t="s">
        <v>24</v>
      </c>
      <c r="G130" t="s">
        <v>20</v>
      </c>
      <c r="H130" s="1">
        <v>45364</v>
      </c>
      <c r="J130" t="str">
        <f t="shared" si="1"/>
        <v>Mar-2024</v>
      </c>
    </row>
    <row r="131" spans="1:10">
      <c r="A131">
        <v>130</v>
      </c>
      <c r="B131">
        <v>12859</v>
      </c>
      <c r="C131" t="s">
        <v>23</v>
      </c>
      <c r="D131">
        <v>148947.42000000001</v>
      </c>
      <c r="E131" t="s">
        <v>19</v>
      </c>
      <c r="F131">
        <v>18</v>
      </c>
      <c r="G131" t="s">
        <v>20</v>
      </c>
      <c r="H131" s="1">
        <v>45552</v>
      </c>
      <c r="I131" s="1">
        <v>45570</v>
      </c>
      <c r="J131" t="str">
        <f t="shared" ref="J131:J194" si="2">TEXT(H131,"mmm-yyyy")</f>
        <v>Sep-2024</v>
      </c>
    </row>
    <row r="132" spans="1:10">
      <c r="A132">
        <v>131</v>
      </c>
      <c r="B132">
        <v>12393</v>
      </c>
      <c r="C132" t="s">
        <v>18</v>
      </c>
      <c r="D132">
        <v>100573.25</v>
      </c>
      <c r="E132" t="s">
        <v>16</v>
      </c>
      <c r="F132">
        <v>25</v>
      </c>
      <c r="G132" t="s">
        <v>20</v>
      </c>
      <c r="H132" s="1">
        <v>45522</v>
      </c>
      <c r="I132" s="1">
        <v>45547</v>
      </c>
      <c r="J132" t="str">
        <f t="shared" si="2"/>
        <v>Aug-2024</v>
      </c>
    </row>
    <row r="133" spans="1:10">
      <c r="A133">
        <v>132</v>
      </c>
      <c r="B133">
        <v>16819</v>
      </c>
      <c r="C133" t="s">
        <v>18</v>
      </c>
      <c r="D133">
        <v>10627.29</v>
      </c>
      <c r="E133" t="s">
        <v>16</v>
      </c>
      <c r="F133">
        <v>10</v>
      </c>
      <c r="G133" t="s">
        <v>21</v>
      </c>
      <c r="H133" s="1">
        <v>45324</v>
      </c>
      <c r="I133" s="1">
        <v>45334</v>
      </c>
      <c r="J133" t="str">
        <f t="shared" si="2"/>
        <v>Feb-2024</v>
      </c>
    </row>
    <row r="134" spans="1:10">
      <c r="A134">
        <v>133</v>
      </c>
      <c r="B134">
        <v>16071</v>
      </c>
      <c r="C134" t="s">
        <v>23</v>
      </c>
      <c r="D134">
        <v>17518.12</v>
      </c>
      <c r="E134" t="s">
        <v>16</v>
      </c>
      <c r="F134">
        <v>2</v>
      </c>
      <c r="G134" t="s">
        <v>21</v>
      </c>
      <c r="H134" s="1">
        <v>45359</v>
      </c>
      <c r="I134" s="1">
        <v>45361</v>
      </c>
      <c r="J134" t="str">
        <f t="shared" si="2"/>
        <v>Mar-2024</v>
      </c>
    </row>
    <row r="135" spans="1:10">
      <c r="A135">
        <v>134</v>
      </c>
      <c r="B135">
        <v>12050</v>
      </c>
      <c r="C135" t="s">
        <v>23</v>
      </c>
      <c r="D135">
        <v>109894.99</v>
      </c>
      <c r="E135" t="s">
        <v>24</v>
      </c>
      <c r="G135" t="s">
        <v>21</v>
      </c>
      <c r="H135" s="1">
        <v>45307</v>
      </c>
      <c r="J135" t="str">
        <f t="shared" si="2"/>
        <v>Jan-2024</v>
      </c>
    </row>
    <row r="136" spans="1:10">
      <c r="A136">
        <v>135</v>
      </c>
      <c r="B136">
        <v>13121</v>
      </c>
      <c r="C136" t="s">
        <v>18</v>
      </c>
      <c r="D136">
        <v>145163.85999999999</v>
      </c>
      <c r="E136" t="s">
        <v>16</v>
      </c>
      <c r="F136">
        <v>29</v>
      </c>
      <c r="G136" t="s">
        <v>17</v>
      </c>
      <c r="H136" s="1">
        <v>45441</v>
      </c>
      <c r="I136" s="1">
        <v>45470</v>
      </c>
      <c r="J136" t="str">
        <f t="shared" si="2"/>
        <v>May-2024</v>
      </c>
    </row>
    <row r="137" spans="1:10">
      <c r="A137">
        <v>136</v>
      </c>
      <c r="B137">
        <v>19116</v>
      </c>
      <c r="C137" t="s">
        <v>18</v>
      </c>
      <c r="D137">
        <v>46989.45</v>
      </c>
      <c r="E137" t="s">
        <v>16</v>
      </c>
      <c r="F137">
        <v>16</v>
      </c>
      <c r="G137" t="s">
        <v>21</v>
      </c>
      <c r="H137" s="1">
        <v>45583</v>
      </c>
      <c r="I137" s="1">
        <v>45599</v>
      </c>
      <c r="J137" t="str">
        <f t="shared" si="2"/>
        <v>Oct-2024</v>
      </c>
    </row>
    <row r="138" spans="1:10">
      <c r="A138">
        <v>137</v>
      </c>
      <c r="B138">
        <v>14971</v>
      </c>
      <c r="C138" t="s">
        <v>22</v>
      </c>
      <c r="D138">
        <v>145772.37</v>
      </c>
      <c r="E138" t="s">
        <v>16</v>
      </c>
      <c r="F138">
        <v>22</v>
      </c>
      <c r="G138" t="s">
        <v>21</v>
      </c>
      <c r="H138" s="1">
        <v>45393</v>
      </c>
      <c r="I138" s="1">
        <v>45415</v>
      </c>
      <c r="J138" t="str">
        <f t="shared" si="2"/>
        <v>Apr-2024</v>
      </c>
    </row>
    <row r="139" spans="1:10">
      <c r="A139">
        <v>138</v>
      </c>
      <c r="B139">
        <v>17695</v>
      </c>
      <c r="C139" t="s">
        <v>18</v>
      </c>
      <c r="D139">
        <v>163079.82999999999</v>
      </c>
      <c r="E139" t="s">
        <v>16</v>
      </c>
      <c r="F139">
        <v>16</v>
      </c>
      <c r="G139" t="s">
        <v>21</v>
      </c>
      <c r="H139" s="1">
        <v>45477</v>
      </c>
      <c r="I139" s="1">
        <v>45493</v>
      </c>
      <c r="J139" t="str">
        <f t="shared" si="2"/>
        <v>Jul-2024</v>
      </c>
    </row>
    <row r="140" spans="1:10">
      <c r="A140">
        <v>139</v>
      </c>
      <c r="B140">
        <v>13354</v>
      </c>
      <c r="C140" t="s">
        <v>22</v>
      </c>
      <c r="D140">
        <v>85320.01</v>
      </c>
      <c r="E140" t="s">
        <v>16</v>
      </c>
      <c r="F140">
        <v>24</v>
      </c>
      <c r="G140" t="s">
        <v>17</v>
      </c>
      <c r="H140" s="1">
        <v>45316</v>
      </c>
      <c r="I140" s="1">
        <v>45340</v>
      </c>
      <c r="J140" t="str">
        <f t="shared" si="2"/>
        <v>Jan-2024</v>
      </c>
    </row>
    <row r="141" spans="1:10">
      <c r="A141">
        <v>140</v>
      </c>
      <c r="B141">
        <v>14474</v>
      </c>
      <c r="C141" t="s">
        <v>18</v>
      </c>
      <c r="D141">
        <v>150551.75</v>
      </c>
      <c r="E141" t="s">
        <v>16</v>
      </c>
      <c r="F141">
        <v>3</v>
      </c>
      <c r="G141" t="s">
        <v>21</v>
      </c>
      <c r="H141" s="1">
        <v>45363</v>
      </c>
      <c r="I141" s="1">
        <v>45366</v>
      </c>
      <c r="J141" t="str">
        <f t="shared" si="2"/>
        <v>Mar-2024</v>
      </c>
    </row>
    <row r="142" spans="1:10">
      <c r="A142">
        <v>141</v>
      </c>
      <c r="B142">
        <v>13397</v>
      </c>
      <c r="C142" t="s">
        <v>23</v>
      </c>
      <c r="D142">
        <v>83785.84</v>
      </c>
      <c r="E142" t="s">
        <v>16</v>
      </c>
      <c r="F142">
        <v>37</v>
      </c>
      <c r="G142" t="s">
        <v>20</v>
      </c>
      <c r="H142" s="1">
        <v>45372</v>
      </c>
      <c r="I142" s="1">
        <v>45409</v>
      </c>
      <c r="J142" t="str">
        <f t="shared" si="2"/>
        <v>Mar-2024</v>
      </c>
    </row>
    <row r="143" spans="1:10">
      <c r="A143">
        <v>142</v>
      </c>
      <c r="B143">
        <v>15417</v>
      </c>
      <c r="C143" t="s">
        <v>23</v>
      </c>
      <c r="D143">
        <v>137278.37</v>
      </c>
      <c r="E143" t="s">
        <v>16</v>
      </c>
      <c r="F143">
        <v>10</v>
      </c>
      <c r="G143" t="s">
        <v>21</v>
      </c>
      <c r="H143" s="1">
        <v>45352</v>
      </c>
      <c r="I143" s="1">
        <v>45362</v>
      </c>
      <c r="J143" t="str">
        <f t="shared" si="2"/>
        <v>Mar-2024</v>
      </c>
    </row>
    <row r="144" spans="1:10">
      <c r="A144">
        <v>143</v>
      </c>
      <c r="B144">
        <v>13768</v>
      </c>
      <c r="C144" t="s">
        <v>18</v>
      </c>
      <c r="D144">
        <v>153979.42000000001</v>
      </c>
      <c r="E144" t="s">
        <v>16</v>
      </c>
      <c r="F144">
        <v>3</v>
      </c>
      <c r="G144" t="s">
        <v>20</v>
      </c>
      <c r="H144" s="1">
        <v>45309</v>
      </c>
      <c r="I144" s="1">
        <v>45312</v>
      </c>
      <c r="J144" t="str">
        <f t="shared" si="2"/>
        <v>Jan-2024</v>
      </c>
    </row>
    <row r="145" spans="1:10">
      <c r="A145">
        <v>144</v>
      </c>
      <c r="B145">
        <v>16281</v>
      </c>
      <c r="C145" t="s">
        <v>18</v>
      </c>
      <c r="D145">
        <v>198425.69</v>
      </c>
      <c r="E145" t="s">
        <v>16</v>
      </c>
      <c r="F145">
        <v>3</v>
      </c>
      <c r="G145" t="s">
        <v>20</v>
      </c>
      <c r="H145" s="1">
        <v>45533</v>
      </c>
      <c r="I145" s="1">
        <v>45536</v>
      </c>
      <c r="J145" t="str">
        <f t="shared" si="2"/>
        <v>Aug-2024</v>
      </c>
    </row>
    <row r="146" spans="1:10">
      <c r="A146">
        <v>145</v>
      </c>
      <c r="B146">
        <v>12981</v>
      </c>
      <c r="C146" t="s">
        <v>23</v>
      </c>
      <c r="D146">
        <v>72352.350000000006</v>
      </c>
      <c r="E146" t="s">
        <v>16</v>
      </c>
      <c r="F146">
        <v>19</v>
      </c>
      <c r="G146" t="s">
        <v>20</v>
      </c>
      <c r="H146" s="1">
        <v>45349</v>
      </c>
      <c r="I146" s="1">
        <v>45368</v>
      </c>
      <c r="J146" t="str">
        <f t="shared" si="2"/>
        <v>Feb-2024</v>
      </c>
    </row>
    <row r="147" spans="1:10">
      <c r="A147">
        <v>146</v>
      </c>
      <c r="B147">
        <v>15521</v>
      </c>
      <c r="C147" t="s">
        <v>23</v>
      </c>
      <c r="D147">
        <v>85152.95</v>
      </c>
      <c r="E147" t="s">
        <v>16</v>
      </c>
      <c r="F147">
        <v>18</v>
      </c>
      <c r="G147" t="s">
        <v>17</v>
      </c>
      <c r="H147" s="1">
        <v>45623</v>
      </c>
      <c r="I147" s="1">
        <v>45641</v>
      </c>
      <c r="J147" t="str">
        <f t="shared" si="2"/>
        <v>Nov-2024</v>
      </c>
    </row>
    <row r="148" spans="1:10">
      <c r="A148">
        <v>147</v>
      </c>
      <c r="B148">
        <v>13472</v>
      </c>
      <c r="C148" t="s">
        <v>22</v>
      </c>
      <c r="D148">
        <v>37295.910000000003</v>
      </c>
      <c r="E148" t="s">
        <v>16</v>
      </c>
      <c r="F148">
        <v>42</v>
      </c>
      <c r="G148" t="s">
        <v>17</v>
      </c>
      <c r="H148" s="1">
        <v>45348</v>
      </c>
      <c r="I148" s="1">
        <v>45390</v>
      </c>
      <c r="J148" t="str">
        <f t="shared" si="2"/>
        <v>Feb-2024</v>
      </c>
    </row>
    <row r="149" spans="1:10">
      <c r="A149">
        <v>148</v>
      </c>
      <c r="B149">
        <v>12617</v>
      </c>
      <c r="C149" t="s">
        <v>18</v>
      </c>
      <c r="D149">
        <v>44794.25</v>
      </c>
      <c r="E149" t="s">
        <v>16</v>
      </c>
      <c r="F149">
        <v>9</v>
      </c>
      <c r="G149" t="s">
        <v>17</v>
      </c>
      <c r="H149" s="1">
        <v>45388</v>
      </c>
      <c r="I149" s="1">
        <v>45397</v>
      </c>
      <c r="J149" t="str">
        <f t="shared" si="2"/>
        <v>Apr-2024</v>
      </c>
    </row>
    <row r="150" spans="1:10">
      <c r="A150">
        <v>149</v>
      </c>
      <c r="B150">
        <v>15481</v>
      </c>
      <c r="C150" t="s">
        <v>23</v>
      </c>
      <c r="D150">
        <v>140212.03</v>
      </c>
      <c r="E150" t="s">
        <v>16</v>
      </c>
      <c r="F150">
        <v>35</v>
      </c>
      <c r="G150" t="s">
        <v>21</v>
      </c>
      <c r="H150" s="1">
        <v>45506</v>
      </c>
      <c r="I150" s="1">
        <v>45541</v>
      </c>
      <c r="J150" t="str">
        <f t="shared" si="2"/>
        <v>Aug-2024</v>
      </c>
    </row>
    <row r="151" spans="1:10">
      <c r="A151">
        <v>150</v>
      </c>
      <c r="B151">
        <v>16209</v>
      </c>
      <c r="C151" t="s">
        <v>23</v>
      </c>
      <c r="D151">
        <v>183823.89</v>
      </c>
      <c r="E151" t="s">
        <v>16</v>
      </c>
      <c r="F151">
        <v>35</v>
      </c>
      <c r="G151" t="s">
        <v>20</v>
      </c>
      <c r="H151" s="1">
        <v>45610</v>
      </c>
      <c r="I151" s="1">
        <v>45645</v>
      </c>
      <c r="J151" t="str">
        <f t="shared" si="2"/>
        <v>Nov-2024</v>
      </c>
    </row>
    <row r="152" spans="1:10">
      <c r="A152">
        <v>151</v>
      </c>
      <c r="B152">
        <v>13499</v>
      </c>
      <c r="C152" t="s">
        <v>23</v>
      </c>
      <c r="D152">
        <v>81947.97</v>
      </c>
      <c r="E152" t="s">
        <v>16</v>
      </c>
      <c r="F152">
        <v>6</v>
      </c>
      <c r="G152" t="s">
        <v>17</v>
      </c>
      <c r="H152" s="1">
        <v>45303</v>
      </c>
      <c r="I152" s="1">
        <v>45309</v>
      </c>
      <c r="J152" t="str">
        <f t="shared" si="2"/>
        <v>Jan-2024</v>
      </c>
    </row>
    <row r="153" spans="1:10">
      <c r="A153">
        <v>152</v>
      </c>
      <c r="B153">
        <v>16995</v>
      </c>
      <c r="C153" t="s">
        <v>23</v>
      </c>
      <c r="D153">
        <v>40069.67</v>
      </c>
      <c r="E153" t="s">
        <v>16</v>
      </c>
      <c r="F153">
        <v>30</v>
      </c>
      <c r="G153" t="s">
        <v>17</v>
      </c>
      <c r="H153" s="1">
        <v>45302</v>
      </c>
      <c r="I153" s="1">
        <v>45332</v>
      </c>
      <c r="J153" t="str">
        <f t="shared" si="2"/>
        <v>Jan-2024</v>
      </c>
    </row>
    <row r="154" spans="1:10">
      <c r="A154">
        <v>153</v>
      </c>
      <c r="B154">
        <v>17881</v>
      </c>
      <c r="C154" t="s">
        <v>23</v>
      </c>
      <c r="D154">
        <v>60594.400000000001</v>
      </c>
      <c r="E154" t="s">
        <v>16</v>
      </c>
      <c r="F154">
        <v>29</v>
      </c>
      <c r="G154" t="s">
        <v>21</v>
      </c>
      <c r="H154" s="1">
        <v>45454</v>
      </c>
      <c r="I154" s="1">
        <v>45483</v>
      </c>
      <c r="J154" t="str">
        <f t="shared" si="2"/>
        <v>Jun-2024</v>
      </c>
    </row>
    <row r="155" spans="1:10">
      <c r="A155">
        <v>154</v>
      </c>
      <c r="B155">
        <v>13592</v>
      </c>
      <c r="C155" t="s">
        <v>23</v>
      </c>
      <c r="D155">
        <v>93735.08</v>
      </c>
      <c r="E155" t="s">
        <v>19</v>
      </c>
      <c r="F155">
        <v>17</v>
      </c>
      <c r="G155" t="s">
        <v>17</v>
      </c>
      <c r="H155" s="1">
        <v>45574</v>
      </c>
      <c r="I155" s="1">
        <v>45591</v>
      </c>
      <c r="J155" t="str">
        <f t="shared" si="2"/>
        <v>Oct-2024</v>
      </c>
    </row>
    <row r="156" spans="1:10">
      <c r="A156">
        <v>155</v>
      </c>
      <c r="B156">
        <v>18623</v>
      </c>
      <c r="C156" t="s">
        <v>18</v>
      </c>
      <c r="D156">
        <v>61676.81</v>
      </c>
      <c r="E156" t="s">
        <v>19</v>
      </c>
      <c r="F156">
        <v>15</v>
      </c>
      <c r="G156" t="s">
        <v>21</v>
      </c>
      <c r="H156" s="1">
        <v>45508</v>
      </c>
      <c r="I156" s="1">
        <v>45523</v>
      </c>
      <c r="J156" t="str">
        <f t="shared" si="2"/>
        <v>Aug-2024</v>
      </c>
    </row>
    <row r="157" spans="1:10">
      <c r="A157">
        <v>156</v>
      </c>
      <c r="B157">
        <v>16054</v>
      </c>
      <c r="C157" t="s">
        <v>23</v>
      </c>
      <c r="D157">
        <v>50547.92</v>
      </c>
      <c r="E157" t="s">
        <v>19</v>
      </c>
      <c r="F157">
        <v>3</v>
      </c>
      <c r="G157" t="s">
        <v>25</v>
      </c>
      <c r="H157" s="1">
        <v>45651</v>
      </c>
      <c r="I157" s="1">
        <v>45654</v>
      </c>
      <c r="J157" t="str">
        <f t="shared" si="2"/>
        <v>Dec-2024</v>
      </c>
    </row>
    <row r="158" spans="1:10">
      <c r="A158">
        <v>157</v>
      </c>
      <c r="B158">
        <v>17272</v>
      </c>
      <c r="C158" t="s">
        <v>15</v>
      </c>
      <c r="D158">
        <v>148516.98000000001</v>
      </c>
      <c r="E158" t="s">
        <v>19</v>
      </c>
      <c r="F158">
        <v>41</v>
      </c>
      <c r="G158" t="s">
        <v>17</v>
      </c>
      <c r="H158" s="1">
        <v>45614</v>
      </c>
      <c r="I158" s="1">
        <v>45655</v>
      </c>
      <c r="J158" t="str">
        <f t="shared" si="2"/>
        <v>Nov-2024</v>
      </c>
    </row>
    <row r="159" spans="1:10">
      <c r="A159">
        <v>158</v>
      </c>
      <c r="B159">
        <v>19304</v>
      </c>
      <c r="C159" t="s">
        <v>15</v>
      </c>
      <c r="D159">
        <v>6529.76</v>
      </c>
      <c r="E159" t="s">
        <v>16</v>
      </c>
      <c r="F159">
        <v>5</v>
      </c>
      <c r="G159" t="s">
        <v>25</v>
      </c>
      <c r="H159" s="1">
        <v>45532</v>
      </c>
      <c r="I159" s="1">
        <v>45537</v>
      </c>
      <c r="J159" t="str">
        <f t="shared" si="2"/>
        <v>Aug-2024</v>
      </c>
    </row>
    <row r="160" spans="1:10">
      <c r="A160">
        <v>159</v>
      </c>
      <c r="B160">
        <v>14696</v>
      </c>
      <c r="C160" t="s">
        <v>23</v>
      </c>
      <c r="D160">
        <v>110149.95</v>
      </c>
      <c r="E160" t="s">
        <v>16</v>
      </c>
      <c r="F160">
        <v>42</v>
      </c>
      <c r="G160" t="s">
        <v>21</v>
      </c>
      <c r="H160" s="1">
        <v>45636</v>
      </c>
      <c r="I160" s="1">
        <v>45678</v>
      </c>
      <c r="J160" t="str">
        <f t="shared" si="2"/>
        <v>Dec-2024</v>
      </c>
    </row>
    <row r="161" spans="1:10">
      <c r="A161">
        <v>160</v>
      </c>
      <c r="B161">
        <v>17546</v>
      </c>
      <c r="C161" t="s">
        <v>18</v>
      </c>
      <c r="D161">
        <v>159784.53</v>
      </c>
      <c r="E161" t="s">
        <v>16</v>
      </c>
      <c r="F161">
        <v>32</v>
      </c>
      <c r="G161" t="s">
        <v>20</v>
      </c>
      <c r="H161" s="1">
        <v>45336</v>
      </c>
      <c r="I161" s="1">
        <v>45368</v>
      </c>
      <c r="J161" t="str">
        <f t="shared" si="2"/>
        <v>Feb-2024</v>
      </c>
    </row>
    <row r="162" spans="1:10">
      <c r="A162">
        <v>161</v>
      </c>
      <c r="B162">
        <v>16473</v>
      </c>
      <c r="C162" t="s">
        <v>23</v>
      </c>
      <c r="D162">
        <v>56914.52</v>
      </c>
      <c r="E162" t="s">
        <v>16</v>
      </c>
      <c r="F162">
        <v>27</v>
      </c>
      <c r="G162" t="s">
        <v>17</v>
      </c>
      <c r="H162" s="1">
        <v>45372</v>
      </c>
      <c r="I162" s="1">
        <v>45399</v>
      </c>
      <c r="J162" t="str">
        <f t="shared" si="2"/>
        <v>Mar-2024</v>
      </c>
    </row>
    <row r="163" spans="1:10">
      <c r="A163">
        <v>162</v>
      </c>
      <c r="B163">
        <v>15222</v>
      </c>
      <c r="C163" t="s">
        <v>15</v>
      </c>
      <c r="D163">
        <v>122641.84</v>
      </c>
      <c r="E163" t="s">
        <v>16</v>
      </c>
      <c r="F163">
        <v>28</v>
      </c>
      <c r="G163" t="s">
        <v>21</v>
      </c>
      <c r="H163" s="1">
        <v>45546</v>
      </c>
      <c r="I163" s="1">
        <v>45574</v>
      </c>
      <c r="J163" t="str">
        <f t="shared" si="2"/>
        <v>Sep-2024</v>
      </c>
    </row>
    <row r="164" spans="1:10">
      <c r="A164">
        <v>163</v>
      </c>
      <c r="B164">
        <v>12449</v>
      </c>
      <c r="C164" t="s">
        <v>23</v>
      </c>
      <c r="D164">
        <v>135435.51999999999</v>
      </c>
      <c r="E164" t="s">
        <v>19</v>
      </c>
      <c r="F164">
        <v>35</v>
      </c>
      <c r="G164" t="s">
        <v>20</v>
      </c>
      <c r="H164" s="1">
        <v>45358</v>
      </c>
      <c r="I164" s="1">
        <v>45393</v>
      </c>
      <c r="J164" t="str">
        <f t="shared" si="2"/>
        <v>Mar-2024</v>
      </c>
    </row>
    <row r="165" spans="1:10">
      <c r="A165">
        <v>164</v>
      </c>
      <c r="B165">
        <v>15802</v>
      </c>
      <c r="C165" t="s">
        <v>18</v>
      </c>
      <c r="D165">
        <v>132729.82</v>
      </c>
      <c r="E165" t="s">
        <v>16</v>
      </c>
      <c r="F165">
        <v>32</v>
      </c>
      <c r="G165" t="s">
        <v>20</v>
      </c>
      <c r="H165" s="1">
        <v>45393</v>
      </c>
      <c r="I165" s="1">
        <v>45425</v>
      </c>
      <c r="J165" t="str">
        <f t="shared" si="2"/>
        <v>Apr-2024</v>
      </c>
    </row>
    <row r="166" spans="1:10">
      <c r="A166">
        <v>165</v>
      </c>
      <c r="B166">
        <v>10544</v>
      </c>
      <c r="C166" t="s">
        <v>18</v>
      </c>
      <c r="D166">
        <v>91940.68</v>
      </c>
      <c r="E166" t="s">
        <v>16</v>
      </c>
      <c r="F166">
        <v>12</v>
      </c>
      <c r="G166" t="s">
        <v>25</v>
      </c>
      <c r="H166" s="1">
        <v>45382</v>
      </c>
      <c r="I166" s="1">
        <v>45394</v>
      </c>
      <c r="J166" t="str">
        <f t="shared" si="2"/>
        <v>Mar-2024</v>
      </c>
    </row>
    <row r="167" spans="1:10">
      <c r="A167">
        <v>166</v>
      </c>
      <c r="B167">
        <v>16652</v>
      </c>
      <c r="C167" t="s">
        <v>23</v>
      </c>
      <c r="D167">
        <v>72582.710000000006</v>
      </c>
      <c r="E167" t="s">
        <v>16</v>
      </c>
      <c r="F167">
        <v>9</v>
      </c>
      <c r="G167" t="s">
        <v>21</v>
      </c>
      <c r="H167" s="1">
        <v>45333</v>
      </c>
      <c r="I167" s="1">
        <v>45342</v>
      </c>
      <c r="J167" t="str">
        <f t="shared" si="2"/>
        <v>Feb-2024</v>
      </c>
    </row>
    <row r="168" spans="1:10">
      <c r="A168">
        <v>167</v>
      </c>
      <c r="B168">
        <v>16327</v>
      </c>
      <c r="C168" t="s">
        <v>23</v>
      </c>
      <c r="D168">
        <v>168005.19</v>
      </c>
      <c r="E168" t="s">
        <v>16</v>
      </c>
      <c r="F168">
        <v>13</v>
      </c>
      <c r="G168" t="s">
        <v>20</v>
      </c>
      <c r="H168" s="1">
        <v>45567</v>
      </c>
      <c r="I168" s="1">
        <v>45580</v>
      </c>
      <c r="J168" t="str">
        <f t="shared" si="2"/>
        <v>Oct-2024</v>
      </c>
    </row>
    <row r="169" spans="1:10">
      <c r="A169">
        <v>168</v>
      </c>
      <c r="B169">
        <v>17058</v>
      </c>
      <c r="C169" t="s">
        <v>18</v>
      </c>
      <c r="D169">
        <v>152896.95999999999</v>
      </c>
      <c r="E169" t="s">
        <v>16</v>
      </c>
      <c r="F169">
        <v>36</v>
      </c>
      <c r="G169" t="s">
        <v>17</v>
      </c>
      <c r="H169" s="1">
        <v>45595</v>
      </c>
      <c r="I169" s="1">
        <v>45631</v>
      </c>
      <c r="J169" t="str">
        <f t="shared" si="2"/>
        <v>Oct-2024</v>
      </c>
    </row>
    <row r="170" spans="1:10">
      <c r="A170">
        <v>169</v>
      </c>
      <c r="B170">
        <v>12628</v>
      </c>
      <c r="C170" t="s">
        <v>18</v>
      </c>
      <c r="D170">
        <v>67644.759999999995</v>
      </c>
      <c r="E170" t="s">
        <v>19</v>
      </c>
      <c r="F170">
        <v>35</v>
      </c>
      <c r="G170" t="s">
        <v>17</v>
      </c>
      <c r="H170" s="1">
        <v>45565</v>
      </c>
      <c r="I170" s="1">
        <v>45600</v>
      </c>
      <c r="J170" t="str">
        <f t="shared" si="2"/>
        <v>Sep-2024</v>
      </c>
    </row>
    <row r="171" spans="1:10">
      <c r="A171">
        <v>170</v>
      </c>
      <c r="B171">
        <v>13451</v>
      </c>
      <c r="C171" t="s">
        <v>23</v>
      </c>
      <c r="D171">
        <v>25088.74</v>
      </c>
      <c r="E171" t="s">
        <v>16</v>
      </c>
      <c r="F171">
        <v>14</v>
      </c>
      <c r="G171" t="s">
        <v>25</v>
      </c>
      <c r="H171" s="1">
        <v>45368</v>
      </c>
      <c r="I171" s="1">
        <v>45382</v>
      </c>
      <c r="J171" t="str">
        <f t="shared" si="2"/>
        <v>Mar-2024</v>
      </c>
    </row>
    <row r="172" spans="1:10">
      <c r="A172">
        <v>171</v>
      </c>
      <c r="B172">
        <v>18729</v>
      </c>
      <c r="C172" t="s">
        <v>18</v>
      </c>
      <c r="D172">
        <v>19002.47</v>
      </c>
      <c r="E172" t="s">
        <v>19</v>
      </c>
      <c r="F172">
        <v>28</v>
      </c>
      <c r="G172" t="s">
        <v>20</v>
      </c>
      <c r="H172" s="1">
        <v>45525</v>
      </c>
      <c r="I172" s="1">
        <v>45553</v>
      </c>
      <c r="J172" t="str">
        <f t="shared" si="2"/>
        <v>Aug-2024</v>
      </c>
    </row>
    <row r="173" spans="1:10">
      <c r="A173">
        <v>172</v>
      </c>
      <c r="B173">
        <v>11436</v>
      </c>
      <c r="C173" t="s">
        <v>23</v>
      </c>
      <c r="D173">
        <v>23383.82</v>
      </c>
      <c r="E173" t="s">
        <v>16</v>
      </c>
      <c r="F173">
        <v>9</v>
      </c>
      <c r="G173" t="s">
        <v>21</v>
      </c>
      <c r="H173" s="1">
        <v>45493</v>
      </c>
      <c r="I173" s="1">
        <v>45502</v>
      </c>
      <c r="J173" t="str">
        <f t="shared" si="2"/>
        <v>Jul-2024</v>
      </c>
    </row>
    <row r="174" spans="1:10">
      <c r="A174">
        <v>173</v>
      </c>
      <c r="B174">
        <v>18087</v>
      </c>
      <c r="C174" t="s">
        <v>18</v>
      </c>
      <c r="D174">
        <v>118659.53</v>
      </c>
      <c r="E174" t="s">
        <v>19</v>
      </c>
      <c r="F174">
        <v>22</v>
      </c>
      <c r="G174" t="s">
        <v>17</v>
      </c>
      <c r="H174" s="1">
        <v>45512</v>
      </c>
      <c r="I174" s="1">
        <v>45534</v>
      </c>
      <c r="J174" t="str">
        <f t="shared" si="2"/>
        <v>Aug-2024</v>
      </c>
    </row>
    <row r="175" spans="1:10">
      <c r="A175">
        <v>174</v>
      </c>
      <c r="B175">
        <v>16661</v>
      </c>
      <c r="C175" t="s">
        <v>23</v>
      </c>
      <c r="D175">
        <v>15074.12</v>
      </c>
      <c r="E175" t="s">
        <v>16</v>
      </c>
      <c r="F175">
        <v>42</v>
      </c>
      <c r="G175" t="s">
        <v>20</v>
      </c>
      <c r="H175" s="1">
        <v>45553</v>
      </c>
      <c r="I175" s="1">
        <v>45595</v>
      </c>
      <c r="J175" t="str">
        <f t="shared" si="2"/>
        <v>Sep-2024</v>
      </c>
    </row>
    <row r="176" spans="1:10">
      <c r="A176">
        <v>175</v>
      </c>
      <c r="B176">
        <v>13062</v>
      </c>
      <c r="C176" t="s">
        <v>15</v>
      </c>
      <c r="D176">
        <v>70700.740000000005</v>
      </c>
      <c r="E176" t="s">
        <v>16</v>
      </c>
      <c r="F176">
        <v>12</v>
      </c>
      <c r="G176" t="s">
        <v>20</v>
      </c>
      <c r="H176" s="1">
        <v>45330</v>
      </c>
      <c r="I176" s="1">
        <v>45342</v>
      </c>
      <c r="J176" t="str">
        <f t="shared" si="2"/>
        <v>Feb-2024</v>
      </c>
    </row>
    <row r="177" spans="1:10">
      <c r="A177">
        <v>176</v>
      </c>
      <c r="B177">
        <v>10259</v>
      </c>
      <c r="C177" t="s">
        <v>23</v>
      </c>
      <c r="D177">
        <v>151873.94</v>
      </c>
      <c r="E177" t="s">
        <v>16</v>
      </c>
      <c r="F177">
        <v>23</v>
      </c>
      <c r="G177" t="s">
        <v>25</v>
      </c>
      <c r="H177" s="1">
        <v>45302</v>
      </c>
      <c r="I177" s="1">
        <v>45325</v>
      </c>
      <c r="J177" t="str">
        <f t="shared" si="2"/>
        <v>Jan-2024</v>
      </c>
    </row>
    <row r="178" spans="1:10">
      <c r="A178">
        <v>177</v>
      </c>
      <c r="B178">
        <v>17551</v>
      </c>
      <c r="C178" t="s">
        <v>23</v>
      </c>
      <c r="D178">
        <v>62397.89</v>
      </c>
      <c r="E178" t="s">
        <v>19</v>
      </c>
      <c r="F178">
        <v>22</v>
      </c>
      <c r="G178" t="s">
        <v>17</v>
      </c>
      <c r="H178" s="1">
        <v>45403</v>
      </c>
      <c r="I178" s="1">
        <v>45425</v>
      </c>
      <c r="J178" t="str">
        <f t="shared" si="2"/>
        <v>Apr-2024</v>
      </c>
    </row>
    <row r="179" spans="1:10">
      <c r="A179">
        <v>178</v>
      </c>
      <c r="B179">
        <v>14411</v>
      </c>
      <c r="C179" t="s">
        <v>23</v>
      </c>
      <c r="D179">
        <v>153845.07999999999</v>
      </c>
      <c r="E179" t="s">
        <v>24</v>
      </c>
      <c r="G179" t="s">
        <v>17</v>
      </c>
      <c r="H179" s="1">
        <v>45399</v>
      </c>
      <c r="J179" t="str">
        <f t="shared" si="2"/>
        <v>Apr-2024</v>
      </c>
    </row>
    <row r="180" spans="1:10">
      <c r="A180">
        <v>179</v>
      </c>
      <c r="B180">
        <v>14841</v>
      </c>
      <c r="C180" t="s">
        <v>23</v>
      </c>
      <c r="D180">
        <v>150366.07</v>
      </c>
      <c r="E180" t="s">
        <v>16</v>
      </c>
      <c r="F180">
        <v>4</v>
      </c>
      <c r="G180" t="s">
        <v>21</v>
      </c>
      <c r="H180" s="1">
        <v>45385</v>
      </c>
      <c r="I180" s="1">
        <v>45389</v>
      </c>
      <c r="J180" t="str">
        <f t="shared" si="2"/>
        <v>Apr-2024</v>
      </c>
    </row>
    <row r="181" spans="1:10">
      <c r="A181">
        <v>180</v>
      </c>
      <c r="B181">
        <v>17961</v>
      </c>
      <c r="C181" t="s">
        <v>18</v>
      </c>
      <c r="D181">
        <v>52936.29</v>
      </c>
      <c r="E181" t="s">
        <v>16</v>
      </c>
      <c r="F181">
        <v>8</v>
      </c>
      <c r="G181" t="s">
        <v>17</v>
      </c>
      <c r="H181" s="1">
        <v>45602</v>
      </c>
      <c r="I181" s="1">
        <v>45610</v>
      </c>
      <c r="J181" t="str">
        <f t="shared" si="2"/>
        <v>Nov-2024</v>
      </c>
    </row>
    <row r="182" spans="1:10">
      <c r="A182">
        <v>181</v>
      </c>
      <c r="B182">
        <v>10718</v>
      </c>
      <c r="C182" t="s">
        <v>23</v>
      </c>
      <c r="D182">
        <v>147120.32999999999</v>
      </c>
      <c r="E182" t="s">
        <v>24</v>
      </c>
      <c r="G182" t="s">
        <v>21</v>
      </c>
      <c r="H182" s="1">
        <v>45375</v>
      </c>
      <c r="J182" t="str">
        <f t="shared" si="2"/>
        <v>Mar-2024</v>
      </c>
    </row>
    <row r="183" spans="1:10">
      <c r="A183">
        <v>182</v>
      </c>
      <c r="B183">
        <v>15196</v>
      </c>
      <c r="C183" t="s">
        <v>15</v>
      </c>
      <c r="D183">
        <v>150816.44</v>
      </c>
      <c r="E183" t="s">
        <v>16</v>
      </c>
      <c r="F183">
        <v>16</v>
      </c>
      <c r="G183" t="s">
        <v>17</v>
      </c>
      <c r="H183" s="1">
        <v>45349</v>
      </c>
      <c r="I183" s="1">
        <v>45365</v>
      </c>
      <c r="J183" t="str">
        <f t="shared" si="2"/>
        <v>Feb-2024</v>
      </c>
    </row>
    <row r="184" spans="1:10">
      <c r="A184">
        <v>183</v>
      </c>
      <c r="B184">
        <v>12727</v>
      </c>
      <c r="C184" t="s">
        <v>23</v>
      </c>
      <c r="D184">
        <v>82503.520000000004</v>
      </c>
      <c r="E184" t="s">
        <v>16</v>
      </c>
      <c r="F184">
        <v>10</v>
      </c>
      <c r="G184" t="s">
        <v>25</v>
      </c>
      <c r="H184" s="1">
        <v>45584</v>
      </c>
      <c r="I184" s="1">
        <v>45594</v>
      </c>
      <c r="J184" t="str">
        <f t="shared" si="2"/>
        <v>Oct-2024</v>
      </c>
    </row>
    <row r="185" spans="1:10">
      <c r="A185">
        <v>184</v>
      </c>
      <c r="B185">
        <v>17546</v>
      </c>
      <c r="C185" t="s">
        <v>23</v>
      </c>
      <c r="D185">
        <v>46031.99</v>
      </c>
      <c r="E185" t="s">
        <v>16</v>
      </c>
      <c r="F185">
        <v>44</v>
      </c>
      <c r="G185" t="s">
        <v>17</v>
      </c>
      <c r="H185" s="1">
        <v>45307</v>
      </c>
      <c r="I185" s="1">
        <v>45351</v>
      </c>
      <c r="J185" t="str">
        <f t="shared" si="2"/>
        <v>Jan-2024</v>
      </c>
    </row>
    <row r="186" spans="1:10">
      <c r="A186">
        <v>185</v>
      </c>
      <c r="B186">
        <v>18652</v>
      </c>
      <c r="C186" t="s">
        <v>23</v>
      </c>
      <c r="D186">
        <v>106647.81</v>
      </c>
      <c r="E186" t="s">
        <v>16</v>
      </c>
      <c r="F186">
        <v>8</v>
      </c>
      <c r="G186" t="s">
        <v>21</v>
      </c>
      <c r="H186" s="1">
        <v>45617</v>
      </c>
      <c r="I186" s="1">
        <v>45625</v>
      </c>
      <c r="J186" t="str">
        <f t="shared" si="2"/>
        <v>Nov-2024</v>
      </c>
    </row>
    <row r="187" spans="1:10">
      <c r="A187">
        <v>186</v>
      </c>
      <c r="B187">
        <v>12854</v>
      </c>
      <c r="C187" t="s">
        <v>23</v>
      </c>
      <c r="D187">
        <v>184672.53</v>
      </c>
      <c r="E187" t="s">
        <v>19</v>
      </c>
      <c r="F187">
        <v>13</v>
      </c>
      <c r="G187" t="s">
        <v>21</v>
      </c>
      <c r="H187" s="1">
        <v>45384</v>
      </c>
      <c r="I187" s="1">
        <v>45397</v>
      </c>
      <c r="J187" t="str">
        <f t="shared" si="2"/>
        <v>Apr-2024</v>
      </c>
    </row>
    <row r="188" spans="1:10">
      <c r="A188">
        <v>187</v>
      </c>
      <c r="B188">
        <v>15200</v>
      </c>
      <c r="C188" t="s">
        <v>23</v>
      </c>
      <c r="D188">
        <v>129725.26</v>
      </c>
      <c r="E188" t="s">
        <v>19</v>
      </c>
      <c r="F188">
        <v>20</v>
      </c>
      <c r="G188" t="s">
        <v>25</v>
      </c>
      <c r="H188" s="1">
        <v>45456</v>
      </c>
      <c r="I188" s="1">
        <v>45476</v>
      </c>
      <c r="J188" t="str">
        <f t="shared" si="2"/>
        <v>Jun-2024</v>
      </c>
    </row>
    <row r="189" spans="1:10">
      <c r="A189">
        <v>188</v>
      </c>
      <c r="B189">
        <v>14067</v>
      </c>
      <c r="C189" t="s">
        <v>23</v>
      </c>
      <c r="D189">
        <v>38719.89</v>
      </c>
      <c r="E189" t="s">
        <v>16</v>
      </c>
      <c r="F189">
        <v>28</v>
      </c>
      <c r="G189" t="s">
        <v>17</v>
      </c>
      <c r="H189" s="1">
        <v>45506</v>
      </c>
      <c r="I189" s="1">
        <v>45534</v>
      </c>
      <c r="J189" t="str">
        <f t="shared" si="2"/>
        <v>Aug-2024</v>
      </c>
    </row>
    <row r="190" spans="1:10">
      <c r="A190">
        <v>189</v>
      </c>
      <c r="B190">
        <v>19894</v>
      </c>
      <c r="C190" t="s">
        <v>23</v>
      </c>
      <c r="D190">
        <v>138137.60000000001</v>
      </c>
      <c r="E190" t="s">
        <v>16</v>
      </c>
      <c r="F190">
        <v>19</v>
      </c>
      <c r="G190" t="s">
        <v>17</v>
      </c>
      <c r="H190" s="1">
        <v>45435</v>
      </c>
      <c r="I190" s="1">
        <v>45454</v>
      </c>
      <c r="J190" t="str">
        <f t="shared" si="2"/>
        <v>May-2024</v>
      </c>
    </row>
    <row r="191" spans="1:10">
      <c r="A191">
        <v>190</v>
      </c>
      <c r="B191">
        <v>12977</v>
      </c>
      <c r="C191" t="s">
        <v>23</v>
      </c>
      <c r="D191">
        <v>88304.59</v>
      </c>
      <c r="E191" t="s">
        <v>19</v>
      </c>
      <c r="F191">
        <v>14</v>
      </c>
      <c r="G191" t="s">
        <v>25</v>
      </c>
      <c r="H191" s="1">
        <v>45565</v>
      </c>
      <c r="I191" s="1">
        <v>45579</v>
      </c>
      <c r="J191" t="str">
        <f t="shared" si="2"/>
        <v>Sep-2024</v>
      </c>
    </row>
    <row r="192" spans="1:10">
      <c r="A192">
        <v>191</v>
      </c>
      <c r="B192">
        <v>13480</v>
      </c>
      <c r="C192" t="s">
        <v>18</v>
      </c>
      <c r="D192">
        <v>120348.12</v>
      </c>
      <c r="E192" t="s">
        <v>16</v>
      </c>
      <c r="F192">
        <v>44</v>
      </c>
      <c r="G192" t="s">
        <v>17</v>
      </c>
      <c r="H192" s="1">
        <v>45429</v>
      </c>
      <c r="I192" s="1">
        <v>45473</v>
      </c>
      <c r="J192" t="str">
        <f t="shared" si="2"/>
        <v>May-2024</v>
      </c>
    </row>
    <row r="193" spans="1:10">
      <c r="A193">
        <v>192</v>
      </c>
      <c r="B193">
        <v>19933</v>
      </c>
      <c r="C193" t="s">
        <v>18</v>
      </c>
      <c r="D193">
        <v>148142.49</v>
      </c>
      <c r="E193" t="s">
        <v>19</v>
      </c>
      <c r="F193">
        <v>2</v>
      </c>
      <c r="G193" t="s">
        <v>17</v>
      </c>
      <c r="H193" s="1">
        <v>45495</v>
      </c>
      <c r="I193" s="1">
        <v>45497</v>
      </c>
      <c r="J193" t="str">
        <f t="shared" si="2"/>
        <v>Jul-2024</v>
      </c>
    </row>
    <row r="194" spans="1:10">
      <c r="A194">
        <v>193</v>
      </c>
      <c r="B194">
        <v>18221</v>
      </c>
      <c r="C194" t="s">
        <v>23</v>
      </c>
      <c r="D194">
        <v>105414.73</v>
      </c>
      <c r="E194" t="s">
        <v>16</v>
      </c>
      <c r="F194">
        <v>39</v>
      </c>
      <c r="G194" t="s">
        <v>21</v>
      </c>
      <c r="H194" s="1">
        <v>45593</v>
      </c>
      <c r="I194" s="1">
        <v>45632</v>
      </c>
      <c r="J194" t="str">
        <f t="shared" si="2"/>
        <v>Oct-2024</v>
      </c>
    </row>
    <row r="195" spans="1:10">
      <c r="A195">
        <v>194</v>
      </c>
      <c r="B195">
        <v>13493</v>
      </c>
      <c r="C195" t="s">
        <v>23</v>
      </c>
      <c r="D195">
        <v>163726.88</v>
      </c>
      <c r="E195" t="s">
        <v>16</v>
      </c>
      <c r="F195">
        <v>22</v>
      </c>
      <c r="G195" t="s">
        <v>17</v>
      </c>
      <c r="H195" s="1">
        <v>45501</v>
      </c>
      <c r="I195" s="1">
        <v>45523</v>
      </c>
      <c r="J195" t="str">
        <f t="shared" ref="J195:J258" si="3">TEXT(H195,"mmm-yyyy")</f>
        <v>Jul-2024</v>
      </c>
    </row>
    <row r="196" spans="1:10">
      <c r="A196">
        <v>195</v>
      </c>
      <c r="B196">
        <v>19173</v>
      </c>
      <c r="C196" t="s">
        <v>22</v>
      </c>
      <c r="D196">
        <v>145820.34</v>
      </c>
      <c r="E196" t="s">
        <v>24</v>
      </c>
      <c r="G196" t="s">
        <v>17</v>
      </c>
      <c r="H196" s="1">
        <v>45310</v>
      </c>
      <c r="J196" t="str">
        <f t="shared" si="3"/>
        <v>Jan-2024</v>
      </c>
    </row>
    <row r="197" spans="1:10">
      <c r="A197">
        <v>196</v>
      </c>
      <c r="B197">
        <v>10230</v>
      </c>
      <c r="C197" t="s">
        <v>18</v>
      </c>
      <c r="D197">
        <v>124939.3</v>
      </c>
      <c r="E197" t="s">
        <v>16</v>
      </c>
      <c r="F197">
        <v>14</v>
      </c>
      <c r="G197" t="s">
        <v>25</v>
      </c>
      <c r="H197" s="1">
        <v>45585</v>
      </c>
      <c r="I197" s="1">
        <v>45599</v>
      </c>
      <c r="J197" t="str">
        <f t="shared" si="3"/>
        <v>Oct-2024</v>
      </c>
    </row>
    <row r="198" spans="1:10">
      <c r="A198">
        <v>197</v>
      </c>
      <c r="B198">
        <v>17526</v>
      </c>
      <c r="C198" t="s">
        <v>18</v>
      </c>
      <c r="D198">
        <v>34404.6</v>
      </c>
      <c r="E198" t="s">
        <v>16</v>
      </c>
      <c r="F198">
        <v>42</v>
      </c>
      <c r="G198" t="s">
        <v>25</v>
      </c>
      <c r="H198" s="1">
        <v>45584</v>
      </c>
      <c r="I198" s="1">
        <v>45626</v>
      </c>
      <c r="J198" t="str">
        <f t="shared" si="3"/>
        <v>Oct-2024</v>
      </c>
    </row>
    <row r="199" spans="1:10">
      <c r="A199">
        <v>198</v>
      </c>
      <c r="B199">
        <v>15281</v>
      </c>
      <c r="C199" t="s">
        <v>23</v>
      </c>
      <c r="D199">
        <v>168010.08</v>
      </c>
      <c r="E199" t="s">
        <v>16</v>
      </c>
      <c r="F199">
        <v>24</v>
      </c>
      <c r="G199" t="s">
        <v>20</v>
      </c>
      <c r="H199" s="1">
        <v>45592</v>
      </c>
      <c r="I199" s="1">
        <v>45616</v>
      </c>
      <c r="J199" t="str">
        <f t="shared" si="3"/>
        <v>Oct-2024</v>
      </c>
    </row>
    <row r="200" spans="1:10">
      <c r="A200">
        <v>199</v>
      </c>
      <c r="B200">
        <v>11251</v>
      </c>
      <c r="C200" t="s">
        <v>18</v>
      </c>
      <c r="D200">
        <v>187501.59</v>
      </c>
      <c r="E200" t="s">
        <v>16</v>
      </c>
      <c r="F200">
        <v>2</v>
      </c>
      <c r="G200" t="s">
        <v>21</v>
      </c>
      <c r="H200" s="1">
        <v>45453</v>
      </c>
      <c r="I200" s="1">
        <v>45455</v>
      </c>
      <c r="J200" t="str">
        <f t="shared" si="3"/>
        <v>Jun-2024</v>
      </c>
    </row>
    <row r="201" spans="1:10">
      <c r="A201">
        <v>200</v>
      </c>
      <c r="B201">
        <v>15340</v>
      </c>
      <c r="C201" t="s">
        <v>18</v>
      </c>
      <c r="D201">
        <v>31708.2</v>
      </c>
      <c r="E201" t="s">
        <v>16</v>
      </c>
      <c r="F201">
        <v>24</v>
      </c>
      <c r="G201" t="s">
        <v>17</v>
      </c>
      <c r="H201" s="1">
        <v>45421</v>
      </c>
      <c r="I201" s="1">
        <v>45445</v>
      </c>
      <c r="J201" t="str">
        <f t="shared" si="3"/>
        <v>May-2024</v>
      </c>
    </row>
    <row r="202" spans="1:10">
      <c r="A202">
        <v>201</v>
      </c>
      <c r="B202">
        <v>16889</v>
      </c>
      <c r="C202" t="s">
        <v>18</v>
      </c>
      <c r="D202">
        <v>100207.02</v>
      </c>
      <c r="E202" t="s">
        <v>24</v>
      </c>
      <c r="G202" t="s">
        <v>17</v>
      </c>
      <c r="H202" s="1">
        <v>45335</v>
      </c>
      <c r="J202" t="str">
        <f t="shared" si="3"/>
        <v>Feb-2024</v>
      </c>
    </row>
    <row r="203" spans="1:10">
      <c r="A203">
        <v>202</v>
      </c>
      <c r="B203">
        <v>11963</v>
      </c>
      <c r="C203" t="s">
        <v>22</v>
      </c>
      <c r="D203">
        <v>55483.3</v>
      </c>
      <c r="E203" t="s">
        <v>19</v>
      </c>
      <c r="F203">
        <v>33</v>
      </c>
      <c r="G203" t="s">
        <v>20</v>
      </c>
      <c r="H203" s="1">
        <v>45644</v>
      </c>
      <c r="I203" s="1">
        <v>45677</v>
      </c>
      <c r="J203" t="str">
        <f t="shared" si="3"/>
        <v>Dec-2024</v>
      </c>
    </row>
    <row r="204" spans="1:10">
      <c r="A204">
        <v>203</v>
      </c>
      <c r="B204">
        <v>13166</v>
      </c>
      <c r="C204" t="s">
        <v>23</v>
      </c>
      <c r="D204">
        <v>152132.04</v>
      </c>
      <c r="E204" t="s">
        <v>16</v>
      </c>
      <c r="F204">
        <v>9</v>
      </c>
      <c r="G204" t="s">
        <v>17</v>
      </c>
      <c r="H204" s="1">
        <v>45374</v>
      </c>
      <c r="I204" s="1">
        <v>45383</v>
      </c>
      <c r="J204" t="str">
        <f t="shared" si="3"/>
        <v>Mar-2024</v>
      </c>
    </row>
    <row r="205" spans="1:10">
      <c r="A205">
        <v>204</v>
      </c>
      <c r="B205">
        <v>11778</v>
      </c>
      <c r="C205" t="s">
        <v>23</v>
      </c>
      <c r="D205">
        <v>145717.78</v>
      </c>
      <c r="E205" t="s">
        <v>16</v>
      </c>
      <c r="F205">
        <v>27</v>
      </c>
      <c r="G205" t="s">
        <v>21</v>
      </c>
      <c r="H205" s="1">
        <v>45415</v>
      </c>
      <c r="I205" s="1">
        <v>45442</v>
      </c>
      <c r="J205" t="str">
        <f t="shared" si="3"/>
        <v>May-2024</v>
      </c>
    </row>
    <row r="206" spans="1:10">
      <c r="A206">
        <v>205</v>
      </c>
      <c r="B206">
        <v>18052</v>
      </c>
      <c r="C206" t="s">
        <v>18</v>
      </c>
      <c r="D206">
        <v>32472.6</v>
      </c>
      <c r="E206" t="s">
        <v>16</v>
      </c>
      <c r="F206">
        <v>15</v>
      </c>
      <c r="G206" t="s">
        <v>20</v>
      </c>
      <c r="H206" s="1">
        <v>45318</v>
      </c>
      <c r="I206" s="1">
        <v>45333</v>
      </c>
      <c r="J206" t="str">
        <f t="shared" si="3"/>
        <v>Jan-2024</v>
      </c>
    </row>
    <row r="207" spans="1:10">
      <c r="A207">
        <v>206</v>
      </c>
      <c r="B207">
        <v>14870</v>
      </c>
      <c r="C207" t="s">
        <v>15</v>
      </c>
      <c r="D207">
        <v>176020.32</v>
      </c>
      <c r="E207" t="s">
        <v>16</v>
      </c>
      <c r="F207">
        <v>25</v>
      </c>
      <c r="G207" t="s">
        <v>21</v>
      </c>
      <c r="H207" s="1">
        <v>45595</v>
      </c>
      <c r="I207" s="1">
        <v>45620</v>
      </c>
      <c r="J207" t="str">
        <f t="shared" si="3"/>
        <v>Oct-2024</v>
      </c>
    </row>
    <row r="208" spans="1:10">
      <c r="A208">
        <v>207</v>
      </c>
      <c r="B208">
        <v>11147</v>
      </c>
      <c r="C208" t="s">
        <v>23</v>
      </c>
      <c r="D208">
        <v>40289.75</v>
      </c>
      <c r="E208" t="s">
        <v>16</v>
      </c>
      <c r="F208">
        <v>30</v>
      </c>
      <c r="G208" t="s">
        <v>20</v>
      </c>
      <c r="H208" s="1">
        <v>45641</v>
      </c>
      <c r="I208" s="1">
        <v>45671</v>
      </c>
      <c r="J208" t="str">
        <f t="shared" si="3"/>
        <v>Dec-2024</v>
      </c>
    </row>
    <row r="209" spans="1:10">
      <c r="A209">
        <v>208</v>
      </c>
      <c r="B209">
        <v>12847</v>
      </c>
      <c r="C209" t="s">
        <v>23</v>
      </c>
      <c r="D209">
        <v>160465.51</v>
      </c>
      <c r="E209" t="s">
        <v>19</v>
      </c>
      <c r="F209">
        <v>5</v>
      </c>
      <c r="G209" t="s">
        <v>20</v>
      </c>
      <c r="H209" s="1">
        <v>45298</v>
      </c>
      <c r="I209" s="1">
        <v>45303</v>
      </c>
      <c r="J209" t="str">
        <f t="shared" si="3"/>
        <v>Jan-2024</v>
      </c>
    </row>
    <row r="210" spans="1:10">
      <c r="A210">
        <v>209</v>
      </c>
      <c r="B210">
        <v>13850</v>
      </c>
      <c r="C210" t="s">
        <v>23</v>
      </c>
      <c r="D210">
        <v>94111.17</v>
      </c>
      <c r="E210" t="s">
        <v>16</v>
      </c>
      <c r="F210">
        <v>19</v>
      </c>
      <c r="G210" t="s">
        <v>25</v>
      </c>
      <c r="H210" s="1">
        <v>45632</v>
      </c>
      <c r="I210" s="1">
        <v>45651</v>
      </c>
      <c r="J210" t="str">
        <f t="shared" si="3"/>
        <v>Dec-2024</v>
      </c>
    </row>
    <row r="211" spans="1:10">
      <c r="A211">
        <v>210</v>
      </c>
      <c r="B211">
        <v>13070</v>
      </c>
      <c r="C211" t="s">
        <v>23</v>
      </c>
      <c r="D211">
        <v>69013.100000000006</v>
      </c>
      <c r="E211" t="s">
        <v>19</v>
      </c>
      <c r="F211">
        <v>15</v>
      </c>
      <c r="G211" t="s">
        <v>21</v>
      </c>
      <c r="H211" s="1">
        <v>45490</v>
      </c>
      <c r="I211" s="1">
        <v>45505</v>
      </c>
      <c r="J211" t="str">
        <f t="shared" si="3"/>
        <v>Jul-2024</v>
      </c>
    </row>
    <row r="212" spans="1:10">
      <c r="A212">
        <v>211</v>
      </c>
      <c r="B212">
        <v>10620</v>
      </c>
      <c r="C212" t="s">
        <v>18</v>
      </c>
      <c r="D212">
        <v>35856.660000000003</v>
      </c>
      <c r="E212" t="s">
        <v>16</v>
      </c>
      <c r="F212">
        <v>28</v>
      </c>
      <c r="G212" t="s">
        <v>17</v>
      </c>
      <c r="H212" s="1">
        <v>45403</v>
      </c>
      <c r="I212" s="1">
        <v>45431</v>
      </c>
      <c r="J212" t="str">
        <f t="shared" si="3"/>
        <v>Apr-2024</v>
      </c>
    </row>
    <row r="213" spans="1:10">
      <c r="A213">
        <v>212</v>
      </c>
      <c r="B213">
        <v>10963</v>
      </c>
      <c r="C213" t="s">
        <v>18</v>
      </c>
      <c r="D213">
        <v>37684.78</v>
      </c>
      <c r="E213" t="s">
        <v>16</v>
      </c>
      <c r="F213">
        <v>42</v>
      </c>
      <c r="G213" t="s">
        <v>17</v>
      </c>
      <c r="H213" s="1">
        <v>45380</v>
      </c>
      <c r="I213" s="1">
        <v>45422</v>
      </c>
      <c r="J213" t="str">
        <f t="shared" si="3"/>
        <v>Mar-2024</v>
      </c>
    </row>
    <row r="214" spans="1:10">
      <c r="A214">
        <v>213</v>
      </c>
      <c r="B214">
        <v>17215</v>
      </c>
      <c r="C214" t="s">
        <v>23</v>
      </c>
      <c r="D214">
        <v>134068.66</v>
      </c>
      <c r="E214" t="s">
        <v>16</v>
      </c>
      <c r="F214">
        <v>4</v>
      </c>
      <c r="G214" t="s">
        <v>21</v>
      </c>
      <c r="H214" s="1">
        <v>45419</v>
      </c>
      <c r="I214" s="1">
        <v>45423</v>
      </c>
      <c r="J214" t="str">
        <f t="shared" si="3"/>
        <v>May-2024</v>
      </c>
    </row>
    <row r="215" spans="1:10">
      <c r="A215">
        <v>214</v>
      </c>
      <c r="B215">
        <v>12142</v>
      </c>
      <c r="C215" t="s">
        <v>23</v>
      </c>
      <c r="D215">
        <v>112333.93</v>
      </c>
      <c r="E215" t="s">
        <v>16</v>
      </c>
      <c r="F215">
        <v>31</v>
      </c>
      <c r="G215" t="s">
        <v>17</v>
      </c>
      <c r="H215" s="1">
        <v>45521</v>
      </c>
      <c r="I215" s="1">
        <v>45552</v>
      </c>
      <c r="J215" t="str">
        <f t="shared" si="3"/>
        <v>Aug-2024</v>
      </c>
    </row>
    <row r="216" spans="1:10">
      <c r="A216">
        <v>215</v>
      </c>
      <c r="B216">
        <v>19692</v>
      </c>
      <c r="C216" t="s">
        <v>23</v>
      </c>
      <c r="D216">
        <v>28806.66</v>
      </c>
      <c r="E216" t="s">
        <v>16</v>
      </c>
      <c r="F216">
        <v>37</v>
      </c>
      <c r="G216" t="s">
        <v>17</v>
      </c>
      <c r="H216" s="1">
        <v>45309</v>
      </c>
      <c r="I216" s="1">
        <v>45346</v>
      </c>
      <c r="J216" t="str">
        <f t="shared" si="3"/>
        <v>Jan-2024</v>
      </c>
    </row>
    <row r="217" spans="1:10">
      <c r="A217">
        <v>216</v>
      </c>
      <c r="B217">
        <v>17418</v>
      </c>
      <c r="C217" t="s">
        <v>23</v>
      </c>
      <c r="D217">
        <v>26976.080000000002</v>
      </c>
      <c r="E217" t="s">
        <v>24</v>
      </c>
      <c r="G217" t="s">
        <v>21</v>
      </c>
      <c r="H217" s="1">
        <v>45580</v>
      </c>
      <c r="J217" t="str">
        <f t="shared" si="3"/>
        <v>Oct-2024</v>
      </c>
    </row>
    <row r="218" spans="1:10">
      <c r="A218">
        <v>217</v>
      </c>
      <c r="B218">
        <v>11326</v>
      </c>
      <c r="C218" t="s">
        <v>18</v>
      </c>
      <c r="D218">
        <v>19100.560000000001</v>
      </c>
      <c r="E218" t="s">
        <v>16</v>
      </c>
      <c r="F218">
        <v>19</v>
      </c>
      <c r="G218" t="s">
        <v>20</v>
      </c>
      <c r="H218" s="1">
        <v>45452</v>
      </c>
      <c r="I218" s="1">
        <v>45471</v>
      </c>
      <c r="J218" t="str">
        <f t="shared" si="3"/>
        <v>Jun-2024</v>
      </c>
    </row>
    <row r="219" spans="1:10">
      <c r="A219">
        <v>218</v>
      </c>
      <c r="B219">
        <v>10121</v>
      </c>
      <c r="C219" t="s">
        <v>22</v>
      </c>
      <c r="D219">
        <v>150034.63</v>
      </c>
      <c r="E219" t="s">
        <v>24</v>
      </c>
      <c r="G219" t="s">
        <v>21</v>
      </c>
      <c r="H219" s="1">
        <v>45643</v>
      </c>
      <c r="J219" t="str">
        <f t="shared" si="3"/>
        <v>Dec-2024</v>
      </c>
    </row>
    <row r="220" spans="1:10">
      <c r="A220">
        <v>219</v>
      </c>
      <c r="B220">
        <v>14313</v>
      </c>
      <c r="C220" t="s">
        <v>15</v>
      </c>
      <c r="D220">
        <v>143817.01</v>
      </c>
      <c r="E220" t="s">
        <v>16</v>
      </c>
      <c r="F220">
        <v>11</v>
      </c>
      <c r="G220" t="s">
        <v>20</v>
      </c>
      <c r="H220" s="1">
        <v>45572</v>
      </c>
      <c r="I220" s="1">
        <v>45583</v>
      </c>
      <c r="J220" t="str">
        <f t="shared" si="3"/>
        <v>Oct-2024</v>
      </c>
    </row>
    <row r="221" spans="1:10">
      <c r="A221">
        <v>220</v>
      </c>
      <c r="B221">
        <v>11076</v>
      </c>
      <c r="C221" t="s">
        <v>23</v>
      </c>
      <c r="D221">
        <v>16394.04</v>
      </c>
      <c r="E221" t="s">
        <v>24</v>
      </c>
      <c r="G221" t="s">
        <v>17</v>
      </c>
      <c r="H221" s="1">
        <v>45457</v>
      </c>
      <c r="J221" t="str">
        <f t="shared" si="3"/>
        <v>Jun-2024</v>
      </c>
    </row>
    <row r="222" spans="1:10">
      <c r="A222">
        <v>221</v>
      </c>
      <c r="B222">
        <v>11182</v>
      </c>
      <c r="C222" t="s">
        <v>15</v>
      </c>
      <c r="D222">
        <v>114252.66</v>
      </c>
      <c r="E222" t="s">
        <v>16</v>
      </c>
      <c r="F222">
        <v>42</v>
      </c>
      <c r="G222" t="s">
        <v>17</v>
      </c>
      <c r="H222" s="1">
        <v>45551</v>
      </c>
      <c r="I222" s="1">
        <v>45593</v>
      </c>
      <c r="J222" t="str">
        <f t="shared" si="3"/>
        <v>Sep-2024</v>
      </c>
    </row>
    <row r="223" spans="1:10">
      <c r="A223">
        <v>222</v>
      </c>
      <c r="B223">
        <v>10794</v>
      </c>
      <c r="C223" t="s">
        <v>18</v>
      </c>
      <c r="D223">
        <v>21511.85</v>
      </c>
      <c r="E223" t="s">
        <v>24</v>
      </c>
      <c r="G223" t="s">
        <v>17</v>
      </c>
      <c r="H223" s="1">
        <v>45655</v>
      </c>
      <c r="J223" t="str">
        <f t="shared" si="3"/>
        <v>Dec-2024</v>
      </c>
    </row>
    <row r="224" spans="1:10">
      <c r="A224">
        <v>223</v>
      </c>
      <c r="B224">
        <v>19816</v>
      </c>
      <c r="C224" t="s">
        <v>18</v>
      </c>
      <c r="D224">
        <v>181230.43</v>
      </c>
      <c r="E224" t="s">
        <v>16</v>
      </c>
      <c r="F224">
        <v>33</v>
      </c>
      <c r="G224" t="s">
        <v>25</v>
      </c>
      <c r="H224" s="1">
        <v>45481</v>
      </c>
      <c r="I224" s="1">
        <v>45514</v>
      </c>
      <c r="J224" t="str">
        <f t="shared" si="3"/>
        <v>Jul-2024</v>
      </c>
    </row>
    <row r="225" spans="1:10">
      <c r="A225">
        <v>224</v>
      </c>
      <c r="B225">
        <v>14271</v>
      </c>
      <c r="C225" t="s">
        <v>23</v>
      </c>
      <c r="D225">
        <v>181887.9</v>
      </c>
      <c r="E225" t="s">
        <v>19</v>
      </c>
      <c r="F225">
        <v>18</v>
      </c>
      <c r="G225" t="s">
        <v>20</v>
      </c>
      <c r="H225" s="1">
        <v>45629</v>
      </c>
      <c r="I225" s="1">
        <v>45647</v>
      </c>
      <c r="J225" t="str">
        <f t="shared" si="3"/>
        <v>Dec-2024</v>
      </c>
    </row>
    <row r="226" spans="1:10">
      <c r="A226">
        <v>225</v>
      </c>
      <c r="B226">
        <v>18483</v>
      </c>
      <c r="C226" t="s">
        <v>23</v>
      </c>
      <c r="D226">
        <v>141155.43</v>
      </c>
      <c r="E226" t="s">
        <v>24</v>
      </c>
      <c r="G226" t="s">
        <v>25</v>
      </c>
      <c r="H226" s="1">
        <v>45557</v>
      </c>
      <c r="J226" t="str">
        <f t="shared" si="3"/>
        <v>Sep-2024</v>
      </c>
    </row>
    <row r="227" spans="1:10">
      <c r="A227">
        <v>226</v>
      </c>
      <c r="B227">
        <v>17326</v>
      </c>
      <c r="C227" t="s">
        <v>23</v>
      </c>
      <c r="D227">
        <v>185606.84</v>
      </c>
      <c r="E227" t="s">
        <v>16</v>
      </c>
      <c r="F227">
        <v>15</v>
      </c>
      <c r="G227" t="s">
        <v>25</v>
      </c>
      <c r="H227" s="1">
        <v>45582</v>
      </c>
      <c r="I227" s="1">
        <v>45597</v>
      </c>
      <c r="J227" t="str">
        <f t="shared" si="3"/>
        <v>Oct-2024</v>
      </c>
    </row>
    <row r="228" spans="1:10">
      <c r="A228">
        <v>227</v>
      </c>
      <c r="B228">
        <v>18682</v>
      </c>
      <c r="C228" t="s">
        <v>23</v>
      </c>
      <c r="D228">
        <v>163233.34</v>
      </c>
      <c r="E228" t="s">
        <v>16</v>
      </c>
      <c r="F228">
        <v>38</v>
      </c>
      <c r="G228" t="s">
        <v>21</v>
      </c>
      <c r="H228" s="1">
        <v>45646</v>
      </c>
      <c r="I228" s="1">
        <v>45684</v>
      </c>
      <c r="J228" t="str">
        <f t="shared" si="3"/>
        <v>Dec-2024</v>
      </c>
    </row>
    <row r="229" spans="1:10">
      <c r="A229">
        <v>228</v>
      </c>
      <c r="B229">
        <v>12808</v>
      </c>
      <c r="C229" t="s">
        <v>23</v>
      </c>
      <c r="D229">
        <v>166565.01999999999</v>
      </c>
      <c r="E229" t="s">
        <v>16</v>
      </c>
      <c r="F229">
        <v>10</v>
      </c>
      <c r="G229" t="s">
        <v>25</v>
      </c>
      <c r="H229" s="1">
        <v>45651</v>
      </c>
      <c r="I229" s="1">
        <v>45661</v>
      </c>
      <c r="J229" t="str">
        <f t="shared" si="3"/>
        <v>Dec-2024</v>
      </c>
    </row>
    <row r="230" spans="1:10">
      <c r="A230">
        <v>229</v>
      </c>
      <c r="B230">
        <v>13428</v>
      </c>
      <c r="C230" t="s">
        <v>23</v>
      </c>
      <c r="D230">
        <v>116093.03</v>
      </c>
      <c r="E230" t="s">
        <v>24</v>
      </c>
      <c r="G230" t="s">
        <v>21</v>
      </c>
      <c r="H230" s="1">
        <v>45570</v>
      </c>
      <c r="J230" t="str">
        <f t="shared" si="3"/>
        <v>Oct-2024</v>
      </c>
    </row>
    <row r="231" spans="1:10">
      <c r="A231">
        <v>230</v>
      </c>
      <c r="B231">
        <v>18825</v>
      </c>
      <c r="C231" t="s">
        <v>23</v>
      </c>
      <c r="D231">
        <v>64681.54</v>
      </c>
      <c r="E231" t="s">
        <v>16</v>
      </c>
      <c r="F231">
        <v>25</v>
      </c>
      <c r="G231" t="s">
        <v>21</v>
      </c>
      <c r="H231" s="1">
        <v>45508</v>
      </c>
      <c r="I231" s="1">
        <v>45533</v>
      </c>
      <c r="J231" t="str">
        <f t="shared" si="3"/>
        <v>Aug-2024</v>
      </c>
    </row>
    <row r="232" spans="1:10">
      <c r="A232">
        <v>231</v>
      </c>
      <c r="B232">
        <v>13499</v>
      </c>
      <c r="C232" t="s">
        <v>18</v>
      </c>
      <c r="D232">
        <v>47470.83</v>
      </c>
      <c r="E232" t="s">
        <v>16</v>
      </c>
      <c r="F232">
        <v>24</v>
      </c>
      <c r="G232" t="s">
        <v>25</v>
      </c>
      <c r="H232" s="1">
        <v>45612</v>
      </c>
      <c r="I232" s="1">
        <v>45636</v>
      </c>
      <c r="J232" t="str">
        <f t="shared" si="3"/>
        <v>Nov-2024</v>
      </c>
    </row>
    <row r="233" spans="1:10">
      <c r="A233">
        <v>232</v>
      </c>
      <c r="B233">
        <v>12172</v>
      </c>
      <c r="C233" t="s">
        <v>23</v>
      </c>
      <c r="D233">
        <v>68804</v>
      </c>
      <c r="E233" t="s">
        <v>16</v>
      </c>
      <c r="F233">
        <v>32</v>
      </c>
      <c r="G233" t="s">
        <v>20</v>
      </c>
      <c r="H233" s="1">
        <v>45629</v>
      </c>
      <c r="I233" s="1">
        <v>45661</v>
      </c>
      <c r="J233" t="str">
        <f t="shared" si="3"/>
        <v>Dec-2024</v>
      </c>
    </row>
    <row r="234" spans="1:10">
      <c r="A234">
        <v>233</v>
      </c>
      <c r="B234">
        <v>15986</v>
      </c>
      <c r="C234" t="s">
        <v>23</v>
      </c>
      <c r="D234">
        <v>127556.61</v>
      </c>
      <c r="E234" t="s">
        <v>16</v>
      </c>
      <c r="F234">
        <v>40</v>
      </c>
      <c r="G234" t="s">
        <v>20</v>
      </c>
      <c r="H234" s="1">
        <v>45498</v>
      </c>
      <c r="I234" s="1">
        <v>45538</v>
      </c>
      <c r="J234" t="str">
        <f t="shared" si="3"/>
        <v>Jul-2024</v>
      </c>
    </row>
    <row r="235" spans="1:10">
      <c r="A235">
        <v>234</v>
      </c>
      <c r="B235">
        <v>13907</v>
      </c>
      <c r="C235" t="s">
        <v>22</v>
      </c>
      <c r="D235">
        <v>38668.019999999997</v>
      </c>
      <c r="E235" t="s">
        <v>19</v>
      </c>
      <c r="F235">
        <v>3</v>
      </c>
      <c r="G235" t="s">
        <v>20</v>
      </c>
      <c r="H235" s="1">
        <v>45444</v>
      </c>
      <c r="I235" s="1">
        <v>45447</v>
      </c>
      <c r="J235" t="str">
        <f t="shared" si="3"/>
        <v>Jun-2024</v>
      </c>
    </row>
    <row r="236" spans="1:10">
      <c r="A236">
        <v>235</v>
      </c>
      <c r="B236">
        <v>14699</v>
      </c>
      <c r="C236" t="s">
        <v>22</v>
      </c>
      <c r="D236">
        <v>55434.85</v>
      </c>
      <c r="E236" t="s">
        <v>16</v>
      </c>
      <c r="F236">
        <v>19</v>
      </c>
      <c r="G236" t="s">
        <v>20</v>
      </c>
      <c r="H236" s="1">
        <v>45472</v>
      </c>
      <c r="I236" s="1">
        <v>45491</v>
      </c>
      <c r="J236" t="str">
        <f t="shared" si="3"/>
        <v>Jun-2024</v>
      </c>
    </row>
    <row r="237" spans="1:10">
      <c r="A237">
        <v>236</v>
      </c>
      <c r="B237">
        <v>17081</v>
      </c>
      <c r="C237" t="s">
        <v>18</v>
      </c>
      <c r="D237">
        <v>96271.87</v>
      </c>
      <c r="E237" t="s">
        <v>16</v>
      </c>
      <c r="F237">
        <v>17</v>
      </c>
      <c r="G237" t="s">
        <v>20</v>
      </c>
      <c r="H237" s="1">
        <v>45503</v>
      </c>
      <c r="I237" s="1">
        <v>45520</v>
      </c>
      <c r="J237" t="str">
        <f t="shared" si="3"/>
        <v>Jul-2024</v>
      </c>
    </row>
    <row r="238" spans="1:10">
      <c r="A238">
        <v>237</v>
      </c>
      <c r="B238">
        <v>15224</v>
      </c>
      <c r="C238" t="s">
        <v>22</v>
      </c>
      <c r="D238">
        <v>50444.77</v>
      </c>
      <c r="E238" t="s">
        <v>24</v>
      </c>
      <c r="G238" t="s">
        <v>25</v>
      </c>
      <c r="H238" s="1">
        <v>45564</v>
      </c>
      <c r="J238" t="str">
        <f t="shared" si="3"/>
        <v>Sep-2024</v>
      </c>
    </row>
    <row r="239" spans="1:10">
      <c r="A239">
        <v>238</v>
      </c>
      <c r="B239">
        <v>13468</v>
      </c>
      <c r="C239" t="s">
        <v>18</v>
      </c>
      <c r="D239">
        <v>119785.52</v>
      </c>
      <c r="E239" t="s">
        <v>16</v>
      </c>
      <c r="F239">
        <v>12</v>
      </c>
      <c r="G239" t="s">
        <v>25</v>
      </c>
      <c r="H239" s="1">
        <v>45494</v>
      </c>
      <c r="I239" s="1">
        <v>45506</v>
      </c>
      <c r="J239" t="str">
        <f t="shared" si="3"/>
        <v>Jul-2024</v>
      </c>
    </row>
    <row r="240" spans="1:10">
      <c r="A240">
        <v>239</v>
      </c>
      <c r="B240">
        <v>15760</v>
      </c>
      <c r="C240" t="s">
        <v>22</v>
      </c>
      <c r="D240">
        <v>185019.33</v>
      </c>
      <c r="E240" t="s">
        <v>16</v>
      </c>
      <c r="F240">
        <v>3</v>
      </c>
      <c r="G240" t="s">
        <v>17</v>
      </c>
      <c r="H240" s="1">
        <v>45496</v>
      </c>
      <c r="I240" s="1">
        <v>45499</v>
      </c>
      <c r="J240" t="str">
        <f t="shared" si="3"/>
        <v>Jul-2024</v>
      </c>
    </row>
    <row r="241" spans="1:10">
      <c r="A241">
        <v>240</v>
      </c>
      <c r="B241">
        <v>10490</v>
      </c>
      <c r="C241" t="s">
        <v>23</v>
      </c>
      <c r="D241">
        <v>150877.43</v>
      </c>
      <c r="E241" t="s">
        <v>16</v>
      </c>
      <c r="F241">
        <v>15</v>
      </c>
      <c r="G241" t="s">
        <v>20</v>
      </c>
      <c r="H241" s="1">
        <v>45444</v>
      </c>
      <c r="I241" s="1">
        <v>45459</v>
      </c>
      <c r="J241" t="str">
        <f t="shared" si="3"/>
        <v>Jun-2024</v>
      </c>
    </row>
    <row r="242" spans="1:10">
      <c r="A242">
        <v>241</v>
      </c>
      <c r="B242">
        <v>14263</v>
      </c>
      <c r="C242" t="s">
        <v>23</v>
      </c>
      <c r="D242">
        <v>134953.19</v>
      </c>
      <c r="E242" t="s">
        <v>16</v>
      </c>
      <c r="F242">
        <v>5</v>
      </c>
      <c r="G242" t="s">
        <v>25</v>
      </c>
      <c r="H242" s="1">
        <v>45461</v>
      </c>
      <c r="I242" s="1">
        <v>45466</v>
      </c>
      <c r="J242" t="str">
        <f t="shared" si="3"/>
        <v>Jun-2024</v>
      </c>
    </row>
    <row r="243" spans="1:10">
      <c r="A243">
        <v>242</v>
      </c>
      <c r="B243">
        <v>17769</v>
      </c>
      <c r="C243" t="s">
        <v>23</v>
      </c>
      <c r="D243">
        <v>118630.69</v>
      </c>
      <c r="E243" t="s">
        <v>16</v>
      </c>
      <c r="F243">
        <v>40</v>
      </c>
      <c r="G243" t="s">
        <v>17</v>
      </c>
      <c r="H243" s="1">
        <v>45532</v>
      </c>
      <c r="I243" s="1">
        <v>45572</v>
      </c>
      <c r="J243" t="str">
        <f t="shared" si="3"/>
        <v>Aug-2024</v>
      </c>
    </row>
    <row r="244" spans="1:10">
      <c r="A244">
        <v>243</v>
      </c>
      <c r="B244">
        <v>18950</v>
      </c>
      <c r="C244" t="s">
        <v>23</v>
      </c>
      <c r="D244">
        <v>100149.84</v>
      </c>
      <c r="E244" t="s">
        <v>19</v>
      </c>
      <c r="F244">
        <v>35</v>
      </c>
      <c r="G244" t="s">
        <v>20</v>
      </c>
      <c r="H244" s="1">
        <v>45578</v>
      </c>
      <c r="I244" s="1">
        <v>45613</v>
      </c>
      <c r="J244" t="str">
        <f t="shared" si="3"/>
        <v>Oct-2024</v>
      </c>
    </row>
    <row r="245" spans="1:10">
      <c r="A245">
        <v>244</v>
      </c>
      <c r="B245">
        <v>11197</v>
      </c>
      <c r="C245" t="s">
        <v>23</v>
      </c>
      <c r="D245">
        <v>41379.949999999997</v>
      </c>
      <c r="E245" t="s">
        <v>16</v>
      </c>
      <c r="F245">
        <v>40</v>
      </c>
      <c r="G245" t="s">
        <v>21</v>
      </c>
      <c r="H245" s="1">
        <v>45536</v>
      </c>
      <c r="I245" s="1">
        <v>45576</v>
      </c>
      <c r="J245" t="str">
        <f t="shared" si="3"/>
        <v>Sep-2024</v>
      </c>
    </row>
    <row r="246" spans="1:10">
      <c r="A246">
        <v>245</v>
      </c>
      <c r="B246">
        <v>11904</v>
      </c>
      <c r="C246" t="s">
        <v>18</v>
      </c>
      <c r="D246">
        <v>179468.54</v>
      </c>
      <c r="E246" t="s">
        <v>16</v>
      </c>
      <c r="F246">
        <v>10</v>
      </c>
      <c r="G246" t="s">
        <v>17</v>
      </c>
      <c r="H246" s="1">
        <v>45612</v>
      </c>
      <c r="I246" s="1">
        <v>45622</v>
      </c>
      <c r="J246" t="str">
        <f t="shared" si="3"/>
        <v>Nov-2024</v>
      </c>
    </row>
    <row r="247" spans="1:10">
      <c r="A247">
        <v>246</v>
      </c>
      <c r="B247">
        <v>15269</v>
      </c>
      <c r="C247" t="s">
        <v>18</v>
      </c>
      <c r="D247">
        <v>53464.52</v>
      </c>
      <c r="E247" t="s">
        <v>16</v>
      </c>
      <c r="F247">
        <v>41</v>
      </c>
      <c r="G247" t="s">
        <v>25</v>
      </c>
      <c r="H247" s="1">
        <v>45371</v>
      </c>
      <c r="I247" s="1">
        <v>45412</v>
      </c>
      <c r="J247" t="str">
        <f t="shared" si="3"/>
        <v>Mar-2024</v>
      </c>
    </row>
    <row r="248" spans="1:10">
      <c r="A248">
        <v>247</v>
      </c>
      <c r="B248">
        <v>11650</v>
      </c>
      <c r="C248" t="s">
        <v>18</v>
      </c>
      <c r="D248">
        <v>22805.23</v>
      </c>
      <c r="E248" t="s">
        <v>16</v>
      </c>
      <c r="F248">
        <v>42</v>
      </c>
      <c r="G248" t="s">
        <v>21</v>
      </c>
      <c r="H248" s="1">
        <v>45383</v>
      </c>
      <c r="I248" s="1">
        <v>45425</v>
      </c>
      <c r="J248" t="str">
        <f t="shared" si="3"/>
        <v>Apr-2024</v>
      </c>
    </row>
    <row r="249" spans="1:10">
      <c r="A249">
        <v>248</v>
      </c>
      <c r="B249">
        <v>13191</v>
      </c>
      <c r="C249" t="s">
        <v>23</v>
      </c>
      <c r="D249">
        <v>151252.96</v>
      </c>
      <c r="E249" t="s">
        <v>19</v>
      </c>
      <c r="F249">
        <v>8</v>
      </c>
      <c r="G249" t="s">
        <v>21</v>
      </c>
      <c r="H249" s="1">
        <v>45440</v>
      </c>
      <c r="I249" s="1">
        <v>45448</v>
      </c>
      <c r="J249" t="str">
        <f t="shared" si="3"/>
        <v>May-2024</v>
      </c>
    </row>
    <row r="250" spans="1:10">
      <c r="A250">
        <v>249</v>
      </c>
      <c r="B250">
        <v>10027</v>
      </c>
      <c r="C250" t="s">
        <v>15</v>
      </c>
      <c r="D250">
        <v>39245.03</v>
      </c>
      <c r="E250" t="s">
        <v>16</v>
      </c>
      <c r="F250">
        <v>18</v>
      </c>
      <c r="G250" t="s">
        <v>21</v>
      </c>
      <c r="H250" s="1">
        <v>45321</v>
      </c>
      <c r="I250" s="1">
        <v>45339</v>
      </c>
      <c r="J250" t="str">
        <f t="shared" si="3"/>
        <v>Jan-2024</v>
      </c>
    </row>
    <row r="251" spans="1:10">
      <c r="A251">
        <v>250</v>
      </c>
      <c r="B251">
        <v>16260</v>
      </c>
      <c r="C251" t="s">
        <v>18</v>
      </c>
      <c r="D251">
        <v>77519.72</v>
      </c>
      <c r="E251" t="s">
        <v>16</v>
      </c>
      <c r="F251">
        <v>24</v>
      </c>
      <c r="G251" t="s">
        <v>17</v>
      </c>
      <c r="H251" s="1">
        <v>45414</v>
      </c>
      <c r="I251" s="1">
        <v>45438</v>
      </c>
      <c r="J251" t="str">
        <f t="shared" si="3"/>
        <v>May-2024</v>
      </c>
    </row>
    <row r="252" spans="1:10">
      <c r="A252">
        <v>251</v>
      </c>
      <c r="B252">
        <v>12750</v>
      </c>
      <c r="C252" t="s">
        <v>23</v>
      </c>
      <c r="D252">
        <v>10515.56</v>
      </c>
      <c r="E252" t="s">
        <v>16</v>
      </c>
      <c r="F252">
        <v>12</v>
      </c>
      <c r="G252" t="s">
        <v>25</v>
      </c>
      <c r="H252" s="1">
        <v>45617</v>
      </c>
      <c r="I252" s="1">
        <v>45629</v>
      </c>
      <c r="J252" t="str">
        <f t="shared" si="3"/>
        <v>Nov-2024</v>
      </c>
    </row>
    <row r="253" spans="1:10">
      <c r="A253">
        <v>252</v>
      </c>
      <c r="B253">
        <v>12879</v>
      </c>
      <c r="C253" t="s">
        <v>18</v>
      </c>
      <c r="D253">
        <v>31728.25</v>
      </c>
      <c r="E253" t="s">
        <v>16</v>
      </c>
      <c r="F253">
        <v>23</v>
      </c>
      <c r="G253" t="s">
        <v>21</v>
      </c>
      <c r="H253" s="1">
        <v>45320</v>
      </c>
      <c r="I253" s="1">
        <v>45343</v>
      </c>
      <c r="J253" t="str">
        <f t="shared" si="3"/>
        <v>Jan-2024</v>
      </c>
    </row>
    <row r="254" spans="1:10">
      <c r="A254">
        <v>253</v>
      </c>
      <c r="B254">
        <v>14357</v>
      </c>
      <c r="C254" t="s">
        <v>23</v>
      </c>
      <c r="D254">
        <v>38774.71</v>
      </c>
      <c r="E254" t="s">
        <v>16</v>
      </c>
      <c r="F254">
        <v>19</v>
      </c>
      <c r="G254" t="s">
        <v>20</v>
      </c>
      <c r="H254" s="1">
        <v>45550</v>
      </c>
      <c r="I254" s="1">
        <v>45569</v>
      </c>
      <c r="J254" t="str">
        <f t="shared" si="3"/>
        <v>Sep-2024</v>
      </c>
    </row>
    <row r="255" spans="1:10">
      <c r="A255">
        <v>254</v>
      </c>
      <c r="B255">
        <v>12832</v>
      </c>
      <c r="C255" t="s">
        <v>23</v>
      </c>
      <c r="D255">
        <v>15609.97</v>
      </c>
      <c r="E255" t="s">
        <v>16</v>
      </c>
      <c r="F255">
        <v>29</v>
      </c>
      <c r="G255" t="s">
        <v>21</v>
      </c>
      <c r="H255" s="1">
        <v>45477</v>
      </c>
      <c r="I255" s="1">
        <v>45506</v>
      </c>
      <c r="J255" t="str">
        <f t="shared" si="3"/>
        <v>Jul-2024</v>
      </c>
    </row>
    <row r="256" spans="1:10">
      <c r="A256">
        <v>255</v>
      </c>
      <c r="B256">
        <v>13109</v>
      </c>
      <c r="C256" t="s">
        <v>22</v>
      </c>
      <c r="D256">
        <v>133048.10999999999</v>
      </c>
      <c r="E256" t="s">
        <v>16</v>
      </c>
      <c r="F256">
        <v>17</v>
      </c>
      <c r="G256" t="s">
        <v>21</v>
      </c>
      <c r="H256" s="1">
        <v>45366</v>
      </c>
      <c r="I256" s="1">
        <v>45383</v>
      </c>
      <c r="J256" t="str">
        <f t="shared" si="3"/>
        <v>Mar-2024</v>
      </c>
    </row>
    <row r="257" spans="1:10">
      <c r="A257">
        <v>256</v>
      </c>
      <c r="B257">
        <v>19652</v>
      </c>
      <c r="C257" t="s">
        <v>23</v>
      </c>
      <c r="D257">
        <v>168216.52</v>
      </c>
      <c r="E257" t="s">
        <v>19</v>
      </c>
      <c r="F257">
        <v>43</v>
      </c>
      <c r="G257" t="s">
        <v>17</v>
      </c>
      <c r="H257" s="1">
        <v>45336</v>
      </c>
      <c r="I257" s="1">
        <v>45379</v>
      </c>
      <c r="J257" t="str">
        <f t="shared" si="3"/>
        <v>Feb-2024</v>
      </c>
    </row>
    <row r="258" spans="1:10">
      <c r="A258">
        <v>257</v>
      </c>
      <c r="B258">
        <v>15758</v>
      </c>
      <c r="C258" t="s">
        <v>23</v>
      </c>
      <c r="D258">
        <v>77796.5</v>
      </c>
      <c r="E258" t="s">
        <v>16</v>
      </c>
      <c r="F258">
        <v>5</v>
      </c>
      <c r="G258" t="s">
        <v>17</v>
      </c>
      <c r="H258" s="1">
        <v>45360</v>
      </c>
      <c r="I258" s="1">
        <v>45365</v>
      </c>
      <c r="J258" t="str">
        <f t="shared" si="3"/>
        <v>Mar-2024</v>
      </c>
    </row>
    <row r="259" spans="1:10">
      <c r="A259">
        <v>258</v>
      </c>
      <c r="B259">
        <v>12921</v>
      </c>
      <c r="C259" t="s">
        <v>15</v>
      </c>
      <c r="D259">
        <v>175542.41</v>
      </c>
      <c r="E259" t="s">
        <v>19</v>
      </c>
      <c r="F259">
        <v>37</v>
      </c>
      <c r="G259" t="s">
        <v>25</v>
      </c>
      <c r="H259" s="1">
        <v>45501</v>
      </c>
      <c r="I259" s="1">
        <v>45538</v>
      </c>
      <c r="J259" t="str">
        <f t="shared" ref="J259:J322" si="4">TEXT(H259,"mmm-yyyy")</f>
        <v>Jul-2024</v>
      </c>
    </row>
    <row r="260" spans="1:10">
      <c r="A260">
        <v>259</v>
      </c>
      <c r="B260">
        <v>11433</v>
      </c>
      <c r="C260" t="s">
        <v>18</v>
      </c>
      <c r="D260">
        <v>46602.58</v>
      </c>
      <c r="E260" t="s">
        <v>19</v>
      </c>
      <c r="F260">
        <v>23</v>
      </c>
      <c r="G260" t="s">
        <v>20</v>
      </c>
      <c r="H260" s="1">
        <v>45530</v>
      </c>
      <c r="I260" s="1">
        <v>45553</v>
      </c>
      <c r="J260" t="str">
        <f t="shared" si="4"/>
        <v>Aug-2024</v>
      </c>
    </row>
    <row r="261" spans="1:10">
      <c r="A261">
        <v>260</v>
      </c>
      <c r="B261">
        <v>14428</v>
      </c>
      <c r="C261" t="s">
        <v>23</v>
      </c>
      <c r="D261">
        <v>68451.13</v>
      </c>
      <c r="E261" t="s">
        <v>16</v>
      </c>
      <c r="F261">
        <v>12</v>
      </c>
      <c r="G261" t="s">
        <v>17</v>
      </c>
      <c r="H261" s="1">
        <v>45631</v>
      </c>
      <c r="I261" s="1">
        <v>45643</v>
      </c>
      <c r="J261" t="str">
        <f t="shared" si="4"/>
        <v>Dec-2024</v>
      </c>
    </row>
    <row r="262" spans="1:10">
      <c r="A262">
        <v>261</v>
      </c>
      <c r="B262">
        <v>17698</v>
      </c>
      <c r="C262" t="s">
        <v>23</v>
      </c>
      <c r="D262">
        <v>34393.71</v>
      </c>
      <c r="E262" t="s">
        <v>16</v>
      </c>
      <c r="F262">
        <v>22</v>
      </c>
      <c r="G262" t="s">
        <v>21</v>
      </c>
      <c r="H262" s="1">
        <v>45599</v>
      </c>
      <c r="I262" s="1">
        <v>45621</v>
      </c>
      <c r="J262" t="str">
        <f t="shared" si="4"/>
        <v>Nov-2024</v>
      </c>
    </row>
    <row r="263" spans="1:10">
      <c r="A263">
        <v>262</v>
      </c>
      <c r="B263">
        <v>18111</v>
      </c>
      <c r="C263" t="s">
        <v>23</v>
      </c>
      <c r="D263">
        <v>126009.04</v>
      </c>
      <c r="E263" t="s">
        <v>16</v>
      </c>
      <c r="F263">
        <v>41</v>
      </c>
      <c r="G263" t="s">
        <v>25</v>
      </c>
      <c r="H263" s="1">
        <v>45483</v>
      </c>
      <c r="I263" s="1">
        <v>45524</v>
      </c>
      <c r="J263" t="str">
        <f t="shared" si="4"/>
        <v>Jul-2024</v>
      </c>
    </row>
    <row r="264" spans="1:10">
      <c r="A264">
        <v>263</v>
      </c>
      <c r="B264">
        <v>13536</v>
      </c>
      <c r="C264" t="s">
        <v>18</v>
      </c>
      <c r="D264">
        <v>86874.57</v>
      </c>
      <c r="E264" t="s">
        <v>16</v>
      </c>
      <c r="F264">
        <v>42</v>
      </c>
      <c r="G264" t="s">
        <v>21</v>
      </c>
      <c r="H264" s="1">
        <v>45394</v>
      </c>
      <c r="I264" s="1">
        <v>45436</v>
      </c>
      <c r="J264" t="str">
        <f t="shared" si="4"/>
        <v>Apr-2024</v>
      </c>
    </row>
    <row r="265" spans="1:10">
      <c r="A265">
        <v>264</v>
      </c>
      <c r="B265">
        <v>16863</v>
      </c>
      <c r="C265" t="s">
        <v>23</v>
      </c>
      <c r="D265">
        <v>124590.25</v>
      </c>
      <c r="E265" t="s">
        <v>19</v>
      </c>
      <c r="F265">
        <v>17</v>
      </c>
      <c r="G265" t="s">
        <v>21</v>
      </c>
      <c r="H265" s="1">
        <v>45532</v>
      </c>
      <c r="I265" s="1">
        <v>45549</v>
      </c>
      <c r="J265" t="str">
        <f t="shared" si="4"/>
        <v>Aug-2024</v>
      </c>
    </row>
    <row r="266" spans="1:10">
      <c r="A266">
        <v>265</v>
      </c>
      <c r="B266">
        <v>11181</v>
      </c>
      <c r="C266" t="s">
        <v>23</v>
      </c>
      <c r="D266">
        <v>153526.60999999999</v>
      </c>
      <c r="E266" t="s">
        <v>16</v>
      </c>
      <c r="F266">
        <v>43</v>
      </c>
      <c r="G266" t="s">
        <v>17</v>
      </c>
      <c r="H266" s="1">
        <v>45544</v>
      </c>
      <c r="I266" s="1">
        <v>45587</v>
      </c>
      <c r="J266" t="str">
        <f t="shared" si="4"/>
        <v>Sep-2024</v>
      </c>
    </row>
    <row r="267" spans="1:10">
      <c r="A267">
        <v>266</v>
      </c>
      <c r="B267">
        <v>13405</v>
      </c>
      <c r="C267" t="s">
        <v>22</v>
      </c>
      <c r="D267">
        <v>111412.09</v>
      </c>
      <c r="E267" t="s">
        <v>16</v>
      </c>
      <c r="F267">
        <v>10</v>
      </c>
      <c r="G267" t="s">
        <v>25</v>
      </c>
      <c r="H267" s="1">
        <v>45511</v>
      </c>
      <c r="I267" s="1">
        <v>45521</v>
      </c>
      <c r="J267" t="str">
        <f t="shared" si="4"/>
        <v>Aug-2024</v>
      </c>
    </row>
    <row r="268" spans="1:10">
      <c r="A268">
        <v>267</v>
      </c>
      <c r="B268">
        <v>13914</v>
      </c>
      <c r="C268" t="s">
        <v>18</v>
      </c>
      <c r="D268">
        <v>127387.92</v>
      </c>
      <c r="E268" t="s">
        <v>16</v>
      </c>
      <c r="F268">
        <v>36</v>
      </c>
      <c r="G268" t="s">
        <v>20</v>
      </c>
      <c r="H268" s="1">
        <v>45627</v>
      </c>
      <c r="I268" s="1">
        <v>45663</v>
      </c>
      <c r="J268" t="str">
        <f t="shared" si="4"/>
        <v>Dec-2024</v>
      </c>
    </row>
    <row r="269" spans="1:10">
      <c r="A269">
        <v>268</v>
      </c>
      <c r="B269">
        <v>19975</v>
      </c>
      <c r="C269" t="s">
        <v>23</v>
      </c>
      <c r="D269">
        <v>187373.81</v>
      </c>
      <c r="E269" t="s">
        <v>16</v>
      </c>
      <c r="F269">
        <v>35</v>
      </c>
      <c r="G269" t="s">
        <v>20</v>
      </c>
      <c r="H269" s="1">
        <v>45508</v>
      </c>
      <c r="I269" s="1">
        <v>45543</v>
      </c>
      <c r="J269" t="str">
        <f t="shared" si="4"/>
        <v>Aug-2024</v>
      </c>
    </row>
    <row r="270" spans="1:10">
      <c r="A270">
        <v>269</v>
      </c>
      <c r="B270">
        <v>13722</v>
      </c>
      <c r="C270" t="s">
        <v>18</v>
      </c>
      <c r="D270">
        <v>63317.54</v>
      </c>
      <c r="E270" t="s">
        <v>16</v>
      </c>
      <c r="F270">
        <v>10</v>
      </c>
      <c r="G270" t="s">
        <v>17</v>
      </c>
      <c r="H270" s="1">
        <v>45493</v>
      </c>
      <c r="I270" s="1">
        <v>45503</v>
      </c>
      <c r="J270" t="str">
        <f t="shared" si="4"/>
        <v>Jul-2024</v>
      </c>
    </row>
    <row r="271" spans="1:10">
      <c r="A271">
        <v>270</v>
      </c>
      <c r="B271">
        <v>12642</v>
      </c>
      <c r="C271" t="s">
        <v>18</v>
      </c>
      <c r="D271">
        <v>75036.97</v>
      </c>
      <c r="E271" t="s">
        <v>19</v>
      </c>
      <c r="F271">
        <v>14</v>
      </c>
      <c r="G271" t="s">
        <v>17</v>
      </c>
      <c r="H271" s="1">
        <v>45320</v>
      </c>
      <c r="I271" s="1">
        <v>45334</v>
      </c>
      <c r="J271" t="str">
        <f t="shared" si="4"/>
        <v>Jan-2024</v>
      </c>
    </row>
    <row r="272" spans="1:10">
      <c r="A272">
        <v>271</v>
      </c>
      <c r="B272">
        <v>17577</v>
      </c>
      <c r="C272" t="s">
        <v>23</v>
      </c>
      <c r="D272">
        <v>144952.16</v>
      </c>
      <c r="E272" t="s">
        <v>16</v>
      </c>
      <c r="F272">
        <v>7</v>
      </c>
      <c r="G272" t="s">
        <v>25</v>
      </c>
      <c r="H272" s="1">
        <v>45503</v>
      </c>
      <c r="I272" s="1">
        <v>45510</v>
      </c>
      <c r="J272" t="str">
        <f t="shared" si="4"/>
        <v>Jul-2024</v>
      </c>
    </row>
    <row r="273" spans="1:10">
      <c r="A273">
        <v>272</v>
      </c>
      <c r="B273">
        <v>13711</v>
      </c>
      <c r="C273" t="s">
        <v>23</v>
      </c>
      <c r="D273">
        <v>124204.58</v>
      </c>
      <c r="E273" t="s">
        <v>19</v>
      </c>
      <c r="F273">
        <v>5</v>
      </c>
      <c r="G273" t="s">
        <v>20</v>
      </c>
      <c r="H273" s="1">
        <v>45445</v>
      </c>
      <c r="I273" s="1">
        <v>45450</v>
      </c>
      <c r="J273" t="str">
        <f t="shared" si="4"/>
        <v>Jun-2024</v>
      </c>
    </row>
    <row r="274" spans="1:10">
      <c r="A274">
        <v>273</v>
      </c>
      <c r="B274">
        <v>12960</v>
      </c>
      <c r="C274" t="s">
        <v>15</v>
      </c>
      <c r="D274">
        <v>39813.919999999998</v>
      </c>
      <c r="E274" t="s">
        <v>16</v>
      </c>
      <c r="F274">
        <v>29</v>
      </c>
      <c r="G274" t="s">
        <v>20</v>
      </c>
      <c r="H274" s="1">
        <v>45522</v>
      </c>
      <c r="I274" s="1">
        <v>45551</v>
      </c>
      <c r="J274" t="str">
        <f t="shared" si="4"/>
        <v>Aug-2024</v>
      </c>
    </row>
    <row r="275" spans="1:10">
      <c r="A275">
        <v>274</v>
      </c>
      <c r="B275">
        <v>14830</v>
      </c>
      <c r="C275" t="s">
        <v>23</v>
      </c>
      <c r="D275">
        <v>78348.73</v>
      </c>
      <c r="E275" t="s">
        <v>16</v>
      </c>
      <c r="F275">
        <v>12</v>
      </c>
      <c r="G275" t="s">
        <v>20</v>
      </c>
      <c r="H275" s="1">
        <v>45393</v>
      </c>
      <c r="I275" s="1">
        <v>45405</v>
      </c>
      <c r="J275" t="str">
        <f t="shared" si="4"/>
        <v>Apr-2024</v>
      </c>
    </row>
    <row r="276" spans="1:10">
      <c r="A276">
        <v>275</v>
      </c>
      <c r="B276">
        <v>15458</v>
      </c>
      <c r="C276" t="s">
        <v>18</v>
      </c>
      <c r="D276">
        <v>96228.41</v>
      </c>
      <c r="E276" t="s">
        <v>16</v>
      </c>
      <c r="F276">
        <v>35</v>
      </c>
      <c r="G276" t="s">
        <v>21</v>
      </c>
      <c r="H276" s="1">
        <v>45606</v>
      </c>
      <c r="I276" s="1">
        <v>45641</v>
      </c>
      <c r="J276" t="str">
        <f t="shared" si="4"/>
        <v>Nov-2024</v>
      </c>
    </row>
    <row r="277" spans="1:10">
      <c r="A277">
        <v>276</v>
      </c>
      <c r="B277">
        <v>19771</v>
      </c>
      <c r="C277" t="s">
        <v>23</v>
      </c>
      <c r="D277">
        <v>86781.02</v>
      </c>
      <c r="E277" t="s">
        <v>16</v>
      </c>
      <c r="F277">
        <v>36</v>
      </c>
      <c r="G277" t="s">
        <v>20</v>
      </c>
      <c r="H277" s="1">
        <v>45468</v>
      </c>
      <c r="I277" s="1">
        <v>45504</v>
      </c>
      <c r="J277" t="str">
        <f t="shared" si="4"/>
        <v>Jun-2024</v>
      </c>
    </row>
    <row r="278" spans="1:10">
      <c r="A278">
        <v>277</v>
      </c>
      <c r="B278">
        <v>11619</v>
      </c>
      <c r="C278" t="s">
        <v>23</v>
      </c>
      <c r="D278">
        <v>39763.589999999997</v>
      </c>
      <c r="E278" t="s">
        <v>16</v>
      </c>
      <c r="F278">
        <v>6</v>
      </c>
      <c r="G278" t="s">
        <v>21</v>
      </c>
      <c r="H278" s="1">
        <v>45472</v>
      </c>
      <c r="I278" s="1">
        <v>45478</v>
      </c>
      <c r="J278" t="str">
        <f t="shared" si="4"/>
        <v>Jun-2024</v>
      </c>
    </row>
    <row r="279" spans="1:10">
      <c r="A279">
        <v>278</v>
      </c>
      <c r="B279">
        <v>16138</v>
      </c>
      <c r="C279" t="s">
        <v>23</v>
      </c>
      <c r="D279">
        <v>185263.87</v>
      </c>
      <c r="E279" t="s">
        <v>19</v>
      </c>
      <c r="F279">
        <v>40</v>
      </c>
      <c r="G279" t="s">
        <v>25</v>
      </c>
      <c r="H279" s="1">
        <v>45523</v>
      </c>
      <c r="I279" s="1">
        <v>45563</v>
      </c>
      <c r="J279" t="str">
        <f t="shared" si="4"/>
        <v>Aug-2024</v>
      </c>
    </row>
    <row r="280" spans="1:10">
      <c r="A280">
        <v>279</v>
      </c>
      <c r="B280">
        <v>16680</v>
      </c>
      <c r="C280" t="s">
        <v>23</v>
      </c>
      <c r="D280">
        <v>153652.16</v>
      </c>
      <c r="E280" t="s">
        <v>19</v>
      </c>
      <c r="F280">
        <v>12</v>
      </c>
      <c r="G280" t="s">
        <v>21</v>
      </c>
      <c r="H280" s="1">
        <v>45303</v>
      </c>
      <c r="I280" s="1">
        <v>45315</v>
      </c>
      <c r="J280" t="str">
        <f t="shared" si="4"/>
        <v>Jan-2024</v>
      </c>
    </row>
    <row r="281" spans="1:10">
      <c r="A281">
        <v>280</v>
      </c>
      <c r="B281">
        <v>12340</v>
      </c>
      <c r="C281" t="s">
        <v>23</v>
      </c>
      <c r="D281">
        <v>98864.39</v>
      </c>
      <c r="E281" t="s">
        <v>16</v>
      </c>
      <c r="F281">
        <v>13</v>
      </c>
      <c r="G281" t="s">
        <v>25</v>
      </c>
      <c r="H281" s="1">
        <v>45477</v>
      </c>
      <c r="I281" s="1">
        <v>45490</v>
      </c>
      <c r="J281" t="str">
        <f t="shared" si="4"/>
        <v>Jul-2024</v>
      </c>
    </row>
    <row r="282" spans="1:10">
      <c r="A282">
        <v>281</v>
      </c>
      <c r="B282">
        <v>19419</v>
      </c>
      <c r="C282" t="s">
        <v>23</v>
      </c>
      <c r="D282">
        <v>137611.9</v>
      </c>
      <c r="E282" t="s">
        <v>16</v>
      </c>
      <c r="F282">
        <v>44</v>
      </c>
      <c r="G282" t="s">
        <v>20</v>
      </c>
      <c r="H282" s="1">
        <v>45540</v>
      </c>
      <c r="I282" s="1">
        <v>45584</v>
      </c>
      <c r="J282" t="str">
        <f t="shared" si="4"/>
        <v>Sep-2024</v>
      </c>
    </row>
    <row r="283" spans="1:10">
      <c r="A283">
        <v>282</v>
      </c>
      <c r="B283">
        <v>11728</v>
      </c>
      <c r="C283" t="s">
        <v>15</v>
      </c>
      <c r="D283">
        <v>179970.12</v>
      </c>
      <c r="E283" t="s">
        <v>16</v>
      </c>
      <c r="F283">
        <v>20</v>
      </c>
      <c r="G283" t="s">
        <v>20</v>
      </c>
      <c r="H283" s="1">
        <v>45557</v>
      </c>
      <c r="I283" s="1">
        <v>45577</v>
      </c>
      <c r="J283" t="str">
        <f t="shared" si="4"/>
        <v>Sep-2024</v>
      </c>
    </row>
    <row r="284" spans="1:10">
      <c r="A284">
        <v>283</v>
      </c>
      <c r="B284">
        <v>13585</v>
      </c>
      <c r="C284" t="s">
        <v>22</v>
      </c>
      <c r="D284">
        <v>31553.96</v>
      </c>
      <c r="E284" t="s">
        <v>19</v>
      </c>
      <c r="F284">
        <v>14</v>
      </c>
      <c r="G284" t="s">
        <v>25</v>
      </c>
      <c r="H284" s="1">
        <v>45426</v>
      </c>
      <c r="I284" s="1">
        <v>45440</v>
      </c>
      <c r="J284" t="str">
        <f t="shared" si="4"/>
        <v>May-2024</v>
      </c>
    </row>
    <row r="285" spans="1:10">
      <c r="A285">
        <v>284</v>
      </c>
      <c r="B285">
        <v>10201</v>
      </c>
      <c r="C285" t="s">
        <v>18</v>
      </c>
      <c r="D285">
        <v>53822.74</v>
      </c>
      <c r="E285" t="s">
        <v>16</v>
      </c>
      <c r="F285">
        <v>5</v>
      </c>
      <c r="G285" t="s">
        <v>17</v>
      </c>
      <c r="H285" s="1">
        <v>45536</v>
      </c>
      <c r="I285" s="1">
        <v>45541</v>
      </c>
      <c r="J285" t="str">
        <f t="shared" si="4"/>
        <v>Sep-2024</v>
      </c>
    </row>
    <row r="286" spans="1:10">
      <c r="A286">
        <v>285</v>
      </c>
      <c r="B286">
        <v>15985</v>
      </c>
      <c r="C286" t="s">
        <v>15</v>
      </c>
      <c r="D286">
        <v>110826.74</v>
      </c>
      <c r="E286" t="s">
        <v>24</v>
      </c>
      <c r="G286" t="s">
        <v>25</v>
      </c>
      <c r="H286" s="1">
        <v>45322</v>
      </c>
      <c r="J286" t="str">
        <f t="shared" si="4"/>
        <v>Jan-2024</v>
      </c>
    </row>
    <row r="287" spans="1:10">
      <c r="A287">
        <v>286</v>
      </c>
      <c r="B287">
        <v>16175</v>
      </c>
      <c r="C287" t="s">
        <v>23</v>
      </c>
      <c r="D287">
        <v>160807.01999999999</v>
      </c>
      <c r="E287" t="s">
        <v>16</v>
      </c>
      <c r="F287">
        <v>3</v>
      </c>
      <c r="G287" t="s">
        <v>17</v>
      </c>
      <c r="H287" s="1">
        <v>45638</v>
      </c>
      <c r="I287" s="1">
        <v>45641</v>
      </c>
      <c r="J287" t="str">
        <f t="shared" si="4"/>
        <v>Dec-2024</v>
      </c>
    </row>
    <row r="288" spans="1:10">
      <c r="A288">
        <v>287</v>
      </c>
      <c r="B288">
        <v>13160</v>
      </c>
      <c r="C288" t="s">
        <v>22</v>
      </c>
      <c r="D288">
        <v>12069.7</v>
      </c>
      <c r="E288" t="s">
        <v>16</v>
      </c>
      <c r="F288">
        <v>9</v>
      </c>
      <c r="G288" t="s">
        <v>21</v>
      </c>
      <c r="H288" s="1">
        <v>45550</v>
      </c>
      <c r="I288" s="1">
        <v>45559</v>
      </c>
      <c r="J288" t="str">
        <f t="shared" si="4"/>
        <v>Sep-2024</v>
      </c>
    </row>
    <row r="289" spans="1:10">
      <c r="A289">
        <v>288</v>
      </c>
      <c r="B289">
        <v>11713</v>
      </c>
      <c r="C289" t="s">
        <v>23</v>
      </c>
      <c r="D289">
        <v>196883.54</v>
      </c>
      <c r="E289" t="s">
        <v>24</v>
      </c>
      <c r="G289" t="s">
        <v>21</v>
      </c>
      <c r="H289" s="1">
        <v>45395</v>
      </c>
      <c r="J289" t="str">
        <f t="shared" si="4"/>
        <v>Apr-2024</v>
      </c>
    </row>
    <row r="290" spans="1:10">
      <c r="A290">
        <v>289</v>
      </c>
      <c r="B290">
        <v>17872</v>
      </c>
      <c r="C290" t="s">
        <v>22</v>
      </c>
      <c r="D290">
        <v>93706.79</v>
      </c>
      <c r="E290" t="s">
        <v>16</v>
      </c>
      <c r="F290">
        <v>14</v>
      </c>
      <c r="G290" t="s">
        <v>21</v>
      </c>
      <c r="H290" s="1">
        <v>45292</v>
      </c>
      <c r="I290" s="1">
        <v>45306</v>
      </c>
      <c r="J290" t="str">
        <f t="shared" si="4"/>
        <v>Jan-2024</v>
      </c>
    </row>
    <row r="291" spans="1:10">
      <c r="A291">
        <v>290</v>
      </c>
      <c r="B291">
        <v>17839</v>
      </c>
      <c r="C291" t="s">
        <v>22</v>
      </c>
      <c r="D291">
        <v>75050.070000000007</v>
      </c>
      <c r="E291" t="s">
        <v>16</v>
      </c>
      <c r="F291">
        <v>22</v>
      </c>
      <c r="G291" t="s">
        <v>20</v>
      </c>
      <c r="H291" s="1">
        <v>45498</v>
      </c>
      <c r="I291" s="1">
        <v>45520</v>
      </c>
      <c r="J291" t="str">
        <f t="shared" si="4"/>
        <v>Jul-2024</v>
      </c>
    </row>
    <row r="292" spans="1:10">
      <c r="A292">
        <v>291</v>
      </c>
      <c r="B292">
        <v>16859</v>
      </c>
      <c r="C292" t="s">
        <v>18</v>
      </c>
      <c r="D292">
        <v>62081.27</v>
      </c>
      <c r="E292" t="s">
        <v>16</v>
      </c>
      <c r="F292">
        <v>22</v>
      </c>
      <c r="G292" t="s">
        <v>21</v>
      </c>
      <c r="H292" s="1">
        <v>45426</v>
      </c>
      <c r="I292" s="1">
        <v>45448</v>
      </c>
      <c r="J292" t="str">
        <f t="shared" si="4"/>
        <v>May-2024</v>
      </c>
    </row>
    <row r="293" spans="1:10">
      <c r="A293">
        <v>292</v>
      </c>
      <c r="B293">
        <v>10752</v>
      </c>
      <c r="C293" t="s">
        <v>22</v>
      </c>
      <c r="D293">
        <v>38999.56</v>
      </c>
      <c r="E293" t="s">
        <v>16</v>
      </c>
      <c r="F293">
        <v>29</v>
      </c>
      <c r="G293" t="s">
        <v>17</v>
      </c>
      <c r="H293" s="1">
        <v>45562</v>
      </c>
      <c r="I293" s="1">
        <v>45591</v>
      </c>
      <c r="J293" t="str">
        <f t="shared" si="4"/>
        <v>Sep-2024</v>
      </c>
    </row>
    <row r="294" spans="1:10">
      <c r="A294">
        <v>293</v>
      </c>
      <c r="B294">
        <v>10114</v>
      </c>
      <c r="C294" t="s">
        <v>18</v>
      </c>
      <c r="D294">
        <v>159356.91</v>
      </c>
      <c r="E294" t="s">
        <v>16</v>
      </c>
      <c r="F294">
        <v>34</v>
      </c>
      <c r="G294" t="s">
        <v>21</v>
      </c>
      <c r="H294" s="1">
        <v>45380</v>
      </c>
      <c r="I294" s="1">
        <v>45414</v>
      </c>
      <c r="J294" t="str">
        <f t="shared" si="4"/>
        <v>Mar-2024</v>
      </c>
    </row>
    <row r="295" spans="1:10">
      <c r="A295">
        <v>294</v>
      </c>
      <c r="B295">
        <v>15341</v>
      </c>
      <c r="C295" t="s">
        <v>23</v>
      </c>
      <c r="D295">
        <v>191305.76</v>
      </c>
      <c r="E295" t="s">
        <v>16</v>
      </c>
      <c r="F295">
        <v>30</v>
      </c>
      <c r="G295" t="s">
        <v>25</v>
      </c>
      <c r="H295" s="1">
        <v>45486</v>
      </c>
      <c r="I295" s="1">
        <v>45516</v>
      </c>
      <c r="J295" t="str">
        <f t="shared" si="4"/>
        <v>Jul-2024</v>
      </c>
    </row>
    <row r="296" spans="1:10">
      <c r="A296">
        <v>295</v>
      </c>
      <c r="B296">
        <v>13980</v>
      </c>
      <c r="C296" t="s">
        <v>23</v>
      </c>
      <c r="D296">
        <v>85660.73</v>
      </c>
      <c r="E296" t="s">
        <v>19</v>
      </c>
      <c r="F296">
        <v>38</v>
      </c>
      <c r="G296" t="s">
        <v>25</v>
      </c>
      <c r="H296" s="1">
        <v>45413</v>
      </c>
      <c r="I296" s="1">
        <v>45451</v>
      </c>
      <c r="J296" t="str">
        <f t="shared" si="4"/>
        <v>May-2024</v>
      </c>
    </row>
    <row r="297" spans="1:10">
      <c r="A297">
        <v>296</v>
      </c>
      <c r="B297">
        <v>16325</v>
      </c>
      <c r="C297" t="s">
        <v>18</v>
      </c>
      <c r="D297">
        <v>190722.04</v>
      </c>
      <c r="E297" t="s">
        <v>16</v>
      </c>
      <c r="F297">
        <v>23</v>
      </c>
      <c r="G297" t="s">
        <v>20</v>
      </c>
      <c r="H297" s="1">
        <v>45407</v>
      </c>
      <c r="I297" s="1">
        <v>45430</v>
      </c>
      <c r="J297" t="str">
        <f t="shared" si="4"/>
        <v>Apr-2024</v>
      </c>
    </row>
    <row r="298" spans="1:10">
      <c r="A298">
        <v>297</v>
      </c>
      <c r="B298">
        <v>12818</v>
      </c>
      <c r="C298" t="s">
        <v>23</v>
      </c>
      <c r="D298">
        <v>165640.54</v>
      </c>
      <c r="E298" t="s">
        <v>24</v>
      </c>
      <c r="G298" t="s">
        <v>25</v>
      </c>
      <c r="H298" s="1">
        <v>45487</v>
      </c>
      <c r="J298" t="str">
        <f t="shared" si="4"/>
        <v>Jul-2024</v>
      </c>
    </row>
    <row r="299" spans="1:10">
      <c r="A299">
        <v>298</v>
      </c>
      <c r="B299">
        <v>10468</v>
      </c>
      <c r="C299" t="s">
        <v>18</v>
      </c>
      <c r="D299">
        <v>98804.97</v>
      </c>
      <c r="E299" t="s">
        <v>16</v>
      </c>
      <c r="F299">
        <v>12</v>
      </c>
      <c r="G299" t="s">
        <v>17</v>
      </c>
      <c r="H299" s="1">
        <v>45327</v>
      </c>
      <c r="I299" s="1">
        <v>45339</v>
      </c>
      <c r="J299" t="str">
        <f t="shared" si="4"/>
        <v>Feb-2024</v>
      </c>
    </row>
    <row r="300" spans="1:10">
      <c r="A300">
        <v>299</v>
      </c>
      <c r="B300">
        <v>10425</v>
      </c>
      <c r="C300" t="s">
        <v>22</v>
      </c>
      <c r="D300">
        <v>136435.1</v>
      </c>
      <c r="E300" t="s">
        <v>16</v>
      </c>
      <c r="F300">
        <v>12</v>
      </c>
      <c r="G300" t="s">
        <v>21</v>
      </c>
      <c r="H300" s="1">
        <v>45358</v>
      </c>
      <c r="I300" s="1">
        <v>45370</v>
      </c>
      <c r="J300" t="str">
        <f t="shared" si="4"/>
        <v>Mar-2024</v>
      </c>
    </row>
    <row r="301" spans="1:10">
      <c r="A301">
        <v>300</v>
      </c>
      <c r="B301">
        <v>18141</v>
      </c>
      <c r="C301" t="s">
        <v>23</v>
      </c>
      <c r="D301">
        <v>89821.91</v>
      </c>
      <c r="E301" t="s">
        <v>16</v>
      </c>
      <c r="F301">
        <v>35</v>
      </c>
      <c r="G301" t="s">
        <v>20</v>
      </c>
      <c r="H301" s="1">
        <v>45424</v>
      </c>
      <c r="I301" s="1">
        <v>45459</v>
      </c>
      <c r="J301" t="str">
        <f t="shared" si="4"/>
        <v>May-2024</v>
      </c>
    </row>
    <row r="302" spans="1:10">
      <c r="A302">
        <v>301</v>
      </c>
      <c r="B302">
        <v>11575</v>
      </c>
      <c r="C302" t="s">
        <v>18</v>
      </c>
      <c r="D302">
        <v>113951.06</v>
      </c>
      <c r="E302" t="s">
        <v>16</v>
      </c>
      <c r="F302">
        <v>20</v>
      </c>
      <c r="G302" t="s">
        <v>21</v>
      </c>
      <c r="H302" s="1">
        <v>45572</v>
      </c>
      <c r="I302" s="1">
        <v>45592</v>
      </c>
      <c r="J302" t="str">
        <f t="shared" si="4"/>
        <v>Oct-2024</v>
      </c>
    </row>
    <row r="303" spans="1:10">
      <c r="A303">
        <v>302</v>
      </c>
      <c r="B303">
        <v>10833</v>
      </c>
      <c r="C303" t="s">
        <v>22</v>
      </c>
      <c r="D303">
        <v>16319.04</v>
      </c>
      <c r="E303" t="s">
        <v>16</v>
      </c>
      <c r="F303">
        <v>38</v>
      </c>
      <c r="G303" t="s">
        <v>21</v>
      </c>
      <c r="H303" s="1">
        <v>45302</v>
      </c>
      <c r="I303" s="1">
        <v>45340</v>
      </c>
      <c r="J303" t="str">
        <f t="shared" si="4"/>
        <v>Jan-2024</v>
      </c>
    </row>
    <row r="304" spans="1:10">
      <c r="A304">
        <v>303</v>
      </c>
      <c r="B304">
        <v>14106</v>
      </c>
      <c r="C304" t="s">
        <v>22</v>
      </c>
      <c r="D304">
        <v>140771.38</v>
      </c>
      <c r="E304" t="s">
        <v>24</v>
      </c>
      <c r="G304" t="s">
        <v>17</v>
      </c>
      <c r="H304" s="1">
        <v>45509</v>
      </c>
      <c r="J304" t="str">
        <f t="shared" si="4"/>
        <v>Aug-2024</v>
      </c>
    </row>
    <row r="305" spans="1:10">
      <c r="A305">
        <v>304</v>
      </c>
      <c r="B305">
        <v>13703</v>
      </c>
      <c r="C305" t="s">
        <v>22</v>
      </c>
      <c r="D305">
        <v>15300.81</v>
      </c>
      <c r="E305" t="s">
        <v>16</v>
      </c>
      <c r="F305">
        <v>30</v>
      </c>
      <c r="G305" t="s">
        <v>25</v>
      </c>
      <c r="H305" s="1">
        <v>45613</v>
      </c>
      <c r="I305" s="1">
        <v>45643</v>
      </c>
      <c r="J305" t="str">
        <f t="shared" si="4"/>
        <v>Nov-2024</v>
      </c>
    </row>
    <row r="306" spans="1:10">
      <c r="A306">
        <v>305</v>
      </c>
      <c r="B306">
        <v>11408</v>
      </c>
      <c r="C306" t="s">
        <v>18</v>
      </c>
      <c r="D306">
        <v>164331.56</v>
      </c>
      <c r="E306" t="s">
        <v>16</v>
      </c>
      <c r="F306">
        <v>20</v>
      </c>
      <c r="G306" t="s">
        <v>25</v>
      </c>
      <c r="H306" s="1">
        <v>45447</v>
      </c>
      <c r="I306" s="1">
        <v>45467</v>
      </c>
      <c r="J306" t="str">
        <f t="shared" si="4"/>
        <v>Jun-2024</v>
      </c>
    </row>
    <row r="307" spans="1:10">
      <c r="A307">
        <v>306</v>
      </c>
      <c r="B307">
        <v>13481</v>
      </c>
      <c r="C307" t="s">
        <v>22</v>
      </c>
      <c r="D307">
        <v>165864.65</v>
      </c>
      <c r="E307" t="s">
        <v>16</v>
      </c>
      <c r="F307">
        <v>38</v>
      </c>
      <c r="G307" t="s">
        <v>21</v>
      </c>
      <c r="H307" s="1">
        <v>45531</v>
      </c>
      <c r="I307" s="1">
        <v>45569</v>
      </c>
      <c r="J307" t="str">
        <f t="shared" si="4"/>
        <v>Aug-2024</v>
      </c>
    </row>
    <row r="308" spans="1:10">
      <c r="A308">
        <v>307</v>
      </c>
      <c r="B308">
        <v>16185</v>
      </c>
      <c r="C308" t="s">
        <v>18</v>
      </c>
      <c r="D308">
        <v>51230.07</v>
      </c>
      <c r="E308" t="s">
        <v>19</v>
      </c>
      <c r="F308">
        <v>22</v>
      </c>
      <c r="G308" t="s">
        <v>20</v>
      </c>
      <c r="H308" s="1">
        <v>45351</v>
      </c>
      <c r="I308" s="1">
        <v>45373</v>
      </c>
      <c r="J308" t="str">
        <f t="shared" si="4"/>
        <v>Feb-2024</v>
      </c>
    </row>
    <row r="309" spans="1:10">
      <c r="A309">
        <v>308</v>
      </c>
      <c r="B309">
        <v>15821</v>
      </c>
      <c r="C309" t="s">
        <v>23</v>
      </c>
      <c r="D309">
        <v>68114.240000000005</v>
      </c>
      <c r="E309" t="s">
        <v>19</v>
      </c>
      <c r="F309">
        <v>25</v>
      </c>
      <c r="G309" t="s">
        <v>25</v>
      </c>
      <c r="H309" s="1">
        <v>45429</v>
      </c>
      <c r="I309" s="1">
        <v>45454</v>
      </c>
      <c r="J309" t="str">
        <f t="shared" si="4"/>
        <v>May-2024</v>
      </c>
    </row>
    <row r="310" spans="1:10">
      <c r="A310">
        <v>309</v>
      </c>
      <c r="B310">
        <v>16844</v>
      </c>
      <c r="C310" t="s">
        <v>23</v>
      </c>
      <c r="D310">
        <v>98855.52</v>
      </c>
      <c r="E310" t="s">
        <v>16</v>
      </c>
      <c r="F310">
        <v>27</v>
      </c>
      <c r="G310" t="s">
        <v>20</v>
      </c>
      <c r="H310" s="1">
        <v>45341</v>
      </c>
      <c r="I310" s="1">
        <v>45368</v>
      </c>
      <c r="J310" t="str">
        <f t="shared" si="4"/>
        <v>Feb-2024</v>
      </c>
    </row>
    <row r="311" spans="1:10">
      <c r="A311">
        <v>310</v>
      </c>
      <c r="B311">
        <v>16395</v>
      </c>
      <c r="C311" t="s">
        <v>18</v>
      </c>
      <c r="D311">
        <v>121349.27</v>
      </c>
      <c r="E311" t="s">
        <v>16</v>
      </c>
      <c r="F311">
        <v>42</v>
      </c>
      <c r="G311" t="s">
        <v>25</v>
      </c>
      <c r="H311" s="1">
        <v>45458</v>
      </c>
      <c r="I311" s="1">
        <v>45500</v>
      </c>
      <c r="J311" t="str">
        <f t="shared" si="4"/>
        <v>Jun-2024</v>
      </c>
    </row>
    <row r="312" spans="1:10">
      <c r="A312">
        <v>311</v>
      </c>
      <c r="B312">
        <v>18795</v>
      </c>
      <c r="C312" t="s">
        <v>23</v>
      </c>
      <c r="D312">
        <v>61033.96</v>
      </c>
      <c r="E312" t="s">
        <v>16</v>
      </c>
      <c r="F312">
        <v>13</v>
      </c>
      <c r="G312" t="s">
        <v>20</v>
      </c>
      <c r="H312" s="1">
        <v>45456</v>
      </c>
      <c r="I312" s="1">
        <v>45469</v>
      </c>
      <c r="J312" t="str">
        <f t="shared" si="4"/>
        <v>Jun-2024</v>
      </c>
    </row>
    <row r="313" spans="1:10">
      <c r="A313">
        <v>312</v>
      </c>
      <c r="B313">
        <v>10212</v>
      </c>
      <c r="C313" t="s">
        <v>18</v>
      </c>
      <c r="D313">
        <v>120534.85</v>
      </c>
      <c r="E313" t="s">
        <v>16</v>
      </c>
      <c r="F313">
        <v>20</v>
      </c>
      <c r="G313" t="s">
        <v>17</v>
      </c>
      <c r="H313" s="1">
        <v>45610</v>
      </c>
      <c r="I313" s="1">
        <v>45630</v>
      </c>
      <c r="J313" t="str">
        <f t="shared" si="4"/>
        <v>Nov-2024</v>
      </c>
    </row>
    <row r="314" spans="1:10">
      <c r="A314">
        <v>313</v>
      </c>
      <c r="B314">
        <v>16411</v>
      </c>
      <c r="C314" t="s">
        <v>18</v>
      </c>
      <c r="D314">
        <v>63068.480000000003</v>
      </c>
      <c r="E314" t="s">
        <v>16</v>
      </c>
      <c r="F314">
        <v>31</v>
      </c>
      <c r="G314" t="s">
        <v>20</v>
      </c>
      <c r="H314" s="1">
        <v>45480</v>
      </c>
      <c r="I314" s="1">
        <v>45511</v>
      </c>
      <c r="J314" t="str">
        <f t="shared" si="4"/>
        <v>Jul-2024</v>
      </c>
    </row>
    <row r="315" spans="1:10">
      <c r="A315">
        <v>314</v>
      </c>
      <c r="B315">
        <v>14801</v>
      </c>
      <c r="C315" t="s">
        <v>23</v>
      </c>
      <c r="D315">
        <v>15820.69</v>
      </c>
      <c r="E315" t="s">
        <v>16</v>
      </c>
      <c r="F315">
        <v>16</v>
      </c>
      <c r="G315" t="s">
        <v>17</v>
      </c>
      <c r="H315" s="1">
        <v>45383</v>
      </c>
      <c r="I315" s="1">
        <v>45399</v>
      </c>
      <c r="J315" t="str">
        <f t="shared" si="4"/>
        <v>Apr-2024</v>
      </c>
    </row>
    <row r="316" spans="1:10">
      <c r="A316">
        <v>315</v>
      </c>
      <c r="B316">
        <v>11758</v>
      </c>
      <c r="C316" t="s">
        <v>18</v>
      </c>
      <c r="D316">
        <v>5492.87</v>
      </c>
      <c r="E316" t="s">
        <v>16</v>
      </c>
      <c r="F316">
        <v>4</v>
      </c>
      <c r="G316" t="s">
        <v>17</v>
      </c>
      <c r="H316" s="1">
        <v>45585</v>
      </c>
      <c r="I316" s="1">
        <v>45589</v>
      </c>
      <c r="J316" t="str">
        <f t="shared" si="4"/>
        <v>Oct-2024</v>
      </c>
    </row>
    <row r="317" spans="1:10">
      <c r="A317">
        <v>316</v>
      </c>
      <c r="B317">
        <v>15780</v>
      </c>
      <c r="C317" t="s">
        <v>18</v>
      </c>
      <c r="D317">
        <v>24724.46</v>
      </c>
      <c r="E317" t="s">
        <v>16</v>
      </c>
      <c r="F317">
        <v>14</v>
      </c>
      <c r="G317" t="s">
        <v>20</v>
      </c>
      <c r="H317" s="1">
        <v>45580</v>
      </c>
      <c r="I317" s="1">
        <v>45594</v>
      </c>
      <c r="J317" t="str">
        <f t="shared" si="4"/>
        <v>Oct-2024</v>
      </c>
    </row>
    <row r="318" spans="1:10">
      <c r="A318">
        <v>317</v>
      </c>
      <c r="B318">
        <v>18973</v>
      </c>
      <c r="C318" t="s">
        <v>23</v>
      </c>
      <c r="D318">
        <v>159488.89000000001</v>
      </c>
      <c r="E318" t="s">
        <v>16</v>
      </c>
      <c r="F318">
        <v>10</v>
      </c>
      <c r="G318" t="s">
        <v>17</v>
      </c>
      <c r="H318" s="1">
        <v>45366</v>
      </c>
      <c r="I318" s="1">
        <v>45376</v>
      </c>
      <c r="J318" t="str">
        <f t="shared" si="4"/>
        <v>Mar-2024</v>
      </c>
    </row>
    <row r="319" spans="1:10">
      <c r="A319">
        <v>318</v>
      </c>
      <c r="B319">
        <v>11526</v>
      </c>
      <c r="C319" t="s">
        <v>23</v>
      </c>
      <c r="D319">
        <v>192479.11</v>
      </c>
      <c r="E319" t="s">
        <v>24</v>
      </c>
      <c r="G319" t="s">
        <v>21</v>
      </c>
      <c r="H319" s="1">
        <v>45336</v>
      </c>
      <c r="J319" t="str">
        <f t="shared" si="4"/>
        <v>Feb-2024</v>
      </c>
    </row>
    <row r="320" spans="1:10">
      <c r="A320">
        <v>319</v>
      </c>
      <c r="B320">
        <v>10840</v>
      </c>
      <c r="C320" t="s">
        <v>23</v>
      </c>
      <c r="D320">
        <v>88258.41</v>
      </c>
      <c r="E320" t="s">
        <v>24</v>
      </c>
      <c r="G320" t="s">
        <v>17</v>
      </c>
      <c r="H320" s="1">
        <v>45344</v>
      </c>
      <c r="J320" t="str">
        <f t="shared" si="4"/>
        <v>Feb-2024</v>
      </c>
    </row>
    <row r="321" spans="1:10">
      <c r="A321">
        <v>320</v>
      </c>
      <c r="B321">
        <v>11341</v>
      </c>
      <c r="C321" t="s">
        <v>23</v>
      </c>
      <c r="D321">
        <v>104973.37</v>
      </c>
      <c r="E321" t="s">
        <v>16</v>
      </c>
      <c r="F321">
        <v>15</v>
      </c>
      <c r="G321" t="s">
        <v>25</v>
      </c>
      <c r="H321" s="1">
        <v>45466</v>
      </c>
      <c r="I321" s="1">
        <v>45481</v>
      </c>
      <c r="J321" t="str">
        <f t="shared" si="4"/>
        <v>Jun-2024</v>
      </c>
    </row>
    <row r="322" spans="1:10">
      <c r="A322">
        <v>321</v>
      </c>
      <c r="B322">
        <v>11500</v>
      </c>
      <c r="C322" t="s">
        <v>22</v>
      </c>
      <c r="D322">
        <v>33635.39</v>
      </c>
      <c r="E322" t="s">
        <v>16</v>
      </c>
      <c r="F322">
        <v>9</v>
      </c>
      <c r="G322" t="s">
        <v>20</v>
      </c>
      <c r="H322" s="1">
        <v>45452</v>
      </c>
      <c r="I322" s="1">
        <v>45461</v>
      </c>
      <c r="J322" t="str">
        <f t="shared" si="4"/>
        <v>Jun-2024</v>
      </c>
    </row>
    <row r="323" spans="1:10">
      <c r="A323">
        <v>322</v>
      </c>
      <c r="B323">
        <v>18121</v>
      </c>
      <c r="C323" t="s">
        <v>23</v>
      </c>
      <c r="D323">
        <v>112451.11</v>
      </c>
      <c r="E323" t="s">
        <v>16</v>
      </c>
      <c r="F323">
        <v>20</v>
      </c>
      <c r="G323" t="s">
        <v>21</v>
      </c>
      <c r="H323" s="1">
        <v>45358</v>
      </c>
      <c r="I323" s="1">
        <v>45378</v>
      </c>
      <c r="J323" t="str">
        <f t="shared" ref="J323:J386" si="5">TEXT(H323,"mmm-yyyy")</f>
        <v>Mar-2024</v>
      </c>
    </row>
    <row r="324" spans="1:10">
      <c r="A324">
        <v>323</v>
      </c>
      <c r="B324">
        <v>15559</v>
      </c>
      <c r="C324" t="s">
        <v>18</v>
      </c>
      <c r="D324">
        <v>33207.71</v>
      </c>
      <c r="E324" t="s">
        <v>16</v>
      </c>
      <c r="F324">
        <v>33</v>
      </c>
      <c r="G324" t="s">
        <v>20</v>
      </c>
      <c r="H324" s="1">
        <v>45652</v>
      </c>
      <c r="I324" s="1">
        <v>45685</v>
      </c>
      <c r="J324" t="str">
        <f t="shared" si="5"/>
        <v>Dec-2024</v>
      </c>
    </row>
    <row r="325" spans="1:10">
      <c r="A325">
        <v>324</v>
      </c>
      <c r="B325">
        <v>15926</v>
      </c>
      <c r="C325" t="s">
        <v>23</v>
      </c>
      <c r="D325">
        <v>124186.79</v>
      </c>
      <c r="E325" t="s">
        <v>19</v>
      </c>
      <c r="F325">
        <v>36</v>
      </c>
      <c r="G325" t="s">
        <v>25</v>
      </c>
      <c r="H325" s="1">
        <v>45561</v>
      </c>
      <c r="I325" s="1">
        <v>45597</v>
      </c>
      <c r="J325" t="str">
        <f t="shared" si="5"/>
        <v>Sep-2024</v>
      </c>
    </row>
    <row r="326" spans="1:10">
      <c r="A326">
        <v>325</v>
      </c>
      <c r="B326">
        <v>18707</v>
      </c>
      <c r="C326" t="s">
        <v>23</v>
      </c>
      <c r="D326">
        <v>186985.44</v>
      </c>
      <c r="E326" t="s">
        <v>16</v>
      </c>
      <c r="F326">
        <v>24</v>
      </c>
      <c r="G326" t="s">
        <v>25</v>
      </c>
      <c r="H326" s="1">
        <v>45415</v>
      </c>
      <c r="I326" s="1">
        <v>45439</v>
      </c>
      <c r="J326" t="str">
        <f t="shared" si="5"/>
        <v>May-2024</v>
      </c>
    </row>
    <row r="327" spans="1:10">
      <c r="A327">
        <v>326</v>
      </c>
      <c r="B327">
        <v>17675</v>
      </c>
      <c r="C327" t="s">
        <v>15</v>
      </c>
      <c r="D327">
        <v>43161.22</v>
      </c>
      <c r="E327" t="s">
        <v>19</v>
      </c>
      <c r="F327">
        <v>22</v>
      </c>
      <c r="G327" t="s">
        <v>25</v>
      </c>
      <c r="H327" s="1">
        <v>45473</v>
      </c>
      <c r="I327" s="1">
        <v>45495</v>
      </c>
      <c r="J327" t="str">
        <f t="shared" si="5"/>
        <v>Jun-2024</v>
      </c>
    </row>
    <row r="328" spans="1:10">
      <c r="A328">
        <v>327</v>
      </c>
      <c r="B328">
        <v>19339</v>
      </c>
      <c r="C328" t="s">
        <v>18</v>
      </c>
      <c r="D328">
        <v>154089.93</v>
      </c>
      <c r="E328" t="s">
        <v>24</v>
      </c>
      <c r="G328" t="s">
        <v>17</v>
      </c>
      <c r="H328" s="1">
        <v>45473</v>
      </c>
      <c r="J328" t="str">
        <f t="shared" si="5"/>
        <v>Jun-2024</v>
      </c>
    </row>
    <row r="329" spans="1:10">
      <c r="A329">
        <v>328</v>
      </c>
      <c r="B329">
        <v>16457</v>
      </c>
      <c r="C329" t="s">
        <v>23</v>
      </c>
      <c r="D329">
        <v>9582.9699999999993</v>
      </c>
      <c r="E329" t="s">
        <v>16</v>
      </c>
      <c r="F329">
        <v>15</v>
      </c>
      <c r="G329" t="s">
        <v>17</v>
      </c>
      <c r="H329" s="1">
        <v>45327</v>
      </c>
      <c r="I329" s="1">
        <v>45342</v>
      </c>
      <c r="J329" t="str">
        <f t="shared" si="5"/>
        <v>Feb-2024</v>
      </c>
    </row>
    <row r="330" spans="1:10">
      <c r="A330">
        <v>329</v>
      </c>
      <c r="B330">
        <v>13256</v>
      </c>
      <c r="C330" t="s">
        <v>23</v>
      </c>
      <c r="D330">
        <v>78221.960000000006</v>
      </c>
      <c r="E330" t="s">
        <v>16</v>
      </c>
      <c r="F330">
        <v>17</v>
      </c>
      <c r="G330" t="s">
        <v>20</v>
      </c>
      <c r="H330" s="1">
        <v>45503</v>
      </c>
      <c r="I330" s="1">
        <v>45520</v>
      </c>
      <c r="J330" t="str">
        <f t="shared" si="5"/>
        <v>Jul-2024</v>
      </c>
    </row>
    <row r="331" spans="1:10">
      <c r="A331">
        <v>330</v>
      </c>
      <c r="B331">
        <v>12594</v>
      </c>
      <c r="C331" t="s">
        <v>23</v>
      </c>
      <c r="D331">
        <v>26595.96</v>
      </c>
      <c r="E331" t="s">
        <v>16</v>
      </c>
      <c r="F331">
        <v>25</v>
      </c>
      <c r="G331" t="s">
        <v>20</v>
      </c>
      <c r="H331" s="1">
        <v>45425</v>
      </c>
      <c r="I331" s="1">
        <v>45450</v>
      </c>
      <c r="J331" t="str">
        <f t="shared" si="5"/>
        <v>May-2024</v>
      </c>
    </row>
    <row r="332" spans="1:10">
      <c r="A332">
        <v>331</v>
      </c>
      <c r="B332">
        <v>13656</v>
      </c>
      <c r="C332" t="s">
        <v>23</v>
      </c>
      <c r="D332">
        <v>73732.710000000006</v>
      </c>
      <c r="E332" t="s">
        <v>16</v>
      </c>
      <c r="F332">
        <v>33</v>
      </c>
      <c r="G332" t="s">
        <v>21</v>
      </c>
      <c r="H332" s="1">
        <v>45644</v>
      </c>
      <c r="I332" s="1">
        <v>45677</v>
      </c>
      <c r="J332" t="str">
        <f t="shared" si="5"/>
        <v>Dec-2024</v>
      </c>
    </row>
    <row r="333" spans="1:10">
      <c r="A333">
        <v>332</v>
      </c>
      <c r="B333">
        <v>19740</v>
      </c>
      <c r="C333" t="s">
        <v>18</v>
      </c>
      <c r="D333">
        <v>38839.699999999997</v>
      </c>
      <c r="E333" t="s">
        <v>16</v>
      </c>
      <c r="F333">
        <v>12</v>
      </c>
      <c r="G333" t="s">
        <v>21</v>
      </c>
      <c r="H333" s="1">
        <v>45469</v>
      </c>
      <c r="I333" s="1">
        <v>45481</v>
      </c>
      <c r="J333" t="str">
        <f t="shared" si="5"/>
        <v>Jun-2024</v>
      </c>
    </row>
    <row r="334" spans="1:10">
      <c r="A334">
        <v>333</v>
      </c>
      <c r="B334">
        <v>12086</v>
      </c>
      <c r="C334" t="s">
        <v>23</v>
      </c>
      <c r="D334">
        <v>77794.47</v>
      </c>
      <c r="E334" t="s">
        <v>16</v>
      </c>
      <c r="F334">
        <v>12</v>
      </c>
      <c r="G334" t="s">
        <v>20</v>
      </c>
      <c r="H334" s="1">
        <v>45457</v>
      </c>
      <c r="I334" s="1">
        <v>45469</v>
      </c>
      <c r="J334" t="str">
        <f t="shared" si="5"/>
        <v>Jun-2024</v>
      </c>
    </row>
    <row r="335" spans="1:10">
      <c r="A335">
        <v>334</v>
      </c>
      <c r="B335">
        <v>13155</v>
      </c>
      <c r="C335" t="s">
        <v>23</v>
      </c>
      <c r="D335">
        <v>86416.95</v>
      </c>
      <c r="E335" t="s">
        <v>19</v>
      </c>
      <c r="F335">
        <v>5</v>
      </c>
      <c r="G335" t="s">
        <v>17</v>
      </c>
      <c r="H335" s="1">
        <v>45628</v>
      </c>
      <c r="I335" s="1">
        <v>45633</v>
      </c>
      <c r="J335" t="str">
        <f t="shared" si="5"/>
        <v>Dec-2024</v>
      </c>
    </row>
    <row r="336" spans="1:10">
      <c r="A336">
        <v>335</v>
      </c>
      <c r="B336">
        <v>17188</v>
      </c>
      <c r="C336" t="s">
        <v>23</v>
      </c>
      <c r="D336">
        <v>63615.27</v>
      </c>
      <c r="E336" t="s">
        <v>16</v>
      </c>
      <c r="F336">
        <v>27</v>
      </c>
      <c r="G336" t="s">
        <v>25</v>
      </c>
      <c r="H336" s="1">
        <v>45620</v>
      </c>
      <c r="I336" s="1">
        <v>45647</v>
      </c>
      <c r="J336" t="str">
        <f t="shared" si="5"/>
        <v>Nov-2024</v>
      </c>
    </row>
    <row r="337" spans="1:10">
      <c r="A337">
        <v>336</v>
      </c>
      <c r="B337">
        <v>16396</v>
      </c>
      <c r="C337" t="s">
        <v>22</v>
      </c>
      <c r="D337">
        <v>133041.28</v>
      </c>
      <c r="E337" t="s">
        <v>16</v>
      </c>
      <c r="F337">
        <v>6</v>
      </c>
      <c r="G337" t="s">
        <v>20</v>
      </c>
      <c r="H337" s="1">
        <v>45618</v>
      </c>
      <c r="I337" s="1">
        <v>45624</v>
      </c>
      <c r="J337" t="str">
        <f t="shared" si="5"/>
        <v>Nov-2024</v>
      </c>
    </row>
    <row r="338" spans="1:10">
      <c r="A338">
        <v>337</v>
      </c>
      <c r="B338">
        <v>10978</v>
      </c>
      <c r="C338" t="s">
        <v>22</v>
      </c>
      <c r="D338">
        <v>184176.15</v>
      </c>
      <c r="E338" t="s">
        <v>16</v>
      </c>
      <c r="F338">
        <v>37</v>
      </c>
      <c r="G338" t="s">
        <v>21</v>
      </c>
      <c r="H338" s="1">
        <v>45337</v>
      </c>
      <c r="I338" s="1">
        <v>45374</v>
      </c>
      <c r="J338" t="str">
        <f t="shared" si="5"/>
        <v>Feb-2024</v>
      </c>
    </row>
    <row r="339" spans="1:10">
      <c r="A339">
        <v>338</v>
      </c>
      <c r="B339">
        <v>13047</v>
      </c>
      <c r="C339" t="s">
        <v>23</v>
      </c>
      <c r="D339">
        <v>83116.100000000006</v>
      </c>
      <c r="E339" t="s">
        <v>16</v>
      </c>
      <c r="F339">
        <v>34</v>
      </c>
      <c r="G339" t="s">
        <v>17</v>
      </c>
      <c r="H339" s="1">
        <v>45447</v>
      </c>
      <c r="I339" s="1">
        <v>45481</v>
      </c>
      <c r="J339" t="str">
        <f t="shared" si="5"/>
        <v>Jun-2024</v>
      </c>
    </row>
    <row r="340" spans="1:10">
      <c r="A340">
        <v>339</v>
      </c>
      <c r="B340">
        <v>12589</v>
      </c>
      <c r="C340" t="s">
        <v>18</v>
      </c>
      <c r="D340">
        <v>42506.92</v>
      </c>
      <c r="E340" t="s">
        <v>16</v>
      </c>
      <c r="F340">
        <v>15</v>
      </c>
      <c r="G340" t="s">
        <v>20</v>
      </c>
      <c r="H340" s="1">
        <v>45527</v>
      </c>
      <c r="I340" s="1">
        <v>45542</v>
      </c>
      <c r="J340" t="str">
        <f t="shared" si="5"/>
        <v>Aug-2024</v>
      </c>
    </row>
    <row r="341" spans="1:10">
      <c r="A341">
        <v>340</v>
      </c>
      <c r="B341">
        <v>12006</v>
      </c>
      <c r="C341" t="s">
        <v>23</v>
      </c>
      <c r="D341">
        <v>57790.94</v>
      </c>
      <c r="E341" t="s">
        <v>19</v>
      </c>
      <c r="F341">
        <v>33</v>
      </c>
      <c r="G341" t="s">
        <v>20</v>
      </c>
      <c r="H341" s="1">
        <v>45607</v>
      </c>
      <c r="I341" s="1">
        <v>45640</v>
      </c>
      <c r="J341" t="str">
        <f t="shared" si="5"/>
        <v>Nov-2024</v>
      </c>
    </row>
    <row r="342" spans="1:10">
      <c r="A342">
        <v>341</v>
      </c>
      <c r="B342">
        <v>16783</v>
      </c>
      <c r="C342" t="s">
        <v>23</v>
      </c>
      <c r="D342">
        <v>171530.16</v>
      </c>
      <c r="E342" t="s">
        <v>16</v>
      </c>
      <c r="F342">
        <v>8</v>
      </c>
      <c r="G342" t="s">
        <v>17</v>
      </c>
      <c r="H342" s="1">
        <v>45351</v>
      </c>
      <c r="I342" s="1">
        <v>45359</v>
      </c>
      <c r="J342" t="str">
        <f t="shared" si="5"/>
        <v>Feb-2024</v>
      </c>
    </row>
    <row r="343" spans="1:10">
      <c r="A343">
        <v>342</v>
      </c>
      <c r="B343">
        <v>15942</v>
      </c>
      <c r="C343" t="s">
        <v>18</v>
      </c>
      <c r="D343">
        <v>116469.75</v>
      </c>
      <c r="E343" t="s">
        <v>16</v>
      </c>
      <c r="F343">
        <v>11</v>
      </c>
      <c r="G343" t="s">
        <v>20</v>
      </c>
      <c r="H343" s="1">
        <v>45296</v>
      </c>
      <c r="I343" s="1">
        <v>45307</v>
      </c>
      <c r="J343" t="str">
        <f t="shared" si="5"/>
        <v>Jan-2024</v>
      </c>
    </row>
    <row r="344" spans="1:10">
      <c r="A344">
        <v>343</v>
      </c>
      <c r="B344">
        <v>12599</v>
      </c>
      <c r="C344" t="s">
        <v>22</v>
      </c>
      <c r="D344">
        <v>93727.15</v>
      </c>
      <c r="E344" t="s">
        <v>16</v>
      </c>
      <c r="F344">
        <v>3</v>
      </c>
      <c r="G344" t="s">
        <v>17</v>
      </c>
      <c r="H344" s="1">
        <v>45472</v>
      </c>
      <c r="I344" s="1">
        <v>45475</v>
      </c>
      <c r="J344" t="str">
        <f t="shared" si="5"/>
        <v>Jun-2024</v>
      </c>
    </row>
    <row r="345" spans="1:10">
      <c r="A345">
        <v>344</v>
      </c>
      <c r="B345">
        <v>12508</v>
      </c>
      <c r="C345" t="s">
        <v>22</v>
      </c>
      <c r="D345">
        <v>34179.160000000003</v>
      </c>
      <c r="E345" t="s">
        <v>16</v>
      </c>
      <c r="F345">
        <v>11</v>
      </c>
      <c r="G345" t="s">
        <v>25</v>
      </c>
      <c r="H345" s="1">
        <v>45436</v>
      </c>
      <c r="I345" s="1">
        <v>45447</v>
      </c>
      <c r="J345" t="str">
        <f t="shared" si="5"/>
        <v>May-2024</v>
      </c>
    </row>
    <row r="346" spans="1:10">
      <c r="A346">
        <v>345</v>
      </c>
      <c r="B346">
        <v>18471</v>
      </c>
      <c r="C346" t="s">
        <v>18</v>
      </c>
      <c r="D346">
        <v>92696.83</v>
      </c>
      <c r="E346" t="s">
        <v>19</v>
      </c>
      <c r="F346">
        <v>36</v>
      </c>
      <c r="G346" t="s">
        <v>17</v>
      </c>
      <c r="H346" s="1">
        <v>45606</v>
      </c>
      <c r="I346" s="1">
        <v>45642</v>
      </c>
      <c r="J346" t="str">
        <f t="shared" si="5"/>
        <v>Nov-2024</v>
      </c>
    </row>
    <row r="347" spans="1:10">
      <c r="A347">
        <v>346</v>
      </c>
      <c r="B347">
        <v>11193</v>
      </c>
      <c r="C347" t="s">
        <v>23</v>
      </c>
      <c r="D347">
        <v>59305.94</v>
      </c>
      <c r="E347" t="s">
        <v>16</v>
      </c>
      <c r="F347">
        <v>22</v>
      </c>
      <c r="G347" t="s">
        <v>17</v>
      </c>
      <c r="H347" s="1">
        <v>45556</v>
      </c>
      <c r="I347" s="1">
        <v>45578</v>
      </c>
      <c r="J347" t="str">
        <f t="shared" si="5"/>
        <v>Sep-2024</v>
      </c>
    </row>
    <row r="348" spans="1:10">
      <c r="A348">
        <v>347</v>
      </c>
      <c r="B348">
        <v>15915</v>
      </c>
      <c r="C348" t="s">
        <v>18</v>
      </c>
      <c r="D348">
        <v>188916.81</v>
      </c>
      <c r="E348" t="s">
        <v>19</v>
      </c>
      <c r="F348">
        <v>41</v>
      </c>
      <c r="G348" t="s">
        <v>17</v>
      </c>
      <c r="H348" s="1">
        <v>45514</v>
      </c>
      <c r="I348" s="1">
        <v>45555</v>
      </c>
      <c r="J348" t="str">
        <f t="shared" si="5"/>
        <v>Aug-2024</v>
      </c>
    </row>
    <row r="349" spans="1:10">
      <c r="A349">
        <v>348</v>
      </c>
      <c r="B349">
        <v>19949</v>
      </c>
      <c r="C349" t="s">
        <v>23</v>
      </c>
      <c r="D349">
        <v>177393.67</v>
      </c>
      <c r="E349" t="s">
        <v>16</v>
      </c>
      <c r="F349">
        <v>43</v>
      </c>
      <c r="G349" t="s">
        <v>20</v>
      </c>
      <c r="H349" s="1">
        <v>45592</v>
      </c>
      <c r="I349" s="1">
        <v>45635</v>
      </c>
      <c r="J349" t="str">
        <f t="shared" si="5"/>
        <v>Oct-2024</v>
      </c>
    </row>
    <row r="350" spans="1:10">
      <c r="A350">
        <v>349</v>
      </c>
      <c r="B350">
        <v>12045</v>
      </c>
      <c r="C350" t="s">
        <v>18</v>
      </c>
      <c r="D350">
        <v>21361</v>
      </c>
      <c r="E350" t="s">
        <v>16</v>
      </c>
      <c r="F350">
        <v>9</v>
      </c>
      <c r="G350" t="s">
        <v>20</v>
      </c>
      <c r="H350" s="1">
        <v>45627</v>
      </c>
      <c r="I350" s="1">
        <v>45636</v>
      </c>
      <c r="J350" t="str">
        <f t="shared" si="5"/>
        <v>Dec-2024</v>
      </c>
    </row>
    <row r="351" spans="1:10">
      <c r="A351">
        <v>350</v>
      </c>
      <c r="B351">
        <v>17796</v>
      </c>
      <c r="C351" t="s">
        <v>23</v>
      </c>
      <c r="D351">
        <v>105747.43</v>
      </c>
      <c r="E351" t="s">
        <v>16</v>
      </c>
      <c r="F351">
        <v>19</v>
      </c>
      <c r="G351" t="s">
        <v>17</v>
      </c>
      <c r="H351" s="1">
        <v>45528</v>
      </c>
      <c r="I351" s="1">
        <v>45547</v>
      </c>
      <c r="J351" t="str">
        <f t="shared" si="5"/>
        <v>Aug-2024</v>
      </c>
    </row>
    <row r="352" spans="1:10">
      <c r="A352">
        <v>351</v>
      </c>
      <c r="B352">
        <v>18439</v>
      </c>
      <c r="C352" t="s">
        <v>18</v>
      </c>
      <c r="D352">
        <v>48886.38</v>
      </c>
      <c r="E352" t="s">
        <v>16</v>
      </c>
      <c r="F352">
        <v>10</v>
      </c>
      <c r="G352" t="s">
        <v>20</v>
      </c>
      <c r="H352" s="1">
        <v>45304</v>
      </c>
      <c r="I352" s="1">
        <v>45314</v>
      </c>
      <c r="J352" t="str">
        <f t="shared" si="5"/>
        <v>Jan-2024</v>
      </c>
    </row>
    <row r="353" spans="1:10">
      <c r="A353">
        <v>352</v>
      </c>
      <c r="B353">
        <v>19576</v>
      </c>
      <c r="C353" t="s">
        <v>23</v>
      </c>
      <c r="D353">
        <v>85101.53</v>
      </c>
      <c r="E353" t="s">
        <v>16</v>
      </c>
      <c r="F353">
        <v>42</v>
      </c>
      <c r="G353" t="s">
        <v>21</v>
      </c>
      <c r="H353" s="1">
        <v>45630</v>
      </c>
      <c r="I353" s="1">
        <v>45672</v>
      </c>
      <c r="J353" t="str">
        <f t="shared" si="5"/>
        <v>Dec-2024</v>
      </c>
    </row>
    <row r="354" spans="1:10">
      <c r="A354">
        <v>353</v>
      </c>
      <c r="B354">
        <v>19564</v>
      </c>
      <c r="C354" t="s">
        <v>23</v>
      </c>
      <c r="D354">
        <v>175985.36</v>
      </c>
      <c r="E354" t="s">
        <v>19</v>
      </c>
      <c r="F354">
        <v>31</v>
      </c>
      <c r="G354" t="s">
        <v>21</v>
      </c>
      <c r="H354" s="1">
        <v>45559</v>
      </c>
      <c r="I354" s="1">
        <v>45590</v>
      </c>
      <c r="J354" t="str">
        <f t="shared" si="5"/>
        <v>Sep-2024</v>
      </c>
    </row>
    <row r="355" spans="1:10">
      <c r="A355">
        <v>354</v>
      </c>
      <c r="B355">
        <v>17602</v>
      </c>
      <c r="C355" t="s">
        <v>22</v>
      </c>
      <c r="D355">
        <v>107865.33</v>
      </c>
      <c r="E355" t="s">
        <v>16</v>
      </c>
      <c r="F355">
        <v>5</v>
      </c>
      <c r="G355" t="s">
        <v>20</v>
      </c>
      <c r="H355" s="1">
        <v>45557</v>
      </c>
      <c r="I355" s="1">
        <v>45562</v>
      </c>
      <c r="J355" t="str">
        <f t="shared" si="5"/>
        <v>Sep-2024</v>
      </c>
    </row>
    <row r="356" spans="1:10">
      <c r="A356">
        <v>355</v>
      </c>
      <c r="B356">
        <v>13672</v>
      </c>
      <c r="C356" t="s">
        <v>23</v>
      </c>
      <c r="D356">
        <v>70171.98</v>
      </c>
      <c r="E356" t="s">
        <v>16</v>
      </c>
      <c r="F356">
        <v>36</v>
      </c>
      <c r="G356" t="s">
        <v>20</v>
      </c>
      <c r="H356" s="1">
        <v>45307</v>
      </c>
      <c r="I356" s="1">
        <v>45343</v>
      </c>
      <c r="J356" t="str">
        <f t="shared" si="5"/>
        <v>Jan-2024</v>
      </c>
    </row>
    <row r="357" spans="1:10">
      <c r="A357">
        <v>356</v>
      </c>
      <c r="B357">
        <v>17181</v>
      </c>
      <c r="C357" t="s">
        <v>18</v>
      </c>
      <c r="D357">
        <v>45538.23</v>
      </c>
      <c r="E357" t="s">
        <v>16</v>
      </c>
      <c r="F357">
        <v>15</v>
      </c>
      <c r="G357" t="s">
        <v>17</v>
      </c>
      <c r="H357" s="1">
        <v>45383</v>
      </c>
      <c r="I357" s="1">
        <v>45398</v>
      </c>
      <c r="J357" t="str">
        <f t="shared" si="5"/>
        <v>Apr-2024</v>
      </c>
    </row>
    <row r="358" spans="1:10">
      <c r="A358">
        <v>357</v>
      </c>
      <c r="B358">
        <v>10044</v>
      </c>
      <c r="C358" t="s">
        <v>23</v>
      </c>
      <c r="D358">
        <v>161063.35</v>
      </c>
      <c r="E358" t="s">
        <v>16</v>
      </c>
      <c r="F358">
        <v>15</v>
      </c>
      <c r="G358" t="s">
        <v>25</v>
      </c>
      <c r="H358" s="1">
        <v>45539</v>
      </c>
      <c r="I358" s="1">
        <v>45554</v>
      </c>
      <c r="J358" t="str">
        <f t="shared" si="5"/>
        <v>Sep-2024</v>
      </c>
    </row>
    <row r="359" spans="1:10">
      <c r="A359">
        <v>358</v>
      </c>
      <c r="B359">
        <v>12085</v>
      </c>
      <c r="C359" t="s">
        <v>23</v>
      </c>
      <c r="D359">
        <v>126781.01</v>
      </c>
      <c r="E359" t="s">
        <v>16</v>
      </c>
      <c r="F359">
        <v>38</v>
      </c>
      <c r="G359" t="s">
        <v>20</v>
      </c>
      <c r="H359" s="1">
        <v>45310</v>
      </c>
      <c r="I359" s="1">
        <v>45348</v>
      </c>
      <c r="J359" t="str">
        <f t="shared" si="5"/>
        <v>Jan-2024</v>
      </c>
    </row>
    <row r="360" spans="1:10">
      <c r="A360">
        <v>359</v>
      </c>
      <c r="B360">
        <v>14511</v>
      </c>
      <c r="C360" t="s">
        <v>23</v>
      </c>
      <c r="D360">
        <v>96272.76</v>
      </c>
      <c r="E360" t="s">
        <v>16</v>
      </c>
      <c r="F360">
        <v>21</v>
      </c>
      <c r="G360" t="s">
        <v>21</v>
      </c>
      <c r="H360" s="1">
        <v>45651</v>
      </c>
      <c r="I360" s="1">
        <v>45672</v>
      </c>
      <c r="J360" t="str">
        <f t="shared" si="5"/>
        <v>Dec-2024</v>
      </c>
    </row>
    <row r="361" spans="1:10">
      <c r="A361">
        <v>360</v>
      </c>
      <c r="B361">
        <v>16388</v>
      </c>
      <c r="C361" t="s">
        <v>23</v>
      </c>
      <c r="D361">
        <v>47409.45</v>
      </c>
      <c r="E361" t="s">
        <v>16</v>
      </c>
      <c r="F361">
        <v>30</v>
      </c>
      <c r="G361" t="s">
        <v>17</v>
      </c>
      <c r="H361" s="1">
        <v>45394</v>
      </c>
      <c r="I361" s="1">
        <v>45424</v>
      </c>
      <c r="J361" t="str">
        <f t="shared" si="5"/>
        <v>Apr-2024</v>
      </c>
    </row>
    <row r="362" spans="1:10">
      <c r="A362">
        <v>361</v>
      </c>
      <c r="B362">
        <v>17775</v>
      </c>
      <c r="C362" t="s">
        <v>15</v>
      </c>
      <c r="D362">
        <v>70178.039999999994</v>
      </c>
      <c r="E362" t="s">
        <v>16</v>
      </c>
      <c r="F362">
        <v>24</v>
      </c>
      <c r="G362" t="s">
        <v>20</v>
      </c>
      <c r="H362" s="1">
        <v>45386</v>
      </c>
      <c r="I362" s="1">
        <v>45410</v>
      </c>
      <c r="J362" t="str">
        <f t="shared" si="5"/>
        <v>Apr-2024</v>
      </c>
    </row>
    <row r="363" spans="1:10">
      <c r="A363">
        <v>362</v>
      </c>
      <c r="B363">
        <v>15371</v>
      </c>
      <c r="C363" t="s">
        <v>23</v>
      </c>
      <c r="D363">
        <v>192169.47</v>
      </c>
      <c r="E363" t="s">
        <v>16</v>
      </c>
      <c r="F363">
        <v>22</v>
      </c>
      <c r="G363" t="s">
        <v>21</v>
      </c>
      <c r="H363" s="1">
        <v>45574</v>
      </c>
      <c r="I363" s="1">
        <v>45596</v>
      </c>
      <c r="J363" t="str">
        <f t="shared" si="5"/>
        <v>Oct-2024</v>
      </c>
    </row>
    <row r="364" spans="1:10">
      <c r="A364">
        <v>363</v>
      </c>
      <c r="B364">
        <v>17948</v>
      </c>
      <c r="C364" t="s">
        <v>22</v>
      </c>
      <c r="D364">
        <v>106417.54</v>
      </c>
      <c r="E364" t="s">
        <v>16</v>
      </c>
      <c r="F364">
        <v>32</v>
      </c>
      <c r="G364" t="s">
        <v>21</v>
      </c>
      <c r="H364" s="1">
        <v>45504</v>
      </c>
      <c r="I364" s="1">
        <v>45536</v>
      </c>
      <c r="J364" t="str">
        <f t="shared" si="5"/>
        <v>Jul-2024</v>
      </c>
    </row>
    <row r="365" spans="1:10">
      <c r="A365">
        <v>364</v>
      </c>
      <c r="B365">
        <v>16223</v>
      </c>
      <c r="C365" t="s">
        <v>18</v>
      </c>
      <c r="D365">
        <v>83136.36</v>
      </c>
      <c r="E365" t="s">
        <v>16</v>
      </c>
      <c r="F365">
        <v>33</v>
      </c>
      <c r="G365" t="s">
        <v>25</v>
      </c>
      <c r="H365" s="1">
        <v>45328</v>
      </c>
      <c r="I365" s="1">
        <v>45361</v>
      </c>
      <c r="J365" t="str">
        <f t="shared" si="5"/>
        <v>Feb-2024</v>
      </c>
    </row>
    <row r="366" spans="1:10">
      <c r="A366">
        <v>365</v>
      </c>
      <c r="B366">
        <v>14323</v>
      </c>
      <c r="C366" t="s">
        <v>23</v>
      </c>
      <c r="D366">
        <v>106677.3</v>
      </c>
      <c r="E366" t="s">
        <v>16</v>
      </c>
      <c r="F366">
        <v>42</v>
      </c>
      <c r="G366" t="s">
        <v>17</v>
      </c>
      <c r="H366" s="1">
        <v>45352</v>
      </c>
      <c r="I366" s="1">
        <v>45394</v>
      </c>
      <c r="J366" t="str">
        <f t="shared" si="5"/>
        <v>Mar-2024</v>
      </c>
    </row>
    <row r="367" spans="1:10">
      <c r="A367">
        <v>366</v>
      </c>
      <c r="B367">
        <v>16626</v>
      </c>
      <c r="C367" t="s">
        <v>18</v>
      </c>
      <c r="D367">
        <v>156902.76</v>
      </c>
      <c r="E367" t="s">
        <v>24</v>
      </c>
      <c r="G367" t="s">
        <v>17</v>
      </c>
      <c r="H367" s="1">
        <v>45582</v>
      </c>
      <c r="J367" t="str">
        <f t="shared" si="5"/>
        <v>Oct-2024</v>
      </c>
    </row>
    <row r="368" spans="1:10">
      <c r="A368">
        <v>367</v>
      </c>
      <c r="B368">
        <v>18814</v>
      </c>
      <c r="C368" t="s">
        <v>18</v>
      </c>
      <c r="D368">
        <v>71321.240000000005</v>
      </c>
      <c r="E368" t="s">
        <v>16</v>
      </c>
      <c r="F368">
        <v>14</v>
      </c>
      <c r="G368" t="s">
        <v>25</v>
      </c>
      <c r="H368" s="1">
        <v>45653</v>
      </c>
      <c r="I368" s="1">
        <v>45667</v>
      </c>
      <c r="J368" t="str">
        <f t="shared" si="5"/>
        <v>Dec-2024</v>
      </c>
    </row>
    <row r="369" spans="1:10">
      <c r="A369">
        <v>368</v>
      </c>
      <c r="B369">
        <v>18049</v>
      </c>
      <c r="C369" t="s">
        <v>18</v>
      </c>
      <c r="D369">
        <v>39847.69</v>
      </c>
      <c r="E369" t="s">
        <v>16</v>
      </c>
      <c r="F369">
        <v>24</v>
      </c>
      <c r="G369" t="s">
        <v>25</v>
      </c>
      <c r="H369" s="1">
        <v>45594</v>
      </c>
      <c r="I369" s="1">
        <v>45618</v>
      </c>
      <c r="J369" t="str">
        <f t="shared" si="5"/>
        <v>Oct-2024</v>
      </c>
    </row>
    <row r="370" spans="1:10">
      <c r="A370">
        <v>369</v>
      </c>
      <c r="B370">
        <v>17091</v>
      </c>
      <c r="C370" t="s">
        <v>23</v>
      </c>
      <c r="D370">
        <v>119062.54</v>
      </c>
      <c r="E370" t="s">
        <v>16</v>
      </c>
      <c r="F370">
        <v>9</v>
      </c>
      <c r="G370" t="s">
        <v>17</v>
      </c>
      <c r="H370" s="1">
        <v>45535</v>
      </c>
      <c r="I370" s="1">
        <v>45544</v>
      </c>
      <c r="J370" t="str">
        <f t="shared" si="5"/>
        <v>Aug-2024</v>
      </c>
    </row>
    <row r="371" spans="1:10">
      <c r="A371">
        <v>370</v>
      </c>
      <c r="B371">
        <v>18676</v>
      </c>
      <c r="C371" t="s">
        <v>23</v>
      </c>
      <c r="D371">
        <v>134714.79999999999</v>
      </c>
      <c r="E371" t="s">
        <v>16</v>
      </c>
      <c r="F371">
        <v>13</v>
      </c>
      <c r="G371" t="s">
        <v>17</v>
      </c>
      <c r="H371" s="1">
        <v>45602</v>
      </c>
      <c r="I371" s="1">
        <v>45615</v>
      </c>
      <c r="J371" t="str">
        <f t="shared" si="5"/>
        <v>Nov-2024</v>
      </c>
    </row>
    <row r="372" spans="1:10">
      <c r="A372">
        <v>371</v>
      </c>
      <c r="B372">
        <v>18216</v>
      </c>
      <c r="C372" t="s">
        <v>15</v>
      </c>
      <c r="D372">
        <v>143980.01</v>
      </c>
      <c r="E372" t="s">
        <v>19</v>
      </c>
      <c r="F372">
        <v>37</v>
      </c>
      <c r="G372" t="s">
        <v>20</v>
      </c>
      <c r="H372" s="1">
        <v>45635</v>
      </c>
      <c r="I372" s="1">
        <v>45672</v>
      </c>
      <c r="J372" t="str">
        <f t="shared" si="5"/>
        <v>Dec-2024</v>
      </c>
    </row>
    <row r="373" spans="1:10">
      <c r="A373">
        <v>372</v>
      </c>
      <c r="B373">
        <v>11225</v>
      </c>
      <c r="C373" t="s">
        <v>22</v>
      </c>
      <c r="D373">
        <v>176987.58</v>
      </c>
      <c r="E373" t="s">
        <v>16</v>
      </c>
      <c r="F373">
        <v>17</v>
      </c>
      <c r="G373" t="s">
        <v>20</v>
      </c>
      <c r="H373" s="1">
        <v>45642</v>
      </c>
      <c r="I373" s="1">
        <v>45659</v>
      </c>
      <c r="J373" t="str">
        <f t="shared" si="5"/>
        <v>Dec-2024</v>
      </c>
    </row>
    <row r="374" spans="1:10">
      <c r="A374">
        <v>373</v>
      </c>
      <c r="B374">
        <v>11248</v>
      </c>
      <c r="C374" t="s">
        <v>15</v>
      </c>
      <c r="D374">
        <v>77378.95</v>
      </c>
      <c r="E374" t="s">
        <v>24</v>
      </c>
      <c r="G374" t="s">
        <v>25</v>
      </c>
      <c r="H374" s="1">
        <v>45297</v>
      </c>
      <c r="J374" t="str">
        <f t="shared" si="5"/>
        <v>Jan-2024</v>
      </c>
    </row>
    <row r="375" spans="1:10">
      <c r="A375">
        <v>374</v>
      </c>
      <c r="B375">
        <v>18970</v>
      </c>
      <c r="C375" t="s">
        <v>23</v>
      </c>
      <c r="D375">
        <v>19694.2</v>
      </c>
      <c r="E375" t="s">
        <v>19</v>
      </c>
      <c r="F375">
        <v>30</v>
      </c>
      <c r="G375" t="s">
        <v>20</v>
      </c>
      <c r="H375" s="1">
        <v>45597</v>
      </c>
      <c r="I375" s="1">
        <v>45627</v>
      </c>
      <c r="J375" t="str">
        <f t="shared" si="5"/>
        <v>Nov-2024</v>
      </c>
    </row>
    <row r="376" spans="1:10">
      <c r="A376">
        <v>375</v>
      </c>
      <c r="B376">
        <v>15026</v>
      </c>
      <c r="C376" t="s">
        <v>18</v>
      </c>
      <c r="D376">
        <v>191877.97</v>
      </c>
      <c r="E376" t="s">
        <v>16</v>
      </c>
      <c r="F376">
        <v>30</v>
      </c>
      <c r="G376" t="s">
        <v>21</v>
      </c>
      <c r="H376" s="1">
        <v>45456</v>
      </c>
      <c r="I376" s="1">
        <v>45486</v>
      </c>
      <c r="J376" t="str">
        <f t="shared" si="5"/>
        <v>Jun-2024</v>
      </c>
    </row>
    <row r="377" spans="1:10">
      <c r="A377">
        <v>376</v>
      </c>
      <c r="B377">
        <v>12842</v>
      </c>
      <c r="C377" t="s">
        <v>23</v>
      </c>
      <c r="D377">
        <v>89827.33</v>
      </c>
      <c r="E377" t="s">
        <v>16</v>
      </c>
      <c r="F377">
        <v>7</v>
      </c>
      <c r="G377" t="s">
        <v>20</v>
      </c>
      <c r="H377" s="1">
        <v>45304</v>
      </c>
      <c r="I377" s="1">
        <v>45311</v>
      </c>
      <c r="J377" t="str">
        <f t="shared" si="5"/>
        <v>Jan-2024</v>
      </c>
    </row>
    <row r="378" spans="1:10">
      <c r="A378">
        <v>377</v>
      </c>
      <c r="B378">
        <v>15698</v>
      </c>
      <c r="C378" t="s">
        <v>23</v>
      </c>
      <c r="D378">
        <v>126535.21</v>
      </c>
      <c r="E378" t="s">
        <v>16</v>
      </c>
      <c r="F378">
        <v>38</v>
      </c>
      <c r="G378" t="s">
        <v>20</v>
      </c>
      <c r="H378" s="1">
        <v>45316</v>
      </c>
      <c r="I378" s="1">
        <v>45354</v>
      </c>
      <c r="J378" t="str">
        <f t="shared" si="5"/>
        <v>Jan-2024</v>
      </c>
    </row>
    <row r="379" spans="1:10">
      <c r="A379">
        <v>378</v>
      </c>
      <c r="B379">
        <v>11582</v>
      </c>
      <c r="C379" t="s">
        <v>23</v>
      </c>
      <c r="D379">
        <v>134929.54</v>
      </c>
      <c r="E379" t="s">
        <v>16</v>
      </c>
      <c r="F379">
        <v>34</v>
      </c>
      <c r="G379" t="s">
        <v>21</v>
      </c>
      <c r="H379" s="1">
        <v>45515</v>
      </c>
      <c r="I379" s="1">
        <v>45549</v>
      </c>
      <c r="J379" t="str">
        <f t="shared" si="5"/>
        <v>Aug-2024</v>
      </c>
    </row>
    <row r="380" spans="1:10">
      <c r="A380">
        <v>379</v>
      </c>
      <c r="B380">
        <v>14848</v>
      </c>
      <c r="C380" t="s">
        <v>18</v>
      </c>
      <c r="D380">
        <v>111570.17</v>
      </c>
      <c r="E380" t="s">
        <v>16</v>
      </c>
      <c r="F380">
        <v>32</v>
      </c>
      <c r="G380" t="s">
        <v>25</v>
      </c>
      <c r="H380" s="1">
        <v>45414</v>
      </c>
      <c r="I380" s="1">
        <v>45446</v>
      </c>
      <c r="J380" t="str">
        <f t="shared" si="5"/>
        <v>May-2024</v>
      </c>
    </row>
    <row r="381" spans="1:10">
      <c r="A381">
        <v>380</v>
      </c>
      <c r="B381">
        <v>19905</v>
      </c>
      <c r="C381" t="s">
        <v>23</v>
      </c>
      <c r="D381">
        <v>45025.22</v>
      </c>
      <c r="E381" t="s">
        <v>16</v>
      </c>
      <c r="F381">
        <v>42</v>
      </c>
      <c r="G381" t="s">
        <v>21</v>
      </c>
      <c r="H381" s="1">
        <v>45420</v>
      </c>
      <c r="I381" s="1">
        <v>45462</v>
      </c>
      <c r="J381" t="str">
        <f t="shared" si="5"/>
        <v>May-2024</v>
      </c>
    </row>
    <row r="382" spans="1:10">
      <c r="A382">
        <v>381</v>
      </c>
      <c r="B382">
        <v>13138</v>
      </c>
      <c r="C382" t="s">
        <v>23</v>
      </c>
      <c r="D382">
        <v>152252.89000000001</v>
      </c>
      <c r="E382" t="s">
        <v>16</v>
      </c>
      <c r="F382">
        <v>19</v>
      </c>
      <c r="G382" t="s">
        <v>20</v>
      </c>
      <c r="H382" s="1">
        <v>45596</v>
      </c>
      <c r="I382" s="1">
        <v>45615</v>
      </c>
      <c r="J382" t="str">
        <f t="shared" si="5"/>
        <v>Oct-2024</v>
      </c>
    </row>
    <row r="383" spans="1:10">
      <c r="A383">
        <v>382</v>
      </c>
      <c r="B383">
        <v>14755</v>
      </c>
      <c r="C383" t="s">
        <v>15</v>
      </c>
      <c r="D383">
        <v>161731.63</v>
      </c>
      <c r="E383" t="s">
        <v>16</v>
      </c>
      <c r="F383">
        <v>39</v>
      </c>
      <c r="G383" t="s">
        <v>25</v>
      </c>
      <c r="H383" s="1">
        <v>45413</v>
      </c>
      <c r="I383" s="1">
        <v>45452</v>
      </c>
      <c r="J383" t="str">
        <f t="shared" si="5"/>
        <v>May-2024</v>
      </c>
    </row>
    <row r="384" spans="1:10">
      <c r="A384">
        <v>383</v>
      </c>
      <c r="B384">
        <v>11517</v>
      </c>
      <c r="C384" t="s">
        <v>23</v>
      </c>
      <c r="D384">
        <v>112830.24</v>
      </c>
      <c r="E384" t="s">
        <v>16</v>
      </c>
      <c r="F384">
        <v>32</v>
      </c>
      <c r="G384" t="s">
        <v>20</v>
      </c>
      <c r="H384" s="1">
        <v>45326</v>
      </c>
      <c r="I384" s="1">
        <v>45358</v>
      </c>
      <c r="J384" t="str">
        <f t="shared" si="5"/>
        <v>Feb-2024</v>
      </c>
    </row>
    <row r="385" spans="1:10">
      <c r="A385">
        <v>384</v>
      </c>
      <c r="B385">
        <v>14642</v>
      </c>
      <c r="C385" t="s">
        <v>23</v>
      </c>
      <c r="D385">
        <v>100269.43</v>
      </c>
      <c r="E385" t="s">
        <v>19</v>
      </c>
      <c r="F385">
        <v>17</v>
      </c>
      <c r="G385" t="s">
        <v>21</v>
      </c>
      <c r="H385" s="1">
        <v>45374</v>
      </c>
      <c r="I385" s="1">
        <v>45391</v>
      </c>
      <c r="J385" t="str">
        <f t="shared" si="5"/>
        <v>Mar-2024</v>
      </c>
    </row>
    <row r="386" spans="1:10">
      <c r="A386">
        <v>385</v>
      </c>
      <c r="B386">
        <v>15196</v>
      </c>
      <c r="C386" t="s">
        <v>23</v>
      </c>
      <c r="D386">
        <v>27217.95</v>
      </c>
      <c r="E386" t="s">
        <v>16</v>
      </c>
      <c r="F386">
        <v>41</v>
      </c>
      <c r="G386" t="s">
        <v>21</v>
      </c>
      <c r="H386" s="1">
        <v>45600</v>
      </c>
      <c r="I386" s="1">
        <v>45641</v>
      </c>
      <c r="J386" t="str">
        <f t="shared" si="5"/>
        <v>Nov-2024</v>
      </c>
    </row>
    <row r="387" spans="1:10">
      <c r="A387">
        <v>386</v>
      </c>
      <c r="B387">
        <v>13768</v>
      </c>
      <c r="C387" t="s">
        <v>22</v>
      </c>
      <c r="D387">
        <v>21370.57</v>
      </c>
      <c r="E387" t="s">
        <v>19</v>
      </c>
      <c r="F387">
        <v>38</v>
      </c>
      <c r="G387" t="s">
        <v>20</v>
      </c>
      <c r="H387" s="1">
        <v>45473</v>
      </c>
      <c r="I387" s="1">
        <v>45511</v>
      </c>
      <c r="J387" t="str">
        <f t="shared" ref="J387:J450" si="6">TEXT(H387,"mmm-yyyy")</f>
        <v>Jun-2024</v>
      </c>
    </row>
    <row r="388" spans="1:10">
      <c r="A388">
        <v>387</v>
      </c>
      <c r="B388">
        <v>16198</v>
      </c>
      <c r="C388" t="s">
        <v>18</v>
      </c>
      <c r="D388">
        <v>71215.14</v>
      </c>
      <c r="E388" t="s">
        <v>16</v>
      </c>
      <c r="F388">
        <v>15</v>
      </c>
      <c r="G388" t="s">
        <v>17</v>
      </c>
      <c r="H388" s="1">
        <v>45367</v>
      </c>
      <c r="I388" s="1">
        <v>45382</v>
      </c>
      <c r="J388" t="str">
        <f t="shared" si="6"/>
        <v>Mar-2024</v>
      </c>
    </row>
    <row r="389" spans="1:10">
      <c r="A389">
        <v>388</v>
      </c>
      <c r="B389">
        <v>18072</v>
      </c>
      <c r="C389" t="s">
        <v>23</v>
      </c>
      <c r="D389">
        <v>65615</v>
      </c>
      <c r="E389" t="s">
        <v>16</v>
      </c>
      <c r="F389">
        <v>40</v>
      </c>
      <c r="G389" t="s">
        <v>17</v>
      </c>
      <c r="H389" s="1">
        <v>45395</v>
      </c>
      <c r="I389" s="1">
        <v>45435</v>
      </c>
      <c r="J389" t="str">
        <f t="shared" si="6"/>
        <v>Apr-2024</v>
      </c>
    </row>
    <row r="390" spans="1:10">
      <c r="A390">
        <v>389</v>
      </c>
      <c r="B390">
        <v>19688</v>
      </c>
      <c r="C390" t="s">
        <v>15</v>
      </c>
      <c r="D390">
        <v>190963.01</v>
      </c>
      <c r="E390" t="s">
        <v>16</v>
      </c>
      <c r="F390">
        <v>5</v>
      </c>
      <c r="G390" t="s">
        <v>21</v>
      </c>
      <c r="H390" s="1">
        <v>45523</v>
      </c>
      <c r="I390" s="1">
        <v>45528</v>
      </c>
      <c r="J390" t="str">
        <f t="shared" si="6"/>
        <v>Aug-2024</v>
      </c>
    </row>
    <row r="391" spans="1:10">
      <c r="A391">
        <v>390</v>
      </c>
      <c r="B391">
        <v>15558</v>
      </c>
      <c r="C391" t="s">
        <v>15</v>
      </c>
      <c r="D391">
        <v>157806.43</v>
      </c>
      <c r="E391" t="s">
        <v>16</v>
      </c>
      <c r="F391">
        <v>31</v>
      </c>
      <c r="G391" t="s">
        <v>21</v>
      </c>
      <c r="H391" s="1">
        <v>45594</v>
      </c>
      <c r="I391" s="1">
        <v>45625</v>
      </c>
      <c r="J391" t="str">
        <f t="shared" si="6"/>
        <v>Oct-2024</v>
      </c>
    </row>
    <row r="392" spans="1:10">
      <c r="A392">
        <v>391</v>
      </c>
      <c r="B392">
        <v>19927</v>
      </c>
      <c r="C392" t="s">
        <v>23</v>
      </c>
      <c r="D392">
        <v>133685.24</v>
      </c>
      <c r="E392" t="s">
        <v>16</v>
      </c>
      <c r="F392">
        <v>34</v>
      </c>
      <c r="G392" t="s">
        <v>17</v>
      </c>
      <c r="H392" s="1">
        <v>45334</v>
      </c>
      <c r="I392" s="1">
        <v>45368</v>
      </c>
      <c r="J392" t="str">
        <f t="shared" si="6"/>
        <v>Feb-2024</v>
      </c>
    </row>
    <row r="393" spans="1:10">
      <c r="A393">
        <v>392</v>
      </c>
      <c r="B393">
        <v>11343</v>
      </c>
      <c r="C393" t="s">
        <v>18</v>
      </c>
      <c r="D393">
        <v>105941.38</v>
      </c>
      <c r="E393" t="s">
        <v>16</v>
      </c>
      <c r="F393">
        <v>37</v>
      </c>
      <c r="G393" t="s">
        <v>17</v>
      </c>
      <c r="H393" s="1">
        <v>45384</v>
      </c>
      <c r="I393" s="1">
        <v>45421</v>
      </c>
      <c r="J393" t="str">
        <f t="shared" si="6"/>
        <v>Apr-2024</v>
      </c>
    </row>
    <row r="394" spans="1:10">
      <c r="A394">
        <v>393</v>
      </c>
      <c r="B394">
        <v>15490</v>
      </c>
      <c r="C394" t="s">
        <v>18</v>
      </c>
      <c r="D394">
        <v>37636.67</v>
      </c>
      <c r="E394" t="s">
        <v>19</v>
      </c>
      <c r="F394">
        <v>31</v>
      </c>
      <c r="G394" t="s">
        <v>20</v>
      </c>
      <c r="H394" s="1">
        <v>45435</v>
      </c>
      <c r="I394" s="1">
        <v>45466</v>
      </c>
      <c r="J394" t="str">
        <f t="shared" si="6"/>
        <v>May-2024</v>
      </c>
    </row>
    <row r="395" spans="1:10">
      <c r="A395">
        <v>394</v>
      </c>
      <c r="B395">
        <v>15335</v>
      </c>
      <c r="C395" t="s">
        <v>18</v>
      </c>
      <c r="D395">
        <v>195799.05</v>
      </c>
      <c r="E395" t="s">
        <v>16</v>
      </c>
      <c r="F395">
        <v>15</v>
      </c>
      <c r="G395" t="s">
        <v>20</v>
      </c>
      <c r="H395" s="1">
        <v>45545</v>
      </c>
      <c r="I395" s="1">
        <v>45560</v>
      </c>
      <c r="J395" t="str">
        <f t="shared" si="6"/>
        <v>Sep-2024</v>
      </c>
    </row>
    <row r="396" spans="1:10">
      <c r="A396">
        <v>395</v>
      </c>
      <c r="B396">
        <v>10048</v>
      </c>
      <c r="C396" t="s">
        <v>23</v>
      </c>
      <c r="D396">
        <v>78132.94</v>
      </c>
      <c r="E396" t="s">
        <v>16</v>
      </c>
      <c r="F396">
        <v>24</v>
      </c>
      <c r="G396" t="s">
        <v>17</v>
      </c>
      <c r="H396" s="1">
        <v>45369</v>
      </c>
      <c r="I396" s="1">
        <v>45393</v>
      </c>
      <c r="J396" t="str">
        <f t="shared" si="6"/>
        <v>Mar-2024</v>
      </c>
    </row>
    <row r="397" spans="1:10">
      <c r="A397">
        <v>396</v>
      </c>
      <c r="B397">
        <v>15916</v>
      </c>
      <c r="C397" t="s">
        <v>15</v>
      </c>
      <c r="D397">
        <v>25850.49</v>
      </c>
      <c r="E397" t="s">
        <v>19</v>
      </c>
      <c r="F397">
        <v>29</v>
      </c>
      <c r="G397" t="s">
        <v>20</v>
      </c>
      <c r="H397" s="1">
        <v>45554</v>
      </c>
      <c r="I397" s="1">
        <v>45583</v>
      </c>
      <c r="J397" t="str">
        <f t="shared" si="6"/>
        <v>Sep-2024</v>
      </c>
    </row>
    <row r="398" spans="1:10">
      <c r="A398">
        <v>397</v>
      </c>
      <c r="B398">
        <v>12510</v>
      </c>
      <c r="C398" t="s">
        <v>18</v>
      </c>
      <c r="D398">
        <v>101290.78</v>
      </c>
      <c r="E398" t="s">
        <v>19</v>
      </c>
      <c r="F398">
        <v>8</v>
      </c>
      <c r="G398" t="s">
        <v>20</v>
      </c>
      <c r="H398" s="1">
        <v>45361</v>
      </c>
      <c r="I398" s="1">
        <v>45369</v>
      </c>
      <c r="J398" t="str">
        <f t="shared" si="6"/>
        <v>Mar-2024</v>
      </c>
    </row>
    <row r="399" spans="1:10">
      <c r="A399">
        <v>398</v>
      </c>
      <c r="B399">
        <v>16225</v>
      </c>
      <c r="C399" t="s">
        <v>23</v>
      </c>
      <c r="D399">
        <v>175429.61</v>
      </c>
      <c r="E399" t="s">
        <v>16</v>
      </c>
      <c r="F399">
        <v>43</v>
      </c>
      <c r="G399" t="s">
        <v>25</v>
      </c>
      <c r="H399" s="1">
        <v>45440</v>
      </c>
      <c r="I399" s="1">
        <v>45483</v>
      </c>
      <c r="J399" t="str">
        <f t="shared" si="6"/>
        <v>May-2024</v>
      </c>
    </row>
    <row r="400" spans="1:10">
      <c r="A400">
        <v>399</v>
      </c>
      <c r="B400">
        <v>13660</v>
      </c>
      <c r="C400" t="s">
        <v>23</v>
      </c>
      <c r="D400">
        <v>178021.75</v>
      </c>
      <c r="E400" t="s">
        <v>16</v>
      </c>
      <c r="F400">
        <v>11</v>
      </c>
      <c r="G400" t="s">
        <v>20</v>
      </c>
      <c r="H400" s="1">
        <v>45583</v>
      </c>
      <c r="I400" s="1">
        <v>45594</v>
      </c>
      <c r="J400" t="str">
        <f t="shared" si="6"/>
        <v>Oct-2024</v>
      </c>
    </row>
    <row r="401" spans="1:10">
      <c r="A401">
        <v>400</v>
      </c>
      <c r="B401">
        <v>11746</v>
      </c>
      <c r="C401" t="s">
        <v>23</v>
      </c>
      <c r="D401">
        <v>7138.35</v>
      </c>
      <c r="E401" t="s">
        <v>19</v>
      </c>
      <c r="F401">
        <v>5</v>
      </c>
      <c r="G401" t="s">
        <v>21</v>
      </c>
      <c r="H401" s="1">
        <v>45505</v>
      </c>
      <c r="I401" s="1">
        <v>45510</v>
      </c>
      <c r="J401" t="str">
        <f t="shared" si="6"/>
        <v>Aug-2024</v>
      </c>
    </row>
    <row r="402" spans="1:10">
      <c r="A402">
        <v>401</v>
      </c>
      <c r="B402">
        <v>18687</v>
      </c>
      <c r="C402" t="s">
        <v>23</v>
      </c>
      <c r="D402">
        <v>177827.67</v>
      </c>
      <c r="E402" t="s">
        <v>16</v>
      </c>
      <c r="F402">
        <v>39</v>
      </c>
      <c r="G402" t="s">
        <v>20</v>
      </c>
      <c r="H402" s="1">
        <v>45651</v>
      </c>
      <c r="I402" s="1">
        <v>45690</v>
      </c>
      <c r="J402" t="str">
        <f t="shared" si="6"/>
        <v>Dec-2024</v>
      </c>
    </row>
    <row r="403" spans="1:10">
      <c r="A403">
        <v>402</v>
      </c>
      <c r="B403">
        <v>18170</v>
      </c>
      <c r="C403" t="s">
        <v>18</v>
      </c>
      <c r="D403">
        <v>57939.42</v>
      </c>
      <c r="E403" t="s">
        <v>16</v>
      </c>
      <c r="F403">
        <v>14</v>
      </c>
      <c r="G403" t="s">
        <v>20</v>
      </c>
      <c r="H403" s="1">
        <v>45601</v>
      </c>
      <c r="I403" s="1">
        <v>45615</v>
      </c>
      <c r="J403" t="str">
        <f t="shared" si="6"/>
        <v>Nov-2024</v>
      </c>
    </row>
    <row r="404" spans="1:10">
      <c r="A404">
        <v>403</v>
      </c>
      <c r="B404">
        <v>10633</v>
      </c>
      <c r="C404" t="s">
        <v>23</v>
      </c>
      <c r="D404">
        <v>12599.61</v>
      </c>
      <c r="E404" t="s">
        <v>16</v>
      </c>
      <c r="F404">
        <v>22</v>
      </c>
      <c r="G404" t="s">
        <v>17</v>
      </c>
      <c r="H404" s="1">
        <v>45438</v>
      </c>
      <c r="I404" s="1">
        <v>45460</v>
      </c>
      <c r="J404" t="str">
        <f t="shared" si="6"/>
        <v>May-2024</v>
      </c>
    </row>
    <row r="405" spans="1:10">
      <c r="A405">
        <v>404</v>
      </c>
      <c r="B405">
        <v>16980</v>
      </c>
      <c r="C405" t="s">
        <v>23</v>
      </c>
      <c r="D405">
        <v>170319.1</v>
      </c>
      <c r="E405" t="s">
        <v>19</v>
      </c>
      <c r="F405">
        <v>34</v>
      </c>
      <c r="G405" t="s">
        <v>21</v>
      </c>
      <c r="H405" s="1">
        <v>45316</v>
      </c>
      <c r="I405" s="1">
        <v>45350</v>
      </c>
      <c r="J405" t="str">
        <f t="shared" si="6"/>
        <v>Jan-2024</v>
      </c>
    </row>
    <row r="406" spans="1:10">
      <c r="A406">
        <v>405</v>
      </c>
      <c r="B406">
        <v>12720</v>
      </c>
      <c r="C406" t="s">
        <v>18</v>
      </c>
      <c r="D406">
        <v>173454.02</v>
      </c>
      <c r="E406" t="s">
        <v>16</v>
      </c>
      <c r="F406">
        <v>41</v>
      </c>
      <c r="G406" t="s">
        <v>20</v>
      </c>
      <c r="H406" s="1">
        <v>45614</v>
      </c>
      <c r="I406" s="1">
        <v>45655</v>
      </c>
      <c r="J406" t="str">
        <f t="shared" si="6"/>
        <v>Nov-2024</v>
      </c>
    </row>
    <row r="407" spans="1:10">
      <c r="A407">
        <v>406</v>
      </c>
      <c r="B407">
        <v>10175</v>
      </c>
      <c r="C407" t="s">
        <v>23</v>
      </c>
      <c r="D407">
        <v>121265.06</v>
      </c>
      <c r="E407" t="s">
        <v>24</v>
      </c>
      <c r="G407" t="s">
        <v>20</v>
      </c>
      <c r="H407" s="1">
        <v>45400</v>
      </c>
      <c r="J407" t="str">
        <f t="shared" si="6"/>
        <v>Apr-2024</v>
      </c>
    </row>
    <row r="408" spans="1:10">
      <c r="A408">
        <v>407</v>
      </c>
      <c r="B408">
        <v>18830</v>
      </c>
      <c r="C408" t="s">
        <v>22</v>
      </c>
      <c r="D408">
        <v>117014.58</v>
      </c>
      <c r="E408" t="s">
        <v>16</v>
      </c>
      <c r="F408">
        <v>24</v>
      </c>
      <c r="G408" t="s">
        <v>25</v>
      </c>
      <c r="H408" s="1">
        <v>45472</v>
      </c>
      <c r="I408" s="1">
        <v>45496</v>
      </c>
      <c r="J408" t="str">
        <f t="shared" si="6"/>
        <v>Jun-2024</v>
      </c>
    </row>
    <row r="409" spans="1:10">
      <c r="A409">
        <v>408</v>
      </c>
      <c r="B409">
        <v>18152</v>
      </c>
      <c r="C409" t="s">
        <v>23</v>
      </c>
      <c r="D409">
        <v>163558.45000000001</v>
      </c>
      <c r="E409" t="s">
        <v>19</v>
      </c>
      <c r="F409">
        <v>33</v>
      </c>
      <c r="G409" t="s">
        <v>20</v>
      </c>
      <c r="H409" s="1">
        <v>45542</v>
      </c>
      <c r="I409" s="1">
        <v>45575</v>
      </c>
      <c r="J409" t="str">
        <f t="shared" si="6"/>
        <v>Sep-2024</v>
      </c>
    </row>
    <row r="410" spans="1:10">
      <c r="A410">
        <v>409</v>
      </c>
      <c r="B410">
        <v>13357</v>
      </c>
      <c r="C410" t="s">
        <v>23</v>
      </c>
      <c r="D410">
        <v>158330.35999999999</v>
      </c>
      <c r="E410" t="s">
        <v>16</v>
      </c>
      <c r="F410">
        <v>6</v>
      </c>
      <c r="G410" t="s">
        <v>20</v>
      </c>
      <c r="H410" s="1">
        <v>45494</v>
      </c>
      <c r="I410" s="1">
        <v>45500</v>
      </c>
      <c r="J410" t="str">
        <f t="shared" si="6"/>
        <v>Jul-2024</v>
      </c>
    </row>
    <row r="411" spans="1:10">
      <c r="A411">
        <v>410</v>
      </c>
      <c r="B411">
        <v>14392</v>
      </c>
      <c r="C411" t="s">
        <v>23</v>
      </c>
      <c r="D411">
        <v>178570.57</v>
      </c>
      <c r="E411" t="s">
        <v>16</v>
      </c>
      <c r="F411">
        <v>27</v>
      </c>
      <c r="G411" t="s">
        <v>25</v>
      </c>
      <c r="H411" s="1">
        <v>45595</v>
      </c>
      <c r="I411" s="1">
        <v>45622</v>
      </c>
      <c r="J411" t="str">
        <f t="shared" si="6"/>
        <v>Oct-2024</v>
      </c>
    </row>
    <row r="412" spans="1:10">
      <c r="A412">
        <v>411</v>
      </c>
      <c r="B412">
        <v>15379</v>
      </c>
      <c r="C412" t="s">
        <v>23</v>
      </c>
      <c r="D412">
        <v>112785.75</v>
      </c>
      <c r="E412" t="s">
        <v>19</v>
      </c>
      <c r="F412">
        <v>40</v>
      </c>
      <c r="G412" t="s">
        <v>17</v>
      </c>
      <c r="H412" s="1">
        <v>45461</v>
      </c>
      <c r="I412" s="1">
        <v>45501</v>
      </c>
      <c r="J412" t="str">
        <f t="shared" si="6"/>
        <v>Jun-2024</v>
      </c>
    </row>
    <row r="413" spans="1:10">
      <c r="A413">
        <v>412</v>
      </c>
      <c r="B413">
        <v>15970</v>
      </c>
      <c r="C413" t="s">
        <v>23</v>
      </c>
      <c r="D413">
        <v>193691.18</v>
      </c>
      <c r="E413" t="s">
        <v>16</v>
      </c>
      <c r="F413">
        <v>27</v>
      </c>
      <c r="G413" t="s">
        <v>20</v>
      </c>
      <c r="H413" s="1">
        <v>45466</v>
      </c>
      <c r="I413" s="1">
        <v>45493</v>
      </c>
      <c r="J413" t="str">
        <f t="shared" si="6"/>
        <v>Jun-2024</v>
      </c>
    </row>
    <row r="414" spans="1:10">
      <c r="A414">
        <v>413</v>
      </c>
      <c r="B414">
        <v>18666</v>
      </c>
      <c r="C414" t="s">
        <v>18</v>
      </c>
      <c r="D414">
        <v>199248.63</v>
      </c>
      <c r="E414" t="s">
        <v>16</v>
      </c>
      <c r="F414">
        <v>4</v>
      </c>
      <c r="G414" t="s">
        <v>25</v>
      </c>
      <c r="H414" s="1">
        <v>45638</v>
      </c>
      <c r="I414" s="1">
        <v>45642</v>
      </c>
      <c r="J414" t="str">
        <f t="shared" si="6"/>
        <v>Dec-2024</v>
      </c>
    </row>
    <row r="415" spans="1:10">
      <c r="A415">
        <v>414</v>
      </c>
      <c r="B415">
        <v>19838</v>
      </c>
      <c r="C415" t="s">
        <v>22</v>
      </c>
      <c r="D415">
        <v>27726.2</v>
      </c>
      <c r="E415" t="s">
        <v>16</v>
      </c>
      <c r="F415">
        <v>25</v>
      </c>
      <c r="G415" t="s">
        <v>21</v>
      </c>
      <c r="H415" s="1">
        <v>45461</v>
      </c>
      <c r="I415" s="1">
        <v>45486</v>
      </c>
      <c r="J415" t="str">
        <f t="shared" si="6"/>
        <v>Jun-2024</v>
      </c>
    </row>
    <row r="416" spans="1:10">
      <c r="A416">
        <v>415</v>
      </c>
      <c r="B416">
        <v>11958</v>
      </c>
      <c r="C416" t="s">
        <v>23</v>
      </c>
      <c r="D416">
        <v>170661.03</v>
      </c>
      <c r="E416" t="s">
        <v>16</v>
      </c>
      <c r="F416">
        <v>35</v>
      </c>
      <c r="G416" t="s">
        <v>17</v>
      </c>
      <c r="H416" s="1">
        <v>45293</v>
      </c>
      <c r="I416" s="1">
        <v>45328</v>
      </c>
      <c r="J416" t="str">
        <f t="shared" si="6"/>
        <v>Jan-2024</v>
      </c>
    </row>
    <row r="417" spans="1:10">
      <c r="A417">
        <v>416</v>
      </c>
      <c r="B417">
        <v>16679</v>
      </c>
      <c r="C417" t="s">
        <v>18</v>
      </c>
      <c r="D417">
        <v>102465.34</v>
      </c>
      <c r="E417" t="s">
        <v>16</v>
      </c>
      <c r="F417">
        <v>35</v>
      </c>
      <c r="G417" t="s">
        <v>21</v>
      </c>
      <c r="H417" s="1">
        <v>45425</v>
      </c>
      <c r="I417" s="1">
        <v>45460</v>
      </c>
      <c r="J417" t="str">
        <f t="shared" si="6"/>
        <v>May-2024</v>
      </c>
    </row>
    <row r="418" spans="1:10">
      <c r="A418">
        <v>417</v>
      </c>
      <c r="B418">
        <v>17348</v>
      </c>
      <c r="C418" t="s">
        <v>18</v>
      </c>
      <c r="D418">
        <v>80575.44</v>
      </c>
      <c r="E418" t="s">
        <v>16</v>
      </c>
      <c r="F418">
        <v>21</v>
      </c>
      <c r="G418" t="s">
        <v>21</v>
      </c>
      <c r="H418" s="1">
        <v>45418</v>
      </c>
      <c r="I418" s="1">
        <v>45439</v>
      </c>
      <c r="J418" t="str">
        <f t="shared" si="6"/>
        <v>May-2024</v>
      </c>
    </row>
    <row r="419" spans="1:10">
      <c r="A419">
        <v>418</v>
      </c>
      <c r="B419">
        <v>15884</v>
      </c>
      <c r="C419" t="s">
        <v>15</v>
      </c>
      <c r="D419">
        <v>124549.1</v>
      </c>
      <c r="E419" t="s">
        <v>16</v>
      </c>
      <c r="F419">
        <v>31</v>
      </c>
      <c r="G419" t="s">
        <v>25</v>
      </c>
      <c r="H419" s="1">
        <v>45337</v>
      </c>
      <c r="I419" s="1">
        <v>45368</v>
      </c>
      <c r="J419" t="str">
        <f t="shared" si="6"/>
        <v>Feb-2024</v>
      </c>
    </row>
    <row r="420" spans="1:10">
      <c r="A420">
        <v>419</v>
      </c>
      <c r="B420">
        <v>18540</v>
      </c>
      <c r="C420" t="s">
        <v>23</v>
      </c>
      <c r="D420">
        <v>15913.28</v>
      </c>
      <c r="E420" t="s">
        <v>16</v>
      </c>
      <c r="F420">
        <v>43</v>
      </c>
      <c r="G420" t="s">
        <v>20</v>
      </c>
      <c r="H420" s="1">
        <v>45485</v>
      </c>
      <c r="I420" s="1">
        <v>45528</v>
      </c>
      <c r="J420" t="str">
        <f t="shared" si="6"/>
        <v>Jul-2024</v>
      </c>
    </row>
    <row r="421" spans="1:10">
      <c r="A421">
        <v>420</v>
      </c>
      <c r="B421">
        <v>18828</v>
      </c>
      <c r="C421" t="s">
        <v>23</v>
      </c>
      <c r="D421">
        <v>103759.92</v>
      </c>
      <c r="E421" t="s">
        <v>16</v>
      </c>
      <c r="F421">
        <v>21</v>
      </c>
      <c r="G421" t="s">
        <v>25</v>
      </c>
      <c r="H421" s="1">
        <v>45653</v>
      </c>
      <c r="I421" s="1">
        <v>45674</v>
      </c>
      <c r="J421" t="str">
        <f t="shared" si="6"/>
        <v>Dec-2024</v>
      </c>
    </row>
    <row r="422" spans="1:10">
      <c r="A422">
        <v>421</v>
      </c>
      <c r="B422">
        <v>13614</v>
      </c>
      <c r="C422" t="s">
        <v>23</v>
      </c>
      <c r="D422">
        <v>174823.66</v>
      </c>
      <c r="E422" t="s">
        <v>16</v>
      </c>
      <c r="F422">
        <v>42</v>
      </c>
      <c r="G422" t="s">
        <v>25</v>
      </c>
      <c r="H422" s="1">
        <v>45500</v>
      </c>
      <c r="I422" s="1">
        <v>45542</v>
      </c>
      <c r="J422" t="str">
        <f t="shared" si="6"/>
        <v>Jul-2024</v>
      </c>
    </row>
    <row r="423" spans="1:10">
      <c r="A423">
        <v>422</v>
      </c>
      <c r="B423">
        <v>13820</v>
      </c>
      <c r="C423" t="s">
        <v>18</v>
      </c>
      <c r="D423">
        <v>46625</v>
      </c>
      <c r="E423" t="s">
        <v>19</v>
      </c>
      <c r="F423">
        <v>19</v>
      </c>
      <c r="G423" t="s">
        <v>25</v>
      </c>
      <c r="H423" s="1">
        <v>45587</v>
      </c>
      <c r="I423" s="1">
        <v>45606</v>
      </c>
      <c r="J423" t="str">
        <f t="shared" si="6"/>
        <v>Oct-2024</v>
      </c>
    </row>
    <row r="424" spans="1:10">
      <c r="A424">
        <v>423</v>
      </c>
      <c r="B424">
        <v>14322</v>
      </c>
      <c r="C424" t="s">
        <v>15</v>
      </c>
      <c r="D424">
        <v>88146.03</v>
      </c>
      <c r="E424" t="s">
        <v>16</v>
      </c>
      <c r="F424">
        <v>39</v>
      </c>
      <c r="G424" t="s">
        <v>25</v>
      </c>
      <c r="H424" s="1">
        <v>45349</v>
      </c>
      <c r="I424" s="1">
        <v>45388</v>
      </c>
      <c r="J424" t="str">
        <f t="shared" si="6"/>
        <v>Feb-2024</v>
      </c>
    </row>
    <row r="425" spans="1:10">
      <c r="A425">
        <v>424</v>
      </c>
      <c r="B425">
        <v>15467</v>
      </c>
      <c r="C425" t="s">
        <v>23</v>
      </c>
      <c r="D425">
        <v>188198.77</v>
      </c>
      <c r="E425" t="s">
        <v>16</v>
      </c>
      <c r="F425">
        <v>21</v>
      </c>
      <c r="G425" t="s">
        <v>17</v>
      </c>
      <c r="H425" s="1">
        <v>45369</v>
      </c>
      <c r="I425" s="1">
        <v>45390</v>
      </c>
      <c r="J425" t="str">
        <f t="shared" si="6"/>
        <v>Mar-2024</v>
      </c>
    </row>
    <row r="426" spans="1:10">
      <c r="A426">
        <v>425</v>
      </c>
      <c r="B426">
        <v>15502</v>
      </c>
      <c r="C426" t="s">
        <v>23</v>
      </c>
      <c r="D426">
        <v>88569.95</v>
      </c>
      <c r="E426" t="s">
        <v>24</v>
      </c>
      <c r="G426" t="s">
        <v>20</v>
      </c>
      <c r="H426" s="1">
        <v>45493</v>
      </c>
      <c r="J426" t="str">
        <f t="shared" si="6"/>
        <v>Jul-2024</v>
      </c>
    </row>
    <row r="427" spans="1:10">
      <c r="A427">
        <v>426</v>
      </c>
      <c r="B427">
        <v>16379</v>
      </c>
      <c r="C427" t="s">
        <v>22</v>
      </c>
      <c r="D427">
        <v>74881.69</v>
      </c>
      <c r="E427" t="s">
        <v>16</v>
      </c>
      <c r="F427">
        <v>43</v>
      </c>
      <c r="G427" t="s">
        <v>21</v>
      </c>
      <c r="H427" s="1">
        <v>45580</v>
      </c>
      <c r="I427" s="1">
        <v>45623</v>
      </c>
      <c r="J427" t="str">
        <f t="shared" si="6"/>
        <v>Oct-2024</v>
      </c>
    </row>
    <row r="428" spans="1:10">
      <c r="A428">
        <v>427</v>
      </c>
      <c r="B428">
        <v>11204</v>
      </c>
      <c r="C428" t="s">
        <v>15</v>
      </c>
      <c r="D428">
        <v>90904.65</v>
      </c>
      <c r="E428" t="s">
        <v>19</v>
      </c>
      <c r="F428">
        <v>26</v>
      </c>
      <c r="G428" t="s">
        <v>21</v>
      </c>
      <c r="H428" s="1">
        <v>45353</v>
      </c>
      <c r="I428" s="1">
        <v>45379</v>
      </c>
      <c r="J428" t="str">
        <f t="shared" si="6"/>
        <v>Mar-2024</v>
      </c>
    </row>
    <row r="429" spans="1:10">
      <c r="A429">
        <v>428</v>
      </c>
      <c r="B429">
        <v>16449</v>
      </c>
      <c r="C429" t="s">
        <v>22</v>
      </c>
      <c r="D429">
        <v>106293.29</v>
      </c>
      <c r="E429" t="s">
        <v>19</v>
      </c>
      <c r="F429">
        <v>42</v>
      </c>
      <c r="G429" t="s">
        <v>20</v>
      </c>
      <c r="H429" s="1">
        <v>45559</v>
      </c>
      <c r="I429" s="1">
        <v>45601</v>
      </c>
      <c r="J429" t="str">
        <f t="shared" si="6"/>
        <v>Sep-2024</v>
      </c>
    </row>
    <row r="430" spans="1:10">
      <c r="A430">
        <v>429</v>
      </c>
      <c r="B430">
        <v>18539</v>
      </c>
      <c r="C430" t="s">
        <v>18</v>
      </c>
      <c r="D430">
        <v>128238.31</v>
      </c>
      <c r="E430" t="s">
        <v>19</v>
      </c>
      <c r="F430">
        <v>42</v>
      </c>
      <c r="G430" t="s">
        <v>21</v>
      </c>
      <c r="H430" s="1">
        <v>45417</v>
      </c>
      <c r="I430" s="1">
        <v>45459</v>
      </c>
      <c r="J430" t="str">
        <f t="shared" si="6"/>
        <v>May-2024</v>
      </c>
    </row>
    <row r="431" spans="1:10">
      <c r="A431">
        <v>430</v>
      </c>
      <c r="B431">
        <v>11203</v>
      </c>
      <c r="C431" t="s">
        <v>23</v>
      </c>
      <c r="D431">
        <v>161135.1</v>
      </c>
      <c r="E431" t="s">
        <v>16</v>
      </c>
      <c r="F431">
        <v>4</v>
      </c>
      <c r="G431" t="s">
        <v>20</v>
      </c>
      <c r="H431" s="1">
        <v>45340</v>
      </c>
      <c r="I431" s="1">
        <v>45344</v>
      </c>
      <c r="J431" t="str">
        <f t="shared" si="6"/>
        <v>Feb-2024</v>
      </c>
    </row>
    <row r="432" spans="1:10">
      <c r="A432">
        <v>431</v>
      </c>
      <c r="B432">
        <v>16558</v>
      </c>
      <c r="C432" t="s">
        <v>18</v>
      </c>
      <c r="D432">
        <v>93159.93</v>
      </c>
      <c r="E432" t="s">
        <v>19</v>
      </c>
      <c r="F432">
        <v>44</v>
      </c>
      <c r="G432" t="s">
        <v>21</v>
      </c>
      <c r="H432" s="1">
        <v>45379</v>
      </c>
      <c r="I432" s="1">
        <v>45423</v>
      </c>
      <c r="J432" t="str">
        <f t="shared" si="6"/>
        <v>Mar-2024</v>
      </c>
    </row>
    <row r="433" spans="1:10">
      <c r="A433">
        <v>432</v>
      </c>
      <c r="B433">
        <v>10982</v>
      </c>
      <c r="C433" t="s">
        <v>18</v>
      </c>
      <c r="D433">
        <v>164408.78</v>
      </c>
      <c r="E433" t="s">
        <v>19</v>
      </c>
      <c r="F433">
        <v>20</v>
      </c>
      <c r="G433" t="s">
        <v>25</v>
      </c>
      <c r="H433" s="1">
        <v>45625</v>
      </c>
      <c r="I433" s="1">
        <v>45645</v>
      </c>
      <c r="J433" t="str">
        <f t="shared" si="6"/>
        <v>Nov-2024</v>
      </c>
    </row>
    <row r="434" spans="1:10">
      <c r="A434">
        <v>433</v>
      </c>
      <c r="B434">
        <v>18923</v>
      </c>
      <c r="C434" t="s">
        <v>23</v>
      </c>
      <c r="D434">
        <v>109075.53</v>
      </c>
      <c r="E434" t="s">
        <v>16</v>
      </c>
      <c r="F434">
        <v>11</v>
      </c>
      <c r="G434" t="s">
        <v>21</v>
      </c>
      <c r="H434" s="1">
        <v>45552</v>
      </c>
      <c r="I434" s="1">
        <v>45563</v>
      </c>
      <c r="J434" t="str">
        <f t="shared" si="6"/>
        <v>Sep-2024</v>
      </c>
    </row>
    <row r="435" spans="1:10">
      <c r="A435">
        <v>434</v>
      </c>
      <c r="B435">
        <v>16528</v>
      </c>
      <c r="C435" t="s">
        <v>18</v>
      </c>
      <c r="D435">
        <v>71003.7</v>
      </c>
      <c r="E435" t="s">
        <v>16</v>
      </c>
      <c r="F435">
        <v>6</v>
      </c>
      <c r="G435" t="s">
        <v>20</v>
      </c>
      <c r="H435" s="1">
        <v>45470</v>
      </c>
      <c r="I435" s="1">
        <v>45476</v>
      </c>
      <c r="J435" t="str">
        <f t="shared" si="6"/>
        <v>Jun-2024</v>
      </c>
    </row>
    <row r="436" spans="1:10">
      <c r="A436">
        <v>435</v>
      </c>
      <c r="B436">
        <v>16655</v>
      </c>
      <c r="C436" t="s">
        <v>18</v>
      </c>
      <c r="D436">
        <v>133300.41</v>
      </c>
      <c r="E436" t="s">
        <v>16</v>
      </c>
      <c r="F436">
        <v>23</v>
      </c>
      <c r="G436" t="s">
        <v>20</v>
      </c>
      <c r="H436" s="1">
        <v>45360</v>
      </c>
      <c r="I436" s="1">
        <v>45383</v>
      </c>
      <c r="J436" t="str">
        <f t="shared" si="6"/>
        <v>Mar-2024</v>
      </c>
    </row>
    <row r="437" spans="1:10">
      <c r="A437">
        <v>436</v>
      </c>
      <c r="B437">
        <v>15599</v>
      </c>
      <c r="C437" t="s">
        <v>23</v>
      </c>
      <c r="D437">
        <v>144955.84</v>
      </c>
      <c r="E437" t="s">
        <v>16</v>
      </c>
      <c r="F437">
        <v>10</v>
      </c>
      <c r="G437" t="s">
        <v>20</v>
      </c>
      <c r="H437" s="1">
        <v>45351</v>
      </c>
      <c r="I437" s="1">
        <v>45361</v>
      </c>
      <c r="J437" t="str">
        <f t="shared" si="6"/>
        <v>Feb-2024</v>
      </c>
    </row>
    <row r="438" spans="1:10">
      <c r="A438">
        <v>437</v>
      </c>
      <c r="B438">
        <v>15690</v>
      </c>
      <c r="C438" t="s">
        <v>18</v>
      </c>
      <c r="D438">
        <v>113819.55</v>
      </c>
      <c r="E438" t="s">
        <v>16</v>
      </c>
      <c r="F438">
        <v>34</v>
      </c>
      <c r="G438" t="s">
        <v>20</v>
      </c>
      <c r="H438" s="1">
        <v>45593</v>
      </c>
      <c r="I438" s="1">
        <v>45627</v>
      </c>
      <c r="J438" t="str">
        <f t="shared" si="6"/>
        <v>Oct-2024</v>
      </c>
    </row>
    <row r="439" spans="1:10">
      <c r="A439">
        <v>438</v>
      </c>
      <c r="B439">
        <v>15905</v>
      </c>
      <c r="C439" t="s">
        <v>18</v>
      </c>
      <c r="D439">
        <v>16039.92</v>
      </c>
      <c r="E439" t="s">
        <v>16</v>
      </c>
      <c r="F439">
        <v>16</v>
      </c>
      <c r="G439" t="s">
        <v>20</v>
      </c>
      <c r="H439" s="1">
        <v>45540</v>
      </c>
      <c r="I439" s="1">
        <v>45556</v>
      </c>
      <c r="J439" t="str">
        <f t="shared" si="6"/>
        <v>Sep-2024</v>
      </c>
    </row>
    <row r="440" spans="1:10">
      <c r="A440">
        <v>439</v>
      </c>
      <c r="B440">
        <v>16331</v>
      </c>
      <c r="C440" t="s">
        <v>22</v>
      </c>
      <c r="D440">
        <v>38127.160000000003</v>
      </c>
      <c r="E440" t="s">
        <v>16</v>
      </c>
      <c r="F440">
        <v>25</v>
      </c>
      <c r="G440" t="s">
        <v>17</v>
      </c>
      <c r="H440" s="1">
        <v>45460</v>
      </c>
      <c r="I440" s="1">
        <v>45485</v>
      </c>
      <c r="J440" t="str">
        <f t="shared" si="6"/>
        <v>Jun-2024</v>
      </c>
    </row>
    <row r="441" spans="1:10">
      <c r="A441">
        <v>440</v>
      </c>
      <c r="B441">
        <v>18644</v>
      </c>
      <c r="C441" t="s">
        <v>23</v>
      </c>
      <c r="D441">
        <v>60633.06</v>
      </c>
      <c r="E441" t="s">
        <v>16</v>
      </c>
      <c r="F441">
        <v>31</v>
      </c>
      <c r="G441" t="s">
        <v>17</v>
      </c>
      <c r="H441" s="1">
        <v>45560</v>
      </c>
      <c r="I441" s="1">
        <v>45591</v>
      </c>
      <c r="J441" t="str">
        <f t="shared" si="6"/>
        <v>Sep-2024</v>
      </c>
    </row>
    <row r="442" spans="1:10">
      <c r="A442">
        <v>441</v>
      </c>
      <c r="B442">
        <v>14073</v>
      </c>
      <c r="C442" t="s">
        <v>23</v>
      </c>
      <c r="D442">
        <v>60111.99</v>
      </c>
      <c r="E442" t="s">
        <v>16</v>
      </c>
      <c r="F442">
        <v>37</v>
      </c>
      <c r="G442" t="s">
        <v>21</v>
      </c>
      <c r="H442" s="1">
        <v>45655</v>
      </c>
      <c r="I442" s="1">
        <v>45692</v>
      </c>
      <c r="J442" t="str">
        <f t="shared" si="6"/>
        <v>Dec-2024</v>
      </c>
    </row>
    <row r="443" spans="1:10">
      <c r="A443">
        <v>442</v>
      </c>
      <c r="B443">
        <v>12894</v>
      </c>
      <c r="C443" t="s">
        <v>18</v>
      </c>
      <c r="D443">
        <v>136317.06</v>
      </c>
      <c r="E443" t="s">
        <v>16</v>
      </c>
      <c r="F443">
        <v>40</v>
      </c>
      <c r="G443" t="s">
        <v>20</v>
      </c>
      <c r="H443" s="1">
        <v>45403</v>
      </c>
      <c r="I443" s="1">
        <v>45443</v>
      </c>
      <c r="J443" t="str">
        <f t="shared" si="6"/>
        <v>Apr-2024</v>
      </c>
    </row>
    <row r="444" spans="1:10">
      <c r="A444">
        <v>443</v>
      </c>
      <c r="B444">
        <v>12234</v>
      </c>
      <c r="C444" t="s">
        <v>23</v>
      </c>
      <c r="D444">
        <v>8577.99</v>
      </c>
      <c r="E444" t="s">
        <v>24</v>
      </c>
      <c r="G444" t="s">
        <v>21</v>
      </c>
      <c r="H444" s="1">
        <v>45391</v>
      </c>
      <c r="J444" t="str">
        <f t="shared" si="6"/>
        <v>Apr-2024</v>
      </c>
    </row>
    <row r="445" spans="1:10">
      <c r="A445">
        <v>444</v>
      </c>
      <c r="B445">
        <v>17631</v>
      </c>
      <c r="C445" t="s">
        <v>18</v>
      </c>
      <c r="D445">
        <v>152357.95000000001</v>
      </c>
      <c r="E445" t="s">
        <v>16</v>
      </c>
      <c r="F445">
        <v>16</v>
      </c>
      <c r="G445" t="s">
        <v>20</v>
      </c>
      <c r="H445" s="1">
        <v>45506</v>
      </c>
      <c r="I445" s="1">
        <v>45522</v>
      </c>
      <c r="J445" t="str">
        <f t="shared" si="6"/>
        <v>Aug-2024</v>
      </c>
    </row>
    <row r="446" spans="1:10">
      <c r="A446">
        <v>445</v>
      </c>
      <c r="B446">
        <v>15859</v>
      </c>
      <c r="C446" t="s">
        <v>18</v>
      </c>
      <c r="D446">
        <v>56741.78</v>
      </c>
      <c r="E446" t="s">
        <v>16</v>
      </c>
      <c r="F446">
        <v>39</v>
      </c>
      <c r="G446" t="s">
        <v>20</v>
      </c>
      <c r="H446" s="1">
        <v>45404</v>
      </c>
      <c r="I446" s="1">
        <v>45443</v>
      </c>
      <c r="J446" t="str">
        <f t="shared" si="6"/>
        <v>Apr-2024</v>
      </c>
    </row>
    <row r="447" spans="1:10">
      <c r="A447">
        <v>446</v>
      </c>
      <c r="B447">
        <v>18355</v>
      </c>
      <c r="C447" t="s">
        <v>23</v>
      </c>
      <c r="D447">
        <v>65454.26</v>
      </c>
      <c r="E447" t="s">
        <v>16</v>
      </c>
      <c r="F447">
        <v>40</v>
      </c>
      <c r="G447" t="s">
        <v>17</v>
      </c>
      <c r="H447" s="1">
        <v>45388</v>
      </c>
      <c r="I447" s="1">
        <v>45428</v>
      </c>
      <c r="J447" t="str">
        <f t="shared" si="6"/>
        <v>Apr-2024</v>
      </c>
    </row>
    <row r="448" spans="1:10">
      <c r="A448">
        <v>447</v>
      </c>
      <c r="B448">
        <v>11447</v>
      </c>
      <c r="C448" t="s">
        <v>18</v>
      </c>
      <c r="D448">
        <v>107942.42</v>
      </c>
      <c r="E448" t="s">
        <v>16</v>
      </c>
      <c r="F448">
        <v>23</v>
      </c>
      <c r="G448" t="s">
        <v>17</v>
      </c>
      <c r="H448" s="1">
        <v>45598</v>
      </c>
      <c r="I448" s="1">
        <v>45621</v>
      </c>
      <c r="J448" t="str">
        <f t="shared" si="6"/>
        <v>Nov-2024</v>
      </c>
    </row>
    <row r="449" spans="1:10">
      <c r="A449">
        <v>448</v>
      </c>
      <c r="B449">
        <v>10101</v>
      </c>
      <c r="C449" t="s">
        <v>18</v>
      </c>
      <c r="D449">
        <v>47105.49</v>
      </c>
      <c r="E449" t="s">
        <v>19</v>
      </c>
      <c r="F449">
        <v>4</v>
      </c>
      <c r="G449" t="s">
        <v>25</v>
      </c>
      <c r="H449" s="1">
        <v>45409</v>
      </c>
      <c r="I449" s="1">
        <v>45413</v>
      </c>
      <c r="J449" t="str">
        <f t="shared" si="6"/>
        <v>Apr-2024</v>
      </c>
    </row>
    <row r="450" spans="1:10">
      <c r="A450">
        <v>449</v>
      </c>
      <c r="B450">
        <v>17434</v>
      </c>
      <c r="C450" t="s">
        <v>23</v>
      </c>
      <c r="D450">
        <v>177471.91</v>
      </c>
      <c r="E450" t="s">
        <v>24</v>
      </c>
      <c r="G450" t="s">
        <v>17</v>
      </c>
      <c r="H450" s="1">
        <v>45327</v>
      </c>
      <c r="J450" t="str">
        <f t="shared" si="6"/>
        <v>Feb-2024</v>
      </c>
    </row>
    <row r="451" spans="1:10">
      <c r="A451">
        <v>450</v>
      </c>
      <c r="B451">
        <v>17320</v>
      </c>
      <c r="C451" t="s">
        <v>22</v>
      </c>
      <c r="D451">
        <v>21646.91</v>
      </c>
      <c r="E451" t="s">
        <v>16</v>
      </c>
      <c r="F451">
        <v>30</v>
      </c>
      <c r="G451" t="s">
        <v>25</v>
      </c>
      <c r="H451" s="1">
        <v>45628</v>
      </c>
      <c r="I451" s="1">
        <v>45658</v>
      </c>
      <c r="J451" t="str">
        <f t="shared" ref="J451:J514" si="7">TEXT(H451,"mmm-yyyy")</f>
        <v>Dec-2024</v>
      </c>
    </row>
    <row r="452" spans="1:10">
      <c r="A452">
        <v>451</v>
      </c>
      <c r="B452">
        <v>19644</v>
      </c>
      <c r="C452" t="s">
        <v>15</v>
      </c>
      <c r="D452">
        <v>91654.56</v>
      </c>
      <c r="E452" t="s">
        <v>24</v>
      </c>
      <c r="G452" t="s">
        <v>25</v>
      </c>
      <c r="H452" s="1">
        <v>45650</v>
      </c>
      <c r="J452" t="str">
        <f t="shared" si="7"/>
        <v>Dec-2024</v>
      </c>
    </row>
    <row r="453" spans="1:10">
      <c r="A453">
        <v>452</v>
      </c>
      <c r="B453">
        <v>10535</v>
      </c>
      <c r="C453" t="s">
        <v>18</v>
      </c>
      <c r="D453">
        <v>170637.34</v>
      </c>
      <c r="E453" t="s">
        <v>16</v>
      </c>
      <c r="F453">
        <v>3</v>
      </c>
      <c r="G453" t="s">
        <v>25</v>
      </c>
      <c r="H453" s="1">
        <v>45581</v>
      </c>
      <c r="I453" s="1">
        <v>45584</v>
      </c>
      <c r="J453" t="str">
        <f t="shared" si="7"/>
        <v>Oct-2024</v>
      </c>
    </row>
    <row r="454" spans="1:10">
      <c r="A454">
        <v>453</v>
      </c>
      <c r="B454">
        <v>17500</v>
      </c>
      <c r="C454" t="s">
        <v>18</v>
      </c>
      <c r="D454">
        <v>125089.56</v>
      </c>
      <c r="E454" t="s">
        <v>16</v>
      </c>
      <c r="F454">
        <v>36</v>
      </c>
      <c r="G454" t="s">
        <v>25</v>
      </c>
      <c r="H454" s="1">
        <v>45595</v>
      </c>
      <c r="I454" s="1">
        <v>45631</v>
      </c>
      <c r="J454" t="str">
        <f t="shared" si="7"/>
        <v>Oct-2024</v>
      </c>
    </row>
    <row r="455" spans="1:10">
      <c r="A455">
        <v>454</v>
      </c>
      <c r="B455">
        <v>11700</v>
      </c>
      <c r="C455" t="s">
        <v>23</v>
      </c>
      <c r="D455">
        <v>62004.26</v>
      </c>
      <c r="E455" t="s">
        <v>16</v>
      </c>
      <c r="F455">
        <v>10</v>
      </c>
      <c r="G455" t="s">
        <v>25</v>
      </c>
      <c r="H455" s="1">
        <v>45651</v>
      </c>
      <c r="I455" s="1">
        <v>45661</v>
      </c>
      <c r="J455" t="str">
        <f t="shared" si="7"/>
        <v>Dec-2024</v>
      </c>
    </row>
    <row r="456" spans="1:10">
      <c r="A456">
        <v>455</v>
      </c>
      <c r="B456">
        <v>17039</v>
      </c>
      <c r="C456" t="s">
        <v>22</v>
      </c>
      <c r="D456">
        <v>87048.24</v>
      </c>
      <c r="E456" t="s">
        <v>19</v>
      </c>
      <c r="F456">
        <v>23</v>
      </c>
      <c r="G456" t="s">
        <v>21</v>
      </c>
      <c r="H456" s="1">
        <v>45638</v>
      </c>
      <c r="I456" s="1">
        <v>45661</v>
      </c>
      <c r="J456" t="str">
        <f t="shared" si="7"/>
        <v>Dec-2024</v>
      </c>
    </row>
    <row r="457" spans="1:10">
      <c r="A457">
        <v>456</v>
      </c>
      <c r="B457">
        <v>19655</v>
      </c>
      <c r="C457" t="s">
        <v>18</v>
      </c>
      <c r="D457">
        <v>142805.4</v>
      </c>
      <c r="E457" t="s">
        <v>16</v>
      </c>
      <c r="F457">
        <v>20</v>
      </c>
      <c r="G457" t="s">
        <v>17</v>
      </c>
      <c r="H457" s="1">
        <v>45415</v>
      </c>
      <c r="I457" s="1">
        <v>45435</v>
      </c>
      <c r="J457" t="str">
        <f t="shared" si="7"/>
        <v>May-2024</v>
      </c>
    </row>
    <row r="458" spans="1:10">
      <c r="A458">
        <v>457</v>
      </c>
      <c r="B458">
        <v>17114</v>
      </c>
      <c r="C458" t="s">
        <v>18</v>
      </c>
      <c r="D458">
        <v>194785.84</v>
      </c>
      <c r="E458" t="s">
        <v>16</v>
      </c>
      <c r="F458">
        <v>38</v>
      </c>
      <c r="G458" t="s">
        <v>25</v>
      </c>
      <c r="H458" s="1">
        <v>45331</v>
      </c>
      <c r="I458" s="1">
        <v>45369</v>
      </c>
      <c r="J458" t="str">
        <f t="shared" si="7"/>
        <v>Feb-2024</v>
      </c>
    </row>
    <row r="459" spans="1:10">
      <c r="A459">
        <v>458</v>
      </c>
      <c r="B459">
        <v>17469</v>
      </c>
      <c r="C459" t="s">
        <v>15</v>
      </c>
      <c r="D459">
        <v>179162.05</v>
      </c>
      <c r="E459" t="s">
        <v>19</v>
      </c>
      <c r="F459">
        <v>11</v>
      </c>
      <c r="G459" t="s">
        <v>20</v>
      </c>
      <c r="H459" s="1">
        <v>45432</v>
      </c>
      <c r="I459" s="1">
        <v>45443</v>
      </c>
      <c r="J459" t="str">
        <f t="shared" si="7"/>
        <v>May-2024</v>
      </c>
    </row>
    <row r="460" spans="1:10">
      <c r="A460">
        <v>459</v>
      </c>
      <c r="B460">
        <v>16492</v>
      </c>
      <c r="C460" t="s">
        <v>23</v>
      </c>
      <c r="D460">
        <v>71774.399999999994</v>
      </c>
      <c r="E460" t="s">
        <v>16</v>
      </c>
      <c r="F460">
        <v>22</v>
      </c>
      <c r="G460" t="s">
        <v>17</v>
      </c>
      <c r="H460" s="1">
        <v>45317</v>
      </c>
      <c r="I460" s="1">
        <v>45339</v>
      </c>
      <c r="J460" t="str">
        <f t="shared" si="7"/>
        <v>Jan-2024</v>
      </c>
    </row>
    <row r="461" spans="1:10">
      <c r="A461">
        <v>460</v>
      </c>
      <c r="B461">
        <v>14344</v>
      </c>
      <c r="C461" t="s">
        <v>15</v>
      </c>
      <c r="D461">
        <v>199648.59</v>
      </c>
      <c r="E461" t="s">
        <v>16</v>
      </c>
      <c r="F461">
        <v>18</v>
      </c>
      <c r="G461" t="s">
        <v>17</v>
      </c>
      <c r="H461" s="1">
        <v>45433</v>
      </c>
      <c r="I461" s="1">
        <v>45451</v>
      </c>
      <c r="J461" t="str">
        <f t="shared" si="7"/>
        <v>May-2024</v>
      </c>
    </row>
    <row r="462" spans="1:10">
      <c r="A462">
        <v>461</v>
      </c>
      <c r="B462">
        <v>11971</v>
      </c>
      <c r="C462" t="s">
        <v>23</v>
      </c>
      <c r="D462">
        <v>5683.41</v>
      </c>
      <c r="E462" t="s">
        <v>19</v>
      </c>
      <c r="F462">
        <v>4</v>
      </c>
      <c r="G462" t="s">
        <v>25</v>
      </c>
      <c r="H462" s="1">
        <v>45643</v>
      </c>
      <c r="I462" s="1">
        <v>45647</v>
      </c>
      <c r="J462" t="str">
        <f t="shared" si="7"/>
        <v>Dec-2024</v>
      </c>
    </row>
    <row r="463" spans="1:10">
      <c r="A463">
        <v>462</v>
      </c>
      <c r="B463">
        <v>19644</v>
      </c>
      <c r="C463" t="s">
        <v>23</v>
      </c>
      <c r="D463">
        <v>10387.799999999999</v>
      </c>
      <c r="E463" t="s">
        <v>16</v>
      </c>
      <c r="F463">
        <v>8</v>
      </c>
      <c r="G463" t="s">
        <v>21</v>
      </c>
      <c r="H463" s="1">
        <v>45627</v>
      </c>
      <c r="I463" s="1">
        <v>45635</v>
      </c>
      <c r="J463" t="str">
        <f t="shared" si="7"/>
        <v>Dec-2024</v>
      </c>
    </row>
    <row r="464" spans="1:10">
      <c r="A464">
        <v>463</v>
      </c>
      <c r="B464">
        <v>19785</v>
      </c>
      <c r="C464" t="s">
        <v>23</v>
      </c>
      <c r="D464">
        <v>165648.9</v>
      </c>
      <c r="E464" t="s">
        <v>16</v>
      </c>
      <c r="F464">
        <v>42</v>
      </c>
      <c r="G464" t="s">
        <v>25</v>
      </c>
      <c r="H464" s="1">
        <v>45348</v>
      </c>
      <c r="I464" s="1">
        <v>45390</v>
      </c>
      <c r="J464" t="str">
        <f t="shared" si="7"/>
        <v>Feb-2024</v>
      </c>
    </row>
    <row r="465" spans="1:10">
      <c r="A465">
        <v>464</v>
      </c>
      <c r="B465">
        <v>10712</v>
      </c>
      <c r="C465" t="s">
        <v>22</v>
      </c>
      <c r="D465">
        <v>43895.22</v>
      </c>
      <c r="E465" t="s">
        <v>16</v>
      </c>
      <c r="F465">
        <v>38</v>
      </c>
      <c r="G465" t="s">
        <v>21</v>
      </c>
      <c r="H465" s="1">
        <v>45441</v>
      </c>
      <c r="I465" s="1">
        <v>45479</v>
      </c>
      <c r="J465" t="str">
        <f t="shared" si="7"/>
        <v>May-2024</v>
      </c>
    </row>
    <row r="466" spans="1:10">
      <c r="A466">
        <v>465</v>
      </c>
      <c r="B466">
        <v>13655</v>
      </c>
      <c r="C466" t="s">
        <v>15</v>
      </c>
      <c r="D466">
        <v>16850.009999999998</v>
      </c>
      <c r="E466" t="s">
        <v>16</v>
      </c>
      <c r="F466">
        <v>37</v>
      </c>
      <c r="G466" t="s">
        <v>20</v>
      </c>
      <c r="H466" s="1">
        <v>45496</v>
      </c>
      <c r="I466" s="1">
        <v>45533</v>
      </c>
      <c r="J466" t="str">
        <f t="shared" si="7"/>
        <v>Jul-2024</v>
      </c>
    </row>
    <row r="467" spans="1:10">
      <c r="A467">
        <v>466</v>
      </c>
      <c r="B467">
        <v>16241</v>
      </c>
      <c r="C467" t="s">
        <v>18</v>
      </c>
      <c r="D467">
        <v>51243.87</v>
      </c>
      <c r="E467" t="s">
        <v>16</v>
      </c>
      <c r="F467">
        <v>4</v>
      </c>
      <c r="G467" t="s">
        <v>17</v>
      </c>
      <c r="H467" s="1">
        <v>45367</v>
      </c>
      <c r="I467" s="1">
        <v>45371</v>
      </c>
      <c r="J467" t="str">
        <f t="shared" si="7"/>
        <v>Mar-2024</v>
      </c>
    </row>
    <row r="468" spans="1:10">
      <c r="A468">
        <v>467</v>
      </c>
      <c r="B468">
        <v>16472</v>
      </c>
      <c r="C468" t="s">
        <v>18</v>
      </c>
      <c r="D468">
        <v>88089.53</v>
      </c>
      <c r="E468" t="s">
        <v>16</v>
      </c>
      <c r="F468">
        <v>14</v>
      </c>
      <c r="G468" t="s">
        <v>20</v>
      </c>
      <c r="H468" s="1">
        <v>45576</v>
      </c>
      <c r="I468" s="1">
        <v>45590</v>
      </c>
      <c r="J468" t="str">
        <f t="shared" si="7"/>
        <v>Oct-2024</v>
      </c>
    </row>
    <row r="469" spans="1:10">
      <c r="A469">
        <v>468</v>
      </c>
      <c r="B469">
        <v>17760</v>
      </c>
      <c r="C469" t="s">
        <v>18</v>
      </c>
      <c r="D469">
        <v>147460.42000000001</v>
      </c>
      <c r="E469" t="s">
        <v>16</v>
      </c>
      <c r="F469">
        <v>42</v>
      </c>
      <c r="G469" t="s">
        <v>21</v>
      </c>
      <c r="H469" s="1">
        <v>45501</v>
      </c>
      <c r="I469" s="1">
        <v>45543</v>
      </c>
      <c r="J469" t="str">
        <f t="shared" si="7"/>
        <v>Jul-2024</v>
      </c>
    </row>
    <row r="470" spans="1:10">
      <c r="A470">
        <v>469</v>
      </c>
      <c r="B470">
        <v>19640</v>
      </c>
      <c r="C470" t="s">
        <v>22</v>
      </c>
      <c r="D470">
        <v>126745.43</v>
      </c>
      <c r="E470" t="s">
        <v>16</v>
      </c>
      <c r="F470">
        <v>31</v>
      </c>
      <c r="G470" t="s">
        <v>21</v>
      </c>
      <c r="H470" s="1">
        <v>45549</v>
      </c>
      <c r="I470" s="1">
        <v>45580</v>
      </c>
      <c r="J470" t="str">
        <f t="shared" si="7"/>
        <v>Sep-2024</v>
      </c>
    </row>
    <row r="471" spans="1:10">
      <c r="A471">
        <v>470</v>
      </c>
      <c r="B471">
        <v>13648</v>
      </c>
      <c r="C471" t="s">
        <v>23</v>
      </c>
      <c r="D471">
        <v>51336.14</v>
      </c>
      <c r="E471" t="s">
        <v>19</v>
      </c>
      <c r="F471">
        <v>24</v>
      </c>
      <c r="G471" t="s">
        <v>20</v>
      </c>
      <c r="H471" s="1">
        <v>45550</v>
      </c>
      <c r="I471" s="1">
        <v>45574</v>
      </c>
      <c r="J471" t="str">
        <f t="shared" si="7"/>
        <v>Sep-2024</v>
      </c>
    </row>
    <row r="472" spans="1:10">
      <c r="A472">
        <v>471</v>
      </c>
      <c r="B472">
        <v>15124</v>
      </c>
      <c r="C472" t="s">
        <v>23</v>
      </c>
      <c r="D472">
        <v>103137.74</v>
      </c>
      <c r="E472" t="s">
        <v>24</v>
      </c>
      <c r="G472" t="s">
        <v>21</v>
      </c>
      <c r="H472" s="1">
        <v>45475</v>
      </c>
      <c r="J472" t="str">
        <f t="shared" si="7"/>
        <v>Jul-2024</v>
      </c>
    </row>
    <row r="473" spans="1:10">
      <c r="A473">
        <v>472</v>
      </c>
      <c r="B473">
        <v>18650</v>
      </c>
      <c r="C473" t="s">
        <v>23</v>
      </c>
      <c r="D473">
        <v>185611.75</v>
      </c>
      <c r="E473" t="s">
        <v>16</v>
      </c>
      <c r="F473">
        <v>31</v>
      </c>
      <c r="G473" t="s">
        <v>20</v>
      </c>
      <c r="H473" s="1">
        <v>45619</v>
      </c>
      <c r="I473" s="1">
        <v>45650</v>
      </c>
      <c r="J473" t="str">
        <f t="shared" si="7"/>
        <v>Nov-2024</v>
      </c>
    </row>
    <row r="474" spans="1:10">
      <c r="A474">
        <v>473</v>
      </c>
      <c r="B474">
        <v>12843</v>
      </c>
      <c r="C474" t="s">
        <v>18</v>
      </c>
      <c r="D474">
        <v>163926.51999999999</v>
      </c>
      <c r="E474" t="s">
        <v>16</v>
      </c>
      <c r="F474">
        <v>30</v>
      </c>
      <c r="G474" t="s">
        <v>17</v>
      </c>
      <c r="H474" s="1">
        <v>45302</v>
      </c>
      <c r="I474" s="1">
        <v>45332</v>
      </c>
      <c r="J474" t="str">
        <f t="shared" si="7"/>
        <v>Jan-2024</v>
      </c>
    </row>
    <row r="475" spans="1:10">
      <c r="A475">
        <v>474</v>
      </c>
      <c r="B475">
        <v>17973</v>
      </c>
      <c r="C475" t="s">
        <v>18</v>
      </c>
      <c r="D475">
        <v>68022.009999999995</v>
      </c>
      <c r="E475" t="s">
        <v>24</v>
      </c>
      <c r="G475" t="s">
        <v>20</v>
      </c>
      <c r="H475" s="1">
        <v>45451</v>
      </c>
      <c r="J475" t="str">
        <f t="shared" si="7"/>
        <v>Jun-2024</v>
      </c>
    </row>
    <row r="476" spans="1:10">
      <c r="A476">
        <v>475</v>
      </c>
      <c r="B476">
        <v>10592</v>
      </c>
      <c r="C476" t="s">
        <v>23</v>
      </c>
      <c r="D476">
        <v>196541.59</v>
      </c>
      <c r="E476" t="s">
        <v>16</v>
      </c>
      <c r="F476">
        <v>11</v>
      </c>
      <c r="G476" t="s">
        <v>17</v>
      </c>
      <c r="H476" s="1">
        <v>45551</v>
      </c>
      <c r="I476" s="1">
        <v>45562</v>
      </c>
      <c r="J476" t="str">
        <f t="shared" si="7"/>
        <v>Sep-2024</v>
      </c>
    </row>
    <row r="477" spans="1:10">
      <c r="A477">
        <v>476</v>
      </c>
      <c r="B477">
        <v>10497</v>
      </c>
      <c r="C477" t="s">
        <v>23</v>
      </c>
      <c r="D477">
        <v>143180.98000000001</v>
      </c>
      <c r="E477" t="s">
        <v>16</v>
      </c>
      <c r="F477">
        <v>34</v>
      </c>
      <c r="G477" t="s">
        <v>20</v>
      </c>
      <c r="H477" s="1">
        <v>45379</v>
      </c>
      <c r="I477" s="1">
        <v>45413</v>
      </c>
      <c r="J477" t="str">
        <f t="shared" si="7"/>
        <v>Mar-2024</v>
      </c>
    </row>
    <row r="478" spans="1:10">
      <c r="A478">
        <v>477</v>
      </c>
      <c r="B478">
        <v>12134</v>
      </c>
      <c r="C478" t="s">
        <v>15</v>
      </c>
      <c r="D478">
        <v>17177.62</v>
      </c>
      <c r="E478" t="s">
        <v>24</v>
      </c>
      <c r="G478" t="s">
        <v>21</v>
      </c>
      <c r="H478" s="1">
        <v>45475</v>
      </c>
      <c r="J478" t="str">
        <f t="shared" si="7"/>
        <v>Jul-2024</v>
      </c>
    </row>
    <row r="479" spans="1:10">
      <c r="A479">
        <v>478</v>
      </c>
      <c r="B479">
        <v>12449</v>
      </c>
      <c r="C479" t="s">
        <v>23</v>
      </c>
      <c r="D479">
        <v>11856.34</v>
      </c>
      <c r="E479" t="s">
        <v>19</v>
      </c>
      <c r="F479">
        <v>30</v>
      </c>
      <c r="G479" t="s">
        <v>20</v>
      </c>
      <c r="H479" s="1">
        <v>45307</v>
      </c>
      <c r="I479" s="1">
        <v>45337</v>
      </c>
      <c r="J479" t="str">
        <f t="shared" si="7"/>
        <v>Jan-2024</v>
      </c>
    </row>
    <row r="480" spans="1:10">
      <c r="A480">
        <v>479</v>
      </c>
      <c r="B480">
        <v>15412</v>
      </c>
      <c r="C480" t="s">
        <v>18</v>
      </c>
      <c r="D480">
        <v>37839.550000000003</v>
      </c>
      <c r="E480" t="s">
        <v>19</v>
      </c>
      <c r="F480">
        <v>30</v>
      </c>
      <c r="G480" t="s">
        <v>21</v>
      </c>
      <c r="H480" s="1">
        <v>45535</v>
      </c>
      <c r="I480" s="1">
        <v>45565</v>
      </c>
      <c r="J480" t="str">
        <f t="shared" si="7"/>
        <v>Aug-2024</v>
      </c>
    </row>
    <row r="481" spans="1:10">
      <c r="A481">
        <v>480</v>
      </c>
      <c r="B481">
        <v>17448</v>
      </c>
      <c r="C481" t="s">
        <v>22</v>
      </c>
      <c r="D481">
        <v>146931.89000000001</v>
      </c>
      <c r="E481" t="s">
        <v>19</v>
      </c>
      <c r="F481">
        <v>22</v>
      </c>
      <c r="G481" t="s">
        <v>20</v>
      </c>
      <c r="H481" s="1">
        <v>45377</v>
      </c>
      <c r="I481" s="1">
        <v>45399</v>
      </c>
      <c r="J481" t="str">
        <f t="shared" si="7"/>
        <v>Mar-2024</v>
      </c>
    </row>
    <row r="482" spans="1:10">
      <c r="A482">
        <v>481</v>
      </c>
      <c r="B482">
        <v>14292</v>
      </c>
      <c r="C482" t="s">
        <v>23</v>
      </c>
      <c r="D482">
        <v>40829.089999999997</v>
      </c>
      <c r="E482" t="s">
        <v>16</v>
      </c>
      <c r="F482">
        <v>2</v>
      </c>
      <c r="G482" t="s">
        <v>20</v>
      </c>
      <c r="H482" s="1">
        <v>45490</v>
      </c>
      <c r="I482" s="1">
        <v>45492</v>
      </c>
      <c r="J482" t="str">
        <f t="shared" si="7"/>
        <v>Jul-2024</v>
      </c>
    </row>
    <row r="483" spans="1:10">
      <c r="A483">
        <v>482</v>
      </c>
      <c r="B483">
        <v>10026</v>
      </c>
      <c r="C483" t="s">
        <v>23</v>
      </c>
      <c r="D483">
        <v>104739.92</v>
      </c>
      <c r="E483" t="s">
        <v>16</v>
      </c>
      <c r="F483">
        <v>35</v>
      </c>
      <c r="G483" t="s">
        <v>25</v>
      </c>
      <c r="H483" s="1">
        <v>45301</v>
      </c>
      <c r="I483" s="1">
        <v>45336</v>
      </c>
      <c r="J483" t="str">
        <f t="shared" si="7"/>
        <v>Jan-2024</v>
      </c>
    </row>
    <row r="484" spans="1:10">
      <c r="A484">
        <v>483</v>
      </c>
      <c r="B484">
        <v>19909</v>
      </c>
      <c r="C484" t="s">
        <v>18</v>
      </c>
      <c r="D484">
        <v>23185.72</v>
      </c>
      <c r="E484" t="s">
        <v>16</v>
      </c>
      <c r="F484">
        <v>33</v>
      </c>
      <c r="G484" t="s">
        <v>21</v>
      </c>
      <c r="H484" s="1">
        <v>45455</v>
      </c>
      <c r="I484" s="1">
        <v>45488</v>
      </c>
      <c r="J484" t="str">
        <f t="shared" si="7"/>
        <v>Jun-2024</v>
      </c>
    </row>
    <row r="485" spans="1:10">
      <c r="A485">
        <v>484</v>
      </c>
      <c r="B485">
        <v>12253</v>
      </c>
      <c r="C485" t="s">
        <v>15</v>
      </c>
      <c r="D485">
        <v>184572.79999999999</v>
      </c>
      <c r="E485" t="s">
        <v>16</v>
      </c>
      <c r="F485">
        <v>15</v>
      </c>
      <c r="G485" t="s">
        <v>25</v>
      </c>
      <c r="H485" s="1">
        <v>45315</v>
      </c>
      <c r="I485" s="1">
        <v>45330</v>
      </c>
      <c r="J485" t="str">
        <f t="shared" si="7"/>
        <v>Jan-2024</v>
      </c>
    </row>
    <row r="486" spans="1:10">
      <c r="A486">
        <v>485</v>
      </c>
      <c r="B486">
        <v>13642</v>
      </c>
      <c r="C486" t="s">
        <v>18</v>
      </c>
      <c r="D486">
        <v>72072.320000000007</v>
      </c>
      <c r="E486" t="s">
        <v>16</v>
      </c>
      <c r="F486">
        <v>38</v>
      </c>
      <c r="G486" t="s">
        <v>21</v>
      </c>
      <c r="H486" s="1">
        <v>45355</v>
      </c>
      <c r="I486" s="1">
        <v>45393</v>
      </c>
      <c r="J486" t="str">
        <f t="shared" si="7"/>
        <v>Mar-2024</v>
      </c>
    </row>
    <row r="487" spans="1:10">
      <c r="A487">
        <v>486</v>
      </c>
      <c r="B487">
        <v>13655</v>
      </c>
      <c r="C487" t="s">
        <v>22</v>
      </c>
      <c r="D487">
        <v>182085.75</v>
      </c>
      <c r="E487" t="s">
        <v>19</v>
      </c>
      <c r="F487">
        <v>36</v>
      </c>
      <c r="G487" t="s">
        <v>25</v>
      </c>
      <c r="H487" s="1">
        <v>45603</v>
      </c>
      <c r="I487" s="1">
        <v>45639</v>
      </c>
      <c r="J487" t="str">
        <f t="shared" si="7"/>
        <v>Nov-2024</v>
      </c>
    </row>
    <row r="488" spans="1:10">
      <c r="A488">
        <v>487</v>
      </c>
      <c r="B488">
        <v>19475</v>
      </c>
      <c r="C488" t="s">
        <v>23</v>
      </c>
      <c r="D488">
        <v>189250.75</v>
      </c>
      <c r="E488" t="s">
        <v>19</v>
      </c>
      <c r="F488">
        <v>25</v>
      </c>
      <c r="G488" t="s">
        <v>17</v>
      </c>
      <c r="H488" s="1">
        <v>45529</v>
      </c>
      <c r="I488" s="1">
        <v>45554</v>
      </c>
      <c r="J488" t="str">
        <f t="shared" si="7"/>
        <v>Aug-2024</v>
      </c>
    </row>
    <row r="489" spans="1:10">
      <c r="A489">
        <v>488</v>
      </c>
      <c r="B489">
        <v>11086</v>
      </c>
      <c r="C489" t="s">
        <v>18</v>
      </c>
      <c r="D489">
        <v>6195.09</v>
      </c>
      <c r="E489" t="s">
        <v>16</v>
      </c>
      <c r="F489">
        <v>2</v>
      </c>
      <c r="G489" t="s">
        <v>20</v>
      </c>
      <c r="H489" s="1">
        <v>45636</v>
      </c>
      <c r="I489" s="1">
        <v>45638</v>
      </c>
      <c r="J489" t="str">
        <f t="shared" si="7"/>
        <v>Dec-2024</v>
      </c>
    </row>
    <row r="490" spans="1:10">
      <c r="A490">
        <v>489</v>
      </c>
      <c r="B490">
        <v>18022</v>
      </c>
      <c r="C490" t="s">
        <v>18</v>
      </c>
      <c r="D490">
        <v>95506.36</v>
      </c>
      <c r="E490" t="s">
        <v>19</v>
      </c>
      <c r="F490">
        <v>7</v>
      </c>
      <c r="G490" t="s">
        <v>21</v>
      </c>
      <c r="H490" s="1">
        <v>45529</v>
      </c>
      <c r="I490" s="1">
        <v>45536</v>
      </c>
      <c r="J490" t="str">
        <f t="shared" si="7"/>
        <v>Aug-2024</v>
      </c>
    </row>
    <row r="491" spans="1:10">
      <c r="A491">
        <v>490</v>
      </c>
      <c r="B491">
        <v>12015</v>
      </c>
      <c r="C491" t="s">
        <v>15</v>
      </c>
      <c r="D491">
        <v>9807.93</v>
      </c>
      <c r="E491" t="s">
        <v>19</v>
      </c>
      <c r="F491">
        <v>5</v>
      </c>
      <c r="G491" t="s">
        <v>21</v>
      </c>
      <c r="H491" s="1">
        <v>45313</v>
      </c>
      <c r="I491" s="1">
        <v>45318</v>
      </c>
      <c r="J491" t="str">
        <f t="shared" si="7"/>
        <v>Jan-2024</v>
      </c>
    </row>
    <row r="492" spans="1:10">
      <c r="A492">
        <v>491</v>
      </c>
      <c r="B492">
        <v>15067</v>
      </c>
      <c r="C492" t="s">
        <v>23</v>
      </c>
      <c r="D492">
        <v>182195.09</v>
      </c>
      <c r="E492" t="s">
        <v>16</v>
      </c>
      <c r="F492">
        <v>39</v>
      </c>
      <c r="G492" t="s">
        <v>20</v>
      </c>
      <c r="H492" s="1">
        <v>45471</v>
      </c>
      <c r="I492" s="1">
        <v>45510</v>
      </c>
      <c r="J492" t="str">
        <f t="shared" si="7"/>
        <v>Jun-2024</v>
      </c>
    </row>
    <row r="493" spans="1:10">
      <c r="A493">
        <v>492</v>
      </c>
      <c r="B493">
        <v>19907</v>
      </c>
      <c r="C493" t="s">
        <v>15</v>
      </c>
      <c r="D493">
        <v>106089.47</v>
      </c>
      <c r="E493" t="s">
        <v>16</v>
      </c>
      <c r="F493">
        <v>2</v>
      </c>
      <c r="G493" t="s">
        <v>21</v>
      </c>
      <c r="H493" s="1">
        <v>45597</v>
      </c>
      <c r="I493" s="1">
        <v>45599</v>
      </c>
      <c r="J493" t="str">
        <f t="shared" si="7"/>
        <v>Nov-2024</v>
      </c>
    </row>
    <row r="494" spans="1:10">
      <c r="A494">
        <v>493</v>
      </c>
      <c r="B494">
        <v>17123</v>
      </c>
      <c r="C494" t="s">
        <v>18</v>
      </c>
      <c r="D494">
        <v>19614.080000000002</v>
      </c>
      <c r="E494" t="s">
        <v>16</v>
      </c>
      <c r="F494">
        <v>42</v>
      </c>
      <c r="G494" t="s">
        <v>21</v>
      </c>
      <c r="H494" s="1">
        <v>45338</v>
      </c>
      <c r="I494" s="1">
        <v>45380</v>
      </c>
      <c r="J494" t="str">
        <f t="shared" si="7"/>
        <v>Feb-2024</v>
      </c>
    </row>
    <row r="495" spans="1:10">
      <c r="A495">
        <v>494</v>
      </c>
      <c r="B495">
        <v>19918</v>
      </c>
      <c r="C495" t="s">
        <v>23</v>
      </c>
      <c r="D495">
        <v>26503.96</v>
      </c>
      <c r="E495" t="s">
        <v>16</v>
      </c>
      <c r="F495">
        <v>32</v>
      </c>
      <c r="G495" t="s">
        <v>25</v>
      </c>
      <c r="H495" s="1">
        <v>45570</v>
      </c>
      <c r="I495" s="1">
        <v>45602</v>
      </c>
      <c r="J495" t="str">
        <f t="shared" si="7"/>
        <v>Oct-2024</v>
      </c>
    </row>
    <row r="496" spans="1:10">
      <c r="A496">
        <v>495</v>
      </c>
      <c r="B496">
        <v>17084</v>
      </c>
      <c r="C496" t="s">
        <v>23</v>
      </c>
      <c r="D496">
        <v>79784.259999999995</v>
      </c>
      <c r="E496" t="s">
        <v>16</v>
      </c>
      <c r="F496">
        <v>37</v>
      </c>
      <c r="G496" t="s">
        <v>21</v>
      </c>
      <c r="H496" s="1">
        <v>45515</v>
      </c>
      <c r="I496" s="1">
        <v>45552</v>
      </c>
      <c r="J496" t="str">
        <f t="shared" si="7"/>
        <v>Aug-2024</v>
      </c>
    </row>
    <row r="497" spans="1:10">
      <c r="A497">
        <v>496</v>
      </c>
      <c r="B497">
        <v>19099</v>
      </c>
      <c r="C497" t="s">
        <v>15</v>
      </c>
      <c r="D497">
        <v>188345.67</v>
      </c>
      <c r="E497" t="s">
        <v>16</v>
      </c>
      <c r="F497">
        <v>10</v>
      </c>
      <c r="G497" t="s">
        <v>17</v>
      </c>
      <c r="H497" s="1">
        <v>45509</v>
      </c>
      <c r="I497" s="1">
        <v>45519</v>
      </c>
      <c r="J497" t="str">
        <f t="shared" si="7"/>
        <v>Aug-2024</v>
      </c>
    </row>
    <row r="498" spans="1:10">
      <c r="A498">
        <v>497</v>
      </c>
      <c r="B498">
        <v>13463</v>
      </c>
      <c r="C498" t="s">
        <v>23</v>
      </c>
      <c r="D498">
        <v>140117.28</v>
      </c>
      <c r="E498" t="s">
        <v>16</v>
      </c>
      <c r="F498">
        <v>42</v>
      </c>
      <c r="G498" t="s">
        <v>17</v>
      </c>
      <c r="H498" s="1">
        <v>45528</v>
      </c>
      <c r="I498" s="1">
        <v>45570</v>
      </c>
      <c r="J498" t="str">
        <f t="shared" si="7"/>
        <v>Aug-2024</v>
      </c>
    </row>
    <row r="499" spans="1:10">
      <c r="A499">
        <v>498</v>
      </c>
      <c r="B499">
        <v>14341</v>
      </c>
      <c r="C499" t="s">
        <v>23</v>
      </c>
      <c r="D499">
        <v>174185.68</v>
      </c>
      <c r="E499" t="s">
        <v>16</v>
      </c>
      <c r="F499">
        <v>24</v>
      </c>
      <c r="G499" t="s">
        <v>20</v>
      </c>
      <c r="H499" s="1">
        <v>45495</v>
      </c>
      <c r="I499" s="1">
        <v>45519</v>
      </c>
      <c r="J499" t="str">
        <f t="shared" si="7"/>
        <v>Jul-2024</v>
      </c>
    </row>
    <row r="500" spans="1:10">
      <c r="A500">
        <v>499</v>
      </c>
      <c r="B500">
        <v>16421</v>
      </c>
      <c r="C500" t="s">
        <v>23</v>
      </c>
      <c r="D500">
        <v>76459.05</v>
      </c>
      <c r="E500" t="s">
        <v>24</v>
      </c>
      <c r="G500" t="s">
        <v>21</v>
      </c>
      <c r="H500" s="1">
        <v>45630</v>
      </c>
      <c r="J500" t="str">
        <f t="shared" si="7"/>
        <v>Dec-2024</v>
      </c>
    </row>
    <row r="501" spans="1:10">
      <c r="A501">
        <v>500</v>
      </c>
      <c r="B501">
        <v>14467</v>
      </c>
      <c r="C501" t="s">
        <v>15</v>
      </c>
      <c r="D501">
        <v>13426.67</v>
      </c>
      <c r="E501" t="s">
        <v>16</v>
      </c>
      <c r="F501">
        <v>30</v>
      </c>
      <c r="G501" t="s">
        <v>20</v>
      </c>
      <c r="H501" s="1">
        <v>45310</v>
      </c>
      <c r="I501" s="1">
        <v>45340</v>
      </c>
      <c r="J501" t="str">
        <f t="shared" si="7"/>
        <v>Jan-2024</v>
      </c>
    </row>
    <row r="502" spans="1:10">
      <c r="A502">
        <v>501</v>
      </c>
      <c r="B502">
        <v>19000</v>
      </c>
      <c r="C502" t="s">
        <v>18</v>
      </c>
      <c r="D502">
        <v>194991.94</v>
      </c>
      <c r="E502" t="s">
        <v>19</v>
      </c>
      <c r="F502">
        <v>22</v>
      </c>
      <c r="G502" t="s">
        <v>17</v>
      </c>
      <c r="H502" s="1">
        <v>45471</v>
      </c>
      <c r="I502" s="1">
        <v>45493</v>
      </c>
      <c r="J502" t="str">
        <f t="shared" si="7"/>
        <v>Jun-2024</v>
      </c>
    </row>
    <row r="503" spans="1:10">
      <c r="A503">
        <v>502</v>
      </c>
      <c r="B503">
        <v>12896</v>
      </c>
      <c r="C503" t="s">
        <v>18</v>
      </c>
      <c r="D503">
        <v>8348.73</v>
      </c>
      <c r="E503" t="s">
        <v>16</v>
      </c>
      <c r="F503">
        <v>4</v>
      </c>
      <c r="G503" t="s">
        <v>21</v>
      </c>
      <c r="H503" s="1">
        <v>45453</v>
      </c>
      <c r="I503" s="1">
        <v>45457</v>
      </c>
      <c r="J503" t="str">
        <f t="shared" si="7"/>
        <v>Jun-2024</v>
      </c>
    </row>
    <row r="504" spans="1:10">
      <c r="A504">
        <v>503</v>
      </c>
      <c r="B504">
        <v>13128</v>
      </c>
      <c r="C504" t="s">
        <v>23</v>
      </c>
      <c r="D504">
        <v>189792.07</v>
      </c>
      <c r="E504" t="s">
        <v>16</v>
      </c>
      <c r="F504">
        <v>27</v>
      </c>
      <c r="G504" t="s">
        <v>21</v>
      </c>
      <c r="H504" s="1">
        <v>45576</v>
      </c>
      <c r="I504" s="1">
        <v>45603</v>
      </c>
      <c r="J504" t="str">
        <f t="shared" si="7"/>
        <v>Oct-2024</v>
      </c>
    </row>
    <row r="505" spans="1:10">
      <c r="A505">
        <v>504</v>
      </c>
      <c r="B505">
        <v>14255</v>
      </c>
      <c r="C505" t="s">
        <v>18</v>
      </c>
      <c r="D505">
        <v>76892.100000000006</v>
      </c>
      <c r="E505" t="s">
        <v>24</v>
      </c>
      <c r="G505" t="s">
        <v>20</v>
      </c>
      <c r="H505" s="1">
        <v>45352</v>
      </c>
      <c r="J505" t="str">
        <f t="shared" si="7"/>
        <v>Mar-2024</v>
      </c>
    </row>
    <row r="506" spans="1:10">
      <c r="A506">
        <v>505</v>
      </c>
      <c r="B506">
        <v>19342</v>
      </c>
      <c r="C506" t="s">
        <v>18</v>
      </c>
      <c r="D506">
        <v>6967.63</v>
      </c>
      <c r="E506" t="s">
        <v>16</v>
      </c>
      <c r="F506">
        <v>21</v>
      </c>
      <c r="G506" t="s">
        <v>17</v>
      </c>
      <c r="H506" s="1">
        <v>45376</v>
      </c>
      <c r="I506" s="1">
        <v>45397</v>
      </c>
      <c r="J506" t="str">
        <f t="shared" si="7"/>
        <v>Mar-2024</v>
      </c>
    </row>
    <row r="507" spans="1:10">
      <c r="A507">
        <v>506</v>
      </c>
      <c r="B507">
        <v>16880</v>
      </c>
      <c r="C507" t="s">
        <v>15</v>
      </c>
      <c r="D507">
        <v>139385.66</v>
      </c>
      <c r="E507" t="s">
        <v>16</v>
      </c>
      <c r="F507">
        <v>14</v>
      </c>
      <c r="G507" t="s">
        <v>21</v>
      </c>
      <c r="H507" s="1">
        <v>45326</v>
      </c>
      <c r="I507" s="1">
        <v>45340</v>
      </c>
      <c r="J507" t="str">
        <f t="shared" si="7"/>
        <v>Feb-2024</v>
      </c>
    </row>
    <row r="508" spans="1:10">
      <c r="A508">
        <v>507</v>
      </c>
      <c r="B508">
        <v>11334</v>
      </c>
      <c r="C508" t="s">
        <v>22</v>
      </c>
      <c r="D508">
        <v>196205.36</v>
      </c>
      <c r="E508" t="s">
        <v>19</v>
      </c>
      <c r="F508">
        <v>42</v>
      </c>
      <c r="G508" t="s">
        <v>20</v>
      </c>
      <c r="H508" s="1">
        <v>45296</v>
      </c>
      <c r="I508" s="1">
        <v>45338</v>
      </c>
      <c r="J508" t="str">
        <f t="shared" si="7"/>
        <v>Jan-2024</v>
      </c>
    </row>
    <row r="509" spans="1:10">
      <c r="A509">
        <v>508</v>
      </c>
      <c r="B509">
        <v>18709</v>
      </c>
      <c r="C509" t="s">
        <v>23</v>
      </c>
      <c r="D509">
        <v>193297.02</v>
      </c>
      <c r="E509" t="s">
        <v>16</v>
      </c>
      <c r="F509">
        <v>24</v>
      </c>
      <c r="G509" t="s">
        <v>17</v>
      </c>
      <c r="H509" s="1">
        <v>45367</v>
      </c>
      <c r="I509" s="1">
        <v>45391</v>
      </c>
      <c r="J509" t="str">
        <f t="shared" si="7"/>
        <v>Mar-2024</v>
      </c>
    </row>
    <row r="510" spans="1:10">
      <c r="A510">
        <v>509</v>
      </c>
      <c r="B510">
        <v>17078</v>
      </c>
      <c r="C510" t="s">
        <v>18</v>
      </c>
      <c r="D510">
        <v>36382.720000000001</v>
      </c>
      <c r="E510" t="s">
        <v>16</v>
      </c>
      <c r="F510">
        <v>16</v>
      </c>
      <c r="G510" t="s">
        <v>20</v>
      </c>
      <c r="H510" s="1">
        <v>45544</v>
      </c>
      <c r="I510" s="1">
        <v>45560</v>
      </c>
      <c r="J510" t="str">
        <f t="shared" si="7"/>
        <v>Sep-2024</v>
      </c>
    </row>
    <row r="511" spans="1:10">
      <c r="A511">
        <v>510</v>
      </c>
      <c r="B511">
        <v>11288</v>
      </c>
      <c r="C511" t="s">
        <v>23</v>
      </c>
      <c r="D511">
        <v>40343.32</v>
      </c>
      <c r="E511" t="s">
        <v>16</v>
      </c>
      <c r="F511">
        <v>32</v>
      </c>
      <c r="G511" t="s">
        <v>25</v>
      </c>
      <c r="H511" s="1">
        <v>45298</v>
      </c>
      <c r="I511" s="1">
        <v>45330</v>
      </c>
      <c r="J511" t="str">
        <f t="shared" si="7"/>
        <v>Jan-2024</v>
      </c>
    </row>
    <row r="512" spans="1:10">
      <c r="A512">
        <v>511</v>
      </c>
      <c r="B512">
        <v>18937</v>
      </c>
      <c r="C512" t="s">
        <v>18</v>
      </c>
      <c r="D512">
        <v>115280.09</v>
      </c>
      <c r="E512" t="s">
        <v>19</v>
      </c>
      <c r="F512">
        <v>5</v>
      </c>
      <c r="G512" t="s">
        <v>21</v>
      </c>
      <c r="H512" s="1">
        <v>45460</v>
      </c>
      <c r="I512" s="1">
        <v>45465</v>
      </c>
      <c r="J512" t="str">
        <f t="shared" si="7"/>
        <v>Jun-2024</v>
      </c>
    </row>
    <row r="513" spans="1:10">
      <c r="A513">
        <v>512</v>
      </c>
      <c r="B513">
        <v>15647</v>
      </c>
      <c r="C513" t="s">
        <v>23</v>
      </c>
      <c r="D513">
        <v>129274.44</v>
      </c>
      <c r="E513" t="s">
        <v>16</v>
      </c>
      <c r="F513">
        <v>12</v>
      </c>
      <c r="G513" t="s">
        <v>25</v>
      </c>
      <c r="H513" s="1">
        <v>45421</v>
      </c>
      <c r="I513" s="1">
        <v>45433</v>
      </c>
      <c r="J513" t="str">
        <f t="shared" si="7"/>
        <v>May-2024</v>
      </c>
    </row>
    <row r="514" spans="1:10">
      <c r="A514">
        <v>513</v>
      </c>
      <c r="B514">
        <v>15928</v>
      </c>
      <c r="C514" t="s">
        <v>23</v>
      </c>
      <c r="D514">
        <v>149186.49</v>
      </c>
      <c r="E514" t="s">
        <v>16</v>
      </c>
      <c r="F514">
        <v>3</v>
      </c>
      <c r="G514" t="s">
        <v>17</v>
      </c>
      <c r="H514" s="1">
        <v>45429</v>
      </c>
      <c r="I514" s="1">
        <v>45432</v>
      </c>
      <c r="J514" t="str">
        <f t="shared" si="7"/>
        <v>May-2024</v>
      </c>
    </row>
    <row r="515" spans="1:10">
      <c r="A515">
        <v>514</v>
      </c>
      <c r="B515">
        <v>14802</v>
      </c>
      <c r="C515" t="s">
        <v>23</v>
      </c>
      <c r="D515">
        <v>40304.82</v>
      </c>
      <c r="E515" t="s">
        <v>16</v>
      </c>
      <c r="F515">
        <v>17</v>
      </c>
      <c r="G515" t="s">
        <v>25</v>
      </c>
      <c r="H515" s="1">
        <v>45649</v>
      </c>
      <c r="I515" s="1">
        <v>45666</v>
      </c>
      <c r="J515" t="str">
        <f t="shared" ref="J515:J578" si="8">TEXT(H515,"mmm-yyyy")</f>
        <v>Dec-2024</v>
      </c>
    </row>
    <row r="516" spans="1:10">
      <c r="A516">
        <v>515</v>
      </c>
      <c r="B516">
        <v>10697</v>
      </c>
      <c r="C516" t="s">
        <v>18</v>
      </c>
      <c r="D516">
        <v>192006.38</v>
      </c>
      <c r="E516" t="s">
        <v>16</v>
      </c>
      <c r="F516">
        <v>32</v>
      </c>
      <c r="G516" t="s">
        <v>25</v>
      </c>
      <c r="H516" s="1">
        <v>45591</v>
      </c>
      <c r="I516" s="1">
        <v>45623</v>
      </c>
      <c r="J516" t="str">
        <f t="shared" si="8"/>
        <v>Oct-2024</v>
      </c>
    </row>
    <row r="517" spans="1:10">
      <c r="A517">
        <v>516</v>
      </c>
      <c r="B517">
        <v>10474</v>
      </c>
      <c r="C517" t="s">
        <v>23</v>
      </c>
      <c r="D517">
        <v>129554.15</v>
      </c>
      <c r="E517" t="s">
        <v>19</v>
      </c>
      <c r="F517">
        <v>40</v>
      </c>
      <c r="G517" t="s">
        <v>17</v>
      </c>
      <c r="H517" s="1">
        <v>45617</v>
      </c>
      <c r="I517" s="1">
        <v>45657</v>
      </c>
      <c r="J517" t="str">
        <f t="shared" si="8"/>
        <v>Nov-2024</v>
      </c>
    </row>
    <row r="518" spans="1:10">
      <c r="A518">
        <v>517</v>
      </c>
      <c r="B518">
        <v>17696</v>
      </c>
      <c r="C518" t="s">
        <v>18</v>
      </c>
      <c r="D518">
        <v>170174.15</v>
      </c>
      <c r="E518" t="s">
        <v>16</v>
      </c>
      <c r="F518">
        <v>44</v>
      </c>
      <c r="G518" t="s">
        <v>20</v>
      </c>
      <c r="H518" s="1">
        <v>45382</v>
      </c>
      <c r="I518" s="1">
        <v>45426</v>
      </c>
      <c r="J518" t="str">
        <f t="shared" si="8"/>
        <v>Mar-2024</v>
      </c>
    </row>
    <row r="519" spans="1:10">
      <c r="A519">
        <v>518</v>
      </c>
      <c r="B519">
        <v>16532</v>
      </c>
      <c r="C519" t="s">
        <v>23</v>
      </c>
      <c r="D519">
        <v>110312.81</v>
      </c>
      <c r="E519" t="s">
        <v>16</v>
      </c>
      <c r="F519">
        <v>5</v>
      </c>
      <c r="G519" t="s">
        <v>25</v>
      </c>
      <c r="H519" s="1">
        <v>45454</v>
      </c>
      <c r="I519" s="1">
        <v>45459</v>
      </c>
      <c r="J519" t="str">
        <f t="shared" si="8"/>
        <v>Jun-2024</v>
      </c>
    </row>
    <row r="520" spans="1:10">
      <c r="A520">
        <v>519</v>
      </c>
      <c r="B520">
        <v>18702</v>
      </c>
      <c r="C520" t="s">
        <v>23</v>
      </c>
      <c r="D520">
        <v>85783.99</v>
      </c>
      <c r="E520" t="s">
        <v>16</v>
      </c>
      <c r="F520">
        <v>29</v>
      </c>
      <c r="G520" t="s">
        <v>20</v>
      </c>
      <c r="H520" s="1">
        <v>45609</v>
      </c>
      <c r="I520" s="1">
        <v>45638</v>
      </c>
      <c r="J520" t="str">
        <f t="shared" si="8"/>
        <v>Nov-2024</v>
      </c>
    </row>
    <row r="521" spans="1:10">
      <c r="A521">
        <v>520</v>
      </c>
      <c r="B521">
        <v>18729</v>
      </c>
      <c r="C521" t="s">
        <v>18</v>
      </c>
      <c r="D521">
        <v>195550.67</v>
      </c>
      <c r="E521" t="s">
        <v>19</v>
      </c>
      <c r="F521">
        <v>17</v>
      </c>
      <c r="G521" t="s">
        <v>25</v>
      </c>
      <c r="H521" s="1">
        <v>45544</v>
      </c>
      <c r="I521" s="1">
        <v>45561</v>
      </c>
      <c r="J521" t="str">
        <f t="shared" si="8"/>
        <v>Sep-2024</v>
      </c>
    </row>
    <row r="522" spans="1:10">
      <c r="A522">
        <v>521</v>
      </c>
      <c r="B522">
        <v>12944</v>
      </c>
      <c r="C522" t="s">
        <v>23</v>
      </c>
      <c r="D522">
        <v>118513.67</v>
      </c>
      <c r="E522" t="s">
        <v>16</v>
      </c>
      <c r="F522">
        <v>40</v>
      </c>
      <c r="G522" t="s">
        <v>20</v>
      </c>
      <c r="H522" s="1">
        <v>45492</v>
      </c>
      <c r="I522" s="1">
        <v>45532</v>
      </c>
      <c r="J522" t="str">
        <f t="shared" si="8"/>
        <v>Jul-2024</v>
      </c>
    </row>
    <row r="523" spans="1:10">
      <c r="A523">
        <v>522</v>
      </c>
      <c r="B523">
        <v>15632</v>
      </c>
      <c r="C523" t="s">
        <v>23</v>
      </c>
      <c r="D523">
        <v>174040.35</v>
      </c>
      <c r="E523" t="s">
        <v>19</v>
      </c>
      <c r="F523">
        <v>26</v>
      </c>
      <c r="G523" t="s">
        <v>17</v>
      </c>
      <c r="H523" s="1">
        <v>45311</v>
      </c>
      <c r="I523" s="1">
        <v>45337</v>
      </c>
      <c r="J523" t="str">
        <f t="shared" si="8"/>
        <v>Jan-2024</v>
      </c>
    </row>
    <row r="524" spans="1:10">
      <c r="A524">
        <v>523</v>
      </c>
      <c r="B524">
        <v>15384</v>
      </c>
      <c r="C524" t="s">
        <v>18</v>
      </c>
      <c r="D524">
        <v>190892.02</v>
      </c>
      <c r="E524" t="s">
        <v>19</v>
      </c>
      <c r="F524">
        <v>14</v>
      </c>
      <c r="G524" t="s">
        <v>25</v>
      </c>
      <c r="H524" s="1">
        <v>45520</v>
      </c>
      <c r="I524" s="1">
        <v>45534</v>
      </c>
      <c r="J524" t="str">
        <f t="shared" si="8"/>
        <v>Aug-2024</v>
      </c>
    </row>
    <row r="525" spans="1:10">
      <c r="A525">
        <v>524</v>
      </c>
      <c r="B525">
        <v>11366</v>
      </c>
      <c r="C525" t="s">
        <v>23</v>
      </c>
      <c r="D525">
        <v>136694.15</v>
      </c>
      <c r="E525" t="s">
        <v>16</v>
      </c>
      <c r="F525">
        <v>6</v>
      </c>
      <c r="G525" t="s">
        <v>17</v>
      </c>
      <c r="H525" s="1">
        <v>45454</v>
      </c>
      <c r="I525" s="1">
        <v>45460</v>
      </c>
      <c r="J525" t="str">
        <f t="shared" si="8"/>
        <v>Jun-2024</v>
      </c>
    </row>
    <row r="526" spans="1:10">
      <c r="A526">
        <v>525</v>
      </c>
      <c r="B526">
        <v>11061</v>
      </c>
      <c r="C526" t="s">
        <v>23</v>
      </c>
      <c r="D526">
        <v>112043.04</v>
      </c>
      <c r="E526" t="s">
        <v>16</v>
      </c>
      <c r="F526">
        <v>31</v>
      </c>
      <c r="G526" t="s">
        <v>25</v>
      </c>
      <c r="H526" s="1">
        <v>45456</v>
      </c>
      <c r="I526" s="1">
        <v>45487</v>
      </c>
      <c r="J526" t="str">
        <f t="shared" si="8"/>
        <v>Jun-2024</v>
      </c>
    </row>
    <row r="527" spans="1:10">
      <c r="A527">
        <v>526</v>
      </c>
      <c r="B527">
        <v>12307</v>
      </c>
      <c r="C527" t="s">
        <v>23</v>
      </c>
      <c r="D527">
        <v>5684.62</v>
      </c>
      <c r="E527" t="s">
        <v>16</v>
      </c>
      <c r="F527">
        <v>2</v>
      </c>
      <c r="G527" t="s">
        <v>17</v>
      </c>
      <c r="H527" s="1">
        <v>45523</v>
      </c>
      <c r="I527" s="1">
        <v>45525</v>
      </c>
      <c r="J527" t="str">
        <f t="shared" si="8"/>
        <v>Aug-2024</v>
      </c>
    </row>
    <row r="528" spans="1:10">
      <c r="A528">
        <v>527</v>
      </c>
      <c r="B528">
        <v>10307</v>
      </c>
      <c r="C528" t="s">
        <v>22</v>
      </c>
      <c r="D528">
        <v>12803.83</v>
      </c>
      <c r="E528" t="s">
        <v>19</v>
      </c>
      <c r="F528">
        <v>6</v>
      </c>
      <c r="G528" t="s">
        <v>17</v>
      </c>
      <c r="H528" s="1">
        <v>45619</v>
      </c>
      <c r="I528" s="1">
        <v>45625</v>
      </c>
      <c r="J528" t="str">
        <f t="shared" si="8"/>
        <v>Nov-2024</v>
      </c>
    </row>
    <row r="529" spans="1:10">
      <c r="A529">
        <v>528</v>
      </c>
      <c r="B529">
        <v>19188</v>
      </c>
      <c r="C529" t="s">
        <v>18</v>
      </c>
      <c r="D529">
        <v>44165.99</v>
      </c>
      <c r="E529" t="s">
        <v>16</v>
      </c>
      <c r="F529">
        <v>15</v>
      </c>
      <c r="G529" t="s">
        <v>25</v>
      </c>
      <c r="H529" s="1">
        <v>45529</v>
      </c>
      <c r="I529" s="1">
        <v>45544</v>
      </c>
      <c r="J529" t="str">
        <f t="shared" si="8"/>
        <v>Aug-2024</v>
      </c>
    </row>
    <row r="530" spans="1:10">
      <c r="A530">
        <v>529</v>
      </c>
      <c r="B530">
        <v>19476</v>
      </c>
      <c r="C530" t="s">
        <v>18</v>
      </c>
      <c r="D530">
        <v>41271.64</v>
      </c>
      <c r="E530" t="s">
        <v>16</v>
      </c>
      <c r="F530">
        <v>12</v>
      </c>
      <c r="G530" t="s">
        <v>25</v>
      </c>
      <c r="H530" s="1">
        <v>45411</v>
      </c>
      <c r="I530" s="1">
        <v>45423</v>
      </c>
      <c r="J530" t="str">
        <f t="shared" si="8"/>
        <v>Apr-2024</v>
      </c>
    </row>
    <row r="531" spans="1:10">
      <c r="A531">
        <v>530</v>
      </c>
      <c r="B531">
        <v>19321</v>
      </c>
      <c r="C531" t="s">
        <v>18</v>
      </c>
      <c r="D531">
        <v>54677.97</v>
      </c>
      <c r="E531" t="s">
        <v>19</v>
      </c>
      <c r="F531">
        <v>35</v>
      </c>
      <c r="G531" t="s">
        <v>25</v>
      </c>
      <c r="H531" s="1">
        <v>45642</v>
      </c>
      <c r="I531" s="1">
        <v>45677</v>
      </c>
      <c r="J531" t="str">
        <f t="shared" si="8"/>
        <v>Dec-2024</v>
      </c>
    </row>
    <row r="532" spans="1:10">
      <c r="A532">
        <v>531</v>
      </c>
      <c r="B532">
        <v>10303</v>
      </c>
      <c r="C532" t="s">
        <v>23</v>
      </c>
      <c r="D532">
        <v>64462.25</v>
      </c>
      <c r="E532" t="s">
        <v>16</v>
      </c>
      <c r="F532">
        <v>30</v>
      </c>
      <c r="G532" t="s">
        <v>21</v>
      </c>
      <c r="H532" s="1">
        <v>45398</v>
      </c>
      <c r="I532" s="1">
        <v>45428</v>
      </c>
      <c r="J532" t="str">
        <f t="shared" si="8"/>
        <v>Apr-2024</v>
      </c>
    </row>
    <row r="533" spans="1:10">
      <c r="A533">
        <v>532</v>
      </c>
      <c r="B533">
        <v>16486</v>
      </c>
      <c r="C533" t="s">
        <v>23</v>
      </c>
      <c r="D533">
        <v>75212.77</v>
      </c>
      <c r="E533" t="s">
        <v>16</v>
      </c>
      <c r="F533">
        <v>19</v>
      </c>
      <c r="G533" t="s">
        <v>20</v>
      </c>
      <c r="H533" s="1">
        <v>45541</v>
      </c>
      <c r="I533" s="1">
        <v>45560</v>
      </c>
      <c r="J533" t="str">
        <f t="shared" si="8"/>
        <v>Sep-2024</v>
      </c>
    </row>
    <row r="534" spans="1:10">
      <c r="A534">
        <v>533</v>
      </c>
      <c r="B534">
        <v>15566</v>
      </c>
      <c r="C534" t="s">
        <v>18</v>
      </c>
      <c r="D534">
        <v>87004.85</v>
      </c>
      <c r="E534" t="s">
        <v>16</v>
      </c>
      <c r="F534">
        <v>16</v>
      </c>
      <c r="G534" t="s">
        <v>21</v>
      </c>
      <c r="H534" s="1">
        <v>45627</v>
      </c>
      <c r="I534" s="1">
        <v>45643</v>
      </c>
      <c r="J534" t="str">
        <f t="shared" si="8"/>
        <v>Dec-2024</v>
      </c>
    </row>
    <row r="535" spans="1:10">
      <c r="A535">
        <v>534</v>
      </c>
      <c r="B535">
        <v>15157</v>
      </c>
      <c r="C535" t="s">
        <v>23</v>
      </c>
      <c r="D535">
        <v>24278.94</v>
      </c>
      <c r="E535" t="s">
        <v>16</v>
      </c>
      <c r="F535">
        <v>26</v>
      </c>
      <c r="G535" t="s">
        <v>21</v>
      </c>
      <c r="H535" s="1">
        <v>45575</v>
      </c>
      <c r="I535" s="1">
        <v>45601</v>
      </c>
      <c r="J535" t="str">
        <f t="shared" si="8"/>
        <v>Oct-2024</v>
      </c>
    </row>
    <row r="536" spans="1:10">
      <c r="A536">
        <v>535</v>
      </c>
      <c r="B536">
        <v>13891</v>
      </c>
      <c r="C536" t="s">
        <v>23</v>
      </c>
      <c r="D536">
        <v>13260.58</v>
      </c>
      <c r="E536" t="s">
        <v>19</v>
      </c>
      <c r="F536">
        <v>31</v>
      </c>
      <c r="G536" t="s">
        <v>17</v>
      </c>
      <c r="H536" s="1">
        <v>45489</v>
      </c>
      <c r="I536" s="1">
        <v>45520</v>
      </c>
      <c r="J536" t="str">
        <f t="shared" si="8"/>
        <v>Jul-2024</v>
      </c>
    </row>
    <row r="537" spans="1:10">
      <c r="A537">
        <v>536</v>
      </c>
      <c r="B537">
        <v>19046</v>
      </c>
      <c r="C537" t="s">
        <v>23</v>
      </c>
      <c r="D537">
        <v>136419.17000000001</v>
      </c>
      <c r="E537" t="s">
        <v>16</v>
      </c>
      <c r="F537">
        <v>3</v>
      </c>
      <c r="G537" t="s">
        <v>25</v>
      </c>
      <c r="H537" s="1">
        <v>45511</v>
      </c>
      <c r="I537" s="1">
        <v>45514</v>
      </c>
      <c r="J537" t="str">
        <f t="shared" si="8"/>
        <v>Aug-2024</v>
      </c>
    </row>
    <row r="538" spans="1:10">
      <c r="A538">
        <v>537</v>
      </c>
      <c r="B538">
        <v>19937</v>
      </c>
      <c r="C538" t="s">
        <v>23</v>
      </c>
      <c r="D538">
        <v>109780.29</v>
      </c>
      <c r="E538" t="s">
        <v>16</v>
      </c>
      <c r="F538">
        <v>41</v>
      </c>
      <c r="G538" t="s">
        <v>20</v>
      </c>
      <c r="H538" s="1">
        <v>45442</v>
      </c>
      <c r="I538" s="1">
        <v>45483</v>
      </c>
      <c r="J538" t="str">
        <f t="shared" si="8"/>
        <v>May-2024</v>
      </c>
    </row>
    <row r="539" spans="1:10">
      <c r="A539">
        <v>538</v>
      </c>
      <c r="B539">
        <v>15724</v>
      </c>
      <c r="C539" t="s">
        <v>22</v>
      </c>
      <c r="D539">
        <v>91608.12</v>
      </c>
      <c r="E539" t="s">
        <v>19</v>
      </c>
      <c r="F539">
        <v>28</v>
      </c>
      <c r="G539" t="s">
        <v>17</v>
      </c>
      <c r="H539" s="1">
        <v>45577</v>
      </c>
      <c r="I539" s="1">
        <v>45605</v>
      </c>
      <c r="J539" t="str">
        <f t="shared" si="8"/>
        <v>Oct-2024</v>
      </c>
    </row>
    <row r="540" spans="1:10">
      <c r="A540">
        <v>539</v>
      </c>
      <c r="B540">
        <v>16280</v>
      </c>
      <c r="C540" t="s">
        <v>23</v>
      </c>
      <c r="D540">
        <v>128715.79</v>
      </c>
      <c r="E540" t="s">
        <v>16</v>
      </c>
      <c r="F540">
        <v>16</v>
      </c>
      <c r="G540" t="s">
        <v>21</v>
      </c>
      <c r="H540" s="1">
        <v>45556</v>
      </c>
      <c r="I540" s="1">
        <v>45572</v>
      </c>
      <c r="J540" t="str">
        <f t="shared" si="8"/>
        <v>Sep-2024</v>
      </c>
    </row>
    <row r="541" spans="1:10">
      <c r="A541">
        <v>540</v>
      </c>
      <c r="B541">
        <v>15350</v>
      </c>
      <c r="C541" t="s">
        <v>18</v>
      </c>
      <c r="D541">
        <v>166397.48000000001</v>
      </c>
      <c r="E541" t="s">
        <v>24</v>
      </c>
      <c r="G541" t="s">
        <v>25</v>
      </c>
      <c r="H541" s="1">
        <v>45511</v>
      </c>
      <c r="J541" t="str">
        <f t="shared" si="8"/>
        <v>Aug-2024</v>
      </c>
    </row>
    <row r="542" spans="1:10">
      <c r="A542">
        <v>541</v>
      </c>
      <c r="B542">
        <v>19009</v>
      </c>
      <c r="C542" t="s">
        <v>23</v>
      </c>
      <c r="D542">
        <v>88400.12</v>
      </c>
      <c r="E542" t="s">
        <v>24</v>
      </c>
      <c r="G542" t="s">
        <v>17</v>
      </c>
      <c r="H542" s="1">
        <v>45507</v>
      </c>
      <c r="J542" t="str">
        <f t="shared" si="8"/>
        <v>Aug-2024</v>
      </c>
    </row>
    <row r="543" spans="1:10">
      <c r="A543">
        <v>542</v>
      </c>
      <c r="B543">
        <v>19164</v>
      </c>
      <c r="C543" t="s">
        <v>22</v>
      </c>
      <c r="D543">
        <v>130018.3</v>
      </c>
      <c r="E543" t="s">
        <v>16</v>
      </c>
      <c r="F543">
        <v>15</v>
      </c>
      <c r="G543" t="s">
        <v>25</v>
      </c>
      <c r="H543" s="1">
        <v>45606</v>
      </c>
      <c r="I543" s="1">
        <v>45621</v>
      </c>
      <c r="J543" t="str">
        <f t="shared" si="8"/>
        <v>Nov-2024</v>
      </c>
    </row>
    <row r="544" spans="1:10">
      <c r="A544">
        <v>543</v>
      </c>
      <c r="B544">
        <v>14133</v>
      </c>
      <c r="C544" t="s">
        <v>23</v>
      </c>
      <c r="D544">
        <v>190946.58</v>
      </c>
      <c r="E544" t="s">
        <v>16</v>
      </c>
      <c r="F544">
        <v>28</v>
      </c>
      <c r="G544" t="s">
        <v>17</v>
      </c>
      <c r="H544" s="1">
        <v>45447</v>
      </c>
      <c r="I544" s="1">
        <v>45475</v>
      </c>
      <c r="J544" t="str">
        <f t="shared" si="8"/>
        <v>Jun-2024</v>
      </c>
    </row>
    <row r="545" spans="1:10">
      <c r="A545">
        <v>544</v>
      </c>
      <c r="B545">
        <v>19370</v>
      </c>
      <c r="C545" t="s">
        <v>23</v>
      </c>
      <c r="D545">
        <v>168726.78</v>
      </c>
      <c r="E545" t="s">
        <v>19</v>
      </c>
      <c r="F545">
        <v>4</v>
      </c>
      <c r="G545" t="s">
        <v>25</v>
      </c>
      <c r="H545" s="1">
        <v>45507</v>
      </c>
      <c r="I545" s="1">
        <v>45511</v>
      </c>
      <c r="J545" t="str">
        <f t="shared" si="8"/>
        <v>Aug-2024</v>
      </c>
    </row>
    <row r="546" spans="1:10">
      <c r="A546">
        <v>545</v>
      </c>
      <c r="B546">
        <v>10104</v>
      </c>
      <c r="C546" t="s">
        <v>18</v>
      </c>
      <c r="D546">
        <v>88070.16</v>
      </c>
      <c r="E546" t="s">
        <v>16</v>
      </c>
      <c r="F546">
        <v>4</v>
      </c>
      <c r="G546" t="s">
        <v>21</v>
      </c>
      <c r="H546" s="1">
        <v>45626</v>
      </c>
      <c r="I546" s="1">
        <v>45630</v>
      </c>
      <c r="J546" t="str">
        <f t="shared" si="8"/>
        <v>Nov-2024</v>
      </c>
    </row>
    <row r="547" spans="1:10">
      <c r="A547">
        <v>546</v>
      </c>
      <c r="B547">
        <v>18446</v>
      </c>
      <c r="C547" t="s">
        <v>18</v>
      </c>
      <c r="D547">
        <v>130719.78</v>
      </c>
      <c r="E547" t="s">
        <v>16</v>
      </c>
      <c r="F547">
        <v>14</v>
      </c>
      <c r="G547" t="s">
        <v>20</v>
      </c>
      <c r="H547" s="1">
        <v>45650</v>
      </c>
      <c r="I547" s="1">
        <v>45664</v>
      </c>
      <c r="J547" t="str">
        <f t="shared" si="8"/>
        <v>Dec-2024</v>
      </c>
    </row>
    <row r="548" spans="1:10">
      <c r="A548">
        <v>547</v>
      </c>
      <c r="B548">
        <v>17571</v>
      </c>
      <c r="C548" t="s">
        <v>23</v>
      </c>
      <c r="D548">
        <v>39528.83</v>
      </c>
      <c r="E548" t="s">
        <v>19</v>
      </c>
      <c r="F548">
        <v>26</v>
      </c>
      <c r="G548" t="s">
        <v>21</v>
      </c>
      <c r="H548" s="1">
        <v>45405</v>
      </c>
      <c r="I548" s="1">
        <v>45431</v>
      </c>
      <c r="J548" t="str">
        <f t="shared" si="8"/>
        <v>Apr-2024</v>
      </c>
    </row>
    <row r="549" spans="1:10">
      <c r="A549">
        <v>548</v>
      </c>
      <c r="B549">
        <v>16601</v>
      </c>
      <c r="C549" t="s">
        <v>23</v>
      </c>
      <c r="D549">
        <v>114301.83</v>
      </c>
      <c r="E549" t="s">
        <v>16</v>
      </c>
      <c r="F549">
        <v>19</v>
      </c>
      <c r="G549" t="s">
        <v>20</v>
      </c>
      <c r="H549" s="1">
        <v>45452</v>
      </c>
      <c r="I549" s="1">
        <v>45471</v>
      </c>
      <c r="J549" t="str">
        <f t="shared" si="8"/>
        <v>Jun-2024</v>
      </c>
    </row>
    <row r="550" spans="1:10">
      <c r="A550">
        <v>549</v>
      </c>
      <c r="B550">
        <v>16671</v>
      </c>
      <c r="C550" t="s">
        <v>23</v>
      </c>
      <c r="D550">
        <v>196359.02</v>
      </c>
      <c r="E550" t="s">
        <v>19</v>
      </c>
      <c r="F550">
        <v>2</v>
      </c>
      <c r="G550" t="s">
        <v>25</v>
      </c>
      <c r="H550" s="1">
        <v>45594</v>
      </c>
      <c r="I550" s="1">
        <v>45596</v>
      </c>
      <c r="J550" t="str">
        <f t="shared" si="8"/>
        <v>Oct-2024</v>
      </c>
    </row>
    <row r="551" spans="1:10">
      <c r="A551">
        <v>550</v>
      </c>
      <c r="B551">
        <v>18782</v>
      </c>
      <c r="C551" t="s">
        <v>23</v>
      </c>
      <c r="D551">
        <v>106071.45</v>
      </c>
      <c r="E551" t="s">
        <v>16</v>
      </c>
      <c r="F551">
        <v>40</v>
      </c>
      <c r="G551" t="s">
        <v>17</v>
      </c>
      <c r="H551" s="1">
        <v>45389</v>
      </c>
      <c r="I551" s="1">
        <v>45429</v>
      </c>
      <c r="J551" t="str">
        <f t="shared" si="8"/>
        <v>Apr-2024</v>
      </c>
    </row>
    <row r="552" spans="1:10">
      <c r="A552">
        <v>551</v>
      </c>
      <c r="B552">
        <v>18716</v>
      </c>
      <c r="C552" t="s">
        <v>23</v>
      </c>
      <c r="D552">
        <v>185889.47</v>
      </c>
      <c r="E552" t="s">
        <v>16</v>
      </c>
      <c r="F552">
        <v>6</v>
      </c>
      <c r="G552" t="s">
        <v>21</v>
      </c>
      <c r="H552" s="1">
        <v>45448</v>
      </c>
      <c r="I552" s="1">
        <v>45454</v>
      </c>
      <c r="J552" t="str">
        <f t="shared" si="8"/>
        <v>Jun-2024</v>
      </c>
    </row>
    <row r="553" spans="1:10">
      <c r="A553">
        <v>552</v>
      </c>
      <c r="B553">
        <v>18561</v>
      </c>
      <c r="C553" t="s">
        <v>23</v>
      </c>
      <c r="D553">
        <v>84430.31</v>
      </c>
      <c r="E553" t="s">
        <v>16</v>
      </c>
      <c r="F553">
        <v>3</v>
      </c>
      <c r="G553" t="s">
        <v>20</v>
      </c>
      <c r="H553" s="1">
        <v>45453</v>
      </c>
      <c r="I553" s="1">
        <v>45456</v>
      </c>
      <c r="J553" t="str">
        <f t="shared" si="8"/>
        <v>Jun-2024</v>
      </c>
    </row>
    <row r="554" spans="1:10">
      <c r="A554">
        <v>553</v>
      </c>
      <c r="B554">
        <v>12963</v>
      </c>
      <c r="C554" t="s">
        <v>23</v>
      </c>
      <c r="D554">
        <v>199774.74</v>
      </c>
      <c r="E554" t="s">
        <v>24</v>
      </c>
      <c r="G554" t="s">
        <v>21</v>
      </c>
      <c r="H554" s="1">
        <v>45333</v>
      </c>
      <c r="J554" t="str">
        <f t="shared" si="8"/>
        <v>Feb-2024</v>
      </c>
    </row>
    <row r="555" spans="1:10">
      <c r="A555">
        <v>554</v>
      </c>
      <c r="B555">
        <v>18855</v>
      </c>
      <c r="C555" t="s">
        <v>23</v>
      </c>
      <c r="D555">
        <v>117947.91</v>
      </c>
      <c r="E555" t="s">
        <v>16</v>
      </c>
      <c r="F555">
        <v>18</v>
      </c>
      <c r="G555" t="s">
        <v>20</v>
      </c>
      <c r="H555" s="1">
        <v>45471</v>
      </c>
      <c r="I555" s="1">
        <v>45489</v>
      </c>
      <c r="J555" t="str">
        <f t="shared" si="8"/>
        <v>Jun-2024</v>
      </c>
    </row>
    <row r="556" spans="1:10">
      <c r="A556">
        <v>555</v>
      </c>
      <c r="B556">
        <v>10689</v>
      </c>
      <c r="C556" t="s">
        <v>18</v>
      </c>
      <c r="D556">
        <v>13242.45</v>
      </c>
      <c r="E556" t="s">
        <v>19</v>
      </c>
      <c r="F556">
        <v>30</v>
      </c>
      <c r="G556" t="s">
        <v>21</v>
      </c>
      <c r="H556" s="1">
        <v>45594</v>
      </c>
      <c r="I556" s="1">
        <v>45624</v>
      </c>
      <c r="J556" t="str">
        <f t="shared" si="8"/>
        <v>Oct-2024</v>
      </c>
    </row>
    <row r="557" spans="1:10">
      <c r="A557">
        <v>556</v>
      </c>
      <c r="B557">
        <v>16743</v>
      </c>
      <c r="C557" t="s">
        <v>22</v>
      </c>
      <c r="D557">
        <v>119417.19</v>
      </c>
      <c r="E557" t="s">
        <v>16</v>
      </c>
      <c r="F557">
        <v>43</v>
      </c>
      <c r="G557" t="s">
        <v>20</v>
      </c>
      <c r="H557" s="1">
        <v>45621</v>
      </c>
      <c r="I557" s="1">
        <v>45664</v>
      </c>
      <c r="J557" t="str">
        <f t="shared" si="8"/>
        <v>Nov-2024</v>
      </c>
    </row>
    <row r="558" spans="1:10">
      <c r="A558">
        <v>557</v>
      </c>
      <c r="B558">
        <v>12588</v>
      </c>
      <c r="C558" t="s">
        <v>18</v>
      </c>
      <c r="D558">
        <v>58541.68</v>
      </c>
      <c r="E558" t="s">
        <v>16</v>
      </c>
      <c r="F558">
        <v>5</v>
      </c>
      <c r="G558" t="s">
        <v>20</v>
      </c>
      <c r="H558" s="1">
        <v>45342</v>
      </c>
      <c r="I558" s="1">
        <v>45347</v>
      </c>
      <c r="J558" t="str">
        <f t="shared" si="8"/>
        <v>Feb-2024</v>
      </c>
    </row>
    <row r="559" spans="1:10">
      <c r="A559">
        <v>558</v>
      </c>
      <c r="B559">
        <v>11535</v>
      </c>
      <c r="C559" t="s">
        <v>23</v>
      </c>
      <c r="D559">
        <v>11333.86</v>
      </c>
      <c r="E559" t="s">
        <v>16</v>
      </c>
      <c r="F559">
        <v>10</v>
      </c>
      <c r="G559" t="s">
        <v>25</v>
      </c>
      <c r="H559" s="1">
        <v>45543</v>
      </c>
      <c r="I559" s="1">
        <v>45553</v>
      </c>
      <c r="J559" t="str">
        <f t="shared" si="8"/>
        <v>Sep-2024</v>
      </c>
    </row>
    <row r="560" spans="1:10">
      <c r="A560">
        <v>559</v>
      </c>
      <c r="B560">
        <v>12028</v>
      </c>
      <c r="C560" t="s">
        <v>23</v>
      </c>
      <c r="D560">
        <v>165066.39000000001</v>
      </c>
      <c r="E560" t="s">
        <v>16</v>
      </c>
      <c r="F560">
        <v>22</v>
      </c>
      <c r="G560" t="s">
        <v>20</v>
      </c>
      <c r="H560" s="1">
        <v>45641</v>
      </c>
      <c r="I560" s="1">
        <v>45663</v>
      </c>
      <c r="J560" t="str">
        <f t="shared" si="8"/>
        <v>Dec-2024</v>
      </c>
    </row>
    <row r="561" spans="1:10">
      <c r="A561">
        <v>560</v>
      </c>
      <c r="B561">
        <v>11856</v>
      </c>
      <c r="C561" t="s">
        <v>22</v>
      </c>
      <c r="D561">
        <v>58767.28</v>
      </c>
      <c r="E561" t="s">
        <v>16</v>
      </c>
      <c r="F561">
        <v>44</v>
      </c>
      <c r="G561" t="s">
        <v>25</v>
      </c>
      <c r="H561" s="1">
        <v>45411</v>
      </c>
      <c r="I561" s="1">
        <v>45455</v>
      </c>
      <c r="J561" t="str">
        <f t="shared" si="8"/>
        <v>Apr-2024</v>
      </c>
    </row>
    <row r="562" spans="1:10">
      <c r="A562">
        <v>561</v>
      </c>
      <c r="B562">
        <v>13186</v>
      </c>
      <c r="C562" t="s">
        <v>23</v>
      </c>
      <c r="D562">
        <v>160326.97</v>
      </c>
      <c r="E562" t="s">
        <v>16</v>
      </c>
      <c r="F562">
        <v>13</v>
      </c>
      <c r="G562" t="s">
        <v>20</v>
      </c>
      <c r="H562" s="1">
        <v>45366</v>
      </c>
      <c r="I562" s="1">
        <v>45379</v>
      </c>
      <c r="J562" t="str">
        <f t="shared" si="8"/>
        <v>Mar-2024</v>
      </c>
    </row>
    <row r="563" spans="1:10">
      <c r="A563">
        <v>562</v>
      </c>
      <c r="B563">
        <v>12769</v>
      </c>
      <c r="C563" t="s">
        <v>23</v>
      </c>
      <c r="D563">
        <v>61202.43</v>
      </c>
      <c r="E563" t="s">
        <v>16</v>
      </c>
      <c r="F563">
        <v>13</v>
      </c>
      <c r="G563" t="s">
        <v>17</v>
      </c>
      <c r="H563" s="1">
        <v>45453</v>
      </c>
      <c r="I563" s="1">
        <v>45466</v>
      </c>
      <c r="J563" t="str">
        <f t="shared" si="8"/>
        <v>Jun-2024</v>
      </c>
    </row>
    <row r="564" spans="1:10">
      <c r="A564">
        <v>563</v>
      </c>
      <c r="B564">
        <v>16085</v>
      </c>
      <c r="C564" t="s">
        <v>18</v>
      </c>
      <c r="D564">
        <v>42893.64</v>
      </c>
      <c r="E564" t="s">
        <v>24</v>
      </c>
      <c r="G564" t="s">
        <v>17</v>
      </c>
      <c r="H564" s="1">
        <v>45440</v>
      </c>
      <c r="J564" t="str">
        <f t="shared" si="8"/>
        <v>May-2024</v>
      </c>
    </row>
    <row r="565" spans="1:10">
      <c r="A565">
        <v>564</v>
      </c>
      <c r="B565">
        <v>16486</v>
      </c>
      <c r="C565" t="s">
        <v>18</v>
      </c>
      <c r="D565">
        <v>194917.44</v>
      </c>
      <c r="E565" t="s">
        <v>16</v>
      </c>
      <c r="F565">
        <v>29</v>
      </c>
      <c r="G565" t="s">
        <v>17</v>
      </c>
      <c r="H565" s="1">
        <v>45414</v>
      </c>
      <c r="I565" s="1">
        <v>45443</v>
      </c>
      <c r="J565" t="str">
        <f t="shared" si="8"/>
        <v>May-2024</v>
      </c>
    </row>
    <row r="566" spans="1:10">
      <c r="A566">
        <v>565</v>
      </c>
      <c r="B566">
        <v>17241</v>
      </c>
      <c r="C566" t="s">
        <v>18</v>
      </c>
      <c r="D566">
        <v>75520.84</v>
      </c>
      <c r="E566" t="s">
        <v>24</v>
      </c>
      <c r="G566" t="s">
        <v>20</v>
      </c>
      <c r="H566" s="1">
        <v>45432</v>
      </c>
      <c r="J566" t="str">
        <f t="shared" si="8"/>
        <v>May-2024</v>
      </c>
    </row>
    <row r="567" spans="1:10">
      <c r="A567">
        <v>566</v>
      </c>
      <c r="B567">
        <v>12987</v>
      </c>
      <c r="C567" t="s">
        <v>23</v>
      </c>
      <c r="D567">
        <v>122268.36</v>
      </c>
      <c r="E567" t="s">
        <v>16</v>
      </c>
      <c r="F567">
        <v>41</v>
      </c>
      <c r="G567" t="s">
        <v>25</v>
      </c>
      <c r="H567" s="1">
        <v>45473</v>
      </c>
      <c r="I567" s="1">
        <v>45514</v>
      </c>
      <c r="J567" t="str">
        <f t="shared" si="8"/>
        <v>Jun-2024</v>
      </c>
    </row>
    <row r="568" spans="1:10">
      <c r="A568">
        <v>567</v>
      </c>
      <c r="B568">
        <v>18135</v>
      </c>
      <c r="C568" t="s">
        <v>23</v>
      </c>
      <c r="D568">
        <v>123946.39</v>
      </c>
      <c r="E568" t="s">
        <v>16</v>
      </c>
      <c r="F568">
        <v>33</v>
      </c>
      <c r="G568" t="s">
        <v>25</v>
      </c>
      <c r="H568" s="1">
        <v>45568</v>
      </c>
      <c r="I568" s="1">
        <v>45601</v>
      </c>
      <c r="J568" t="str">
        <f t="shared" si="8"/>
        <v>Oct-2024</v>
      </c>
    </row>
    <row r="569" spans="1:10">
      <c r="A569">
        <v>568</v>
      </c>
      <c r="B569">
        <v>16090</v>
      </c>
      <c r="C569" t="s">
        <v>22</v>
      </c>
      <c r="D569">
        <v>114292.33</v>
      </c>
      <c r="E569" t="s">
        <v>16</v>
      </c>
      <c r="F569">
        <v>14</v>
      </c>
      <c r="G569" t="s">
        <v>20</v>
      </c>
      <c r="H569" s="1">
        <v>45548</v>
      </c>
      <c r="I569" s="1">
        <v>45562</v>
      </c>
      <c r="J569" t="str">
        <f t="shared" si="8"/>
        <v>Sep-2024</v>
      </c>
    </row>
    <row r="570" spans="1:10">
      <c r="A570">
        <v>569</v>
      </c>
      <c r="B570">
        <v>19340</v>
      </c>
      <c r="C570" t="s">
        <v>23</v>
      </c>
      <c r="D570">
        <v>183365.67</v>
      </c>
      <c r="E570" t="s">
        <v>16</v>
      </c>
      <c r="F570">
        <v>35</v>
      </c>
      <c r="G570" t="s">
        <v>17</v>
      </c>
      <c r="H570" s="1">
        <v>45616</v>
      </c>
      <c r="I570" s="1">
        <v>45651</v>
      </c>
      <c r="J570" t="str">
        <f t="shared" si="8"/>
        <v>Nov-2024</v>
      </c>
    </row>
    <row r="571" spans="1:10">
      <c r="A571">
        <v>570</v>
      </c>
      <c r="B571">
        <v>10780</v>
      </c>
      <c r="C571" t="s">
        <v>18</v>
      </c>
      <c r="D571">
        <v>136516.01</v>
      </c>
      <c r="E571" t="s">
        <v>16</v>
      </c>
      <c r="F571">
        <v>20</v>
      </c>
      <c r="G571" t="s">
        <v>17</v>
      </c>
      <c r="H571" s="1">
        <v>45536</v>
      </c>
      <c r="I571" s="1">
        <v>45556</v>
      </c>
      <c r="J571" t="str">
        <f t="shared" si="8"/>
        <v>Sep-2024</v>
      </c>
    </row>
    <row r="572" spans="1:10">
      <c r="A572">
        <v>571</v>
      </c>
      <c r="B572">
        <v>14405</v>
      </c>
      <c r="C572" t="s">
        <v>18</v>
      </c>
      <c r="D572">
        <v>83727.94</v>
      </c>
      <c r="E572" t="s">
        <v>16</v>
      </c>
      <c r="F572">
        <v>15</v>
      </c>
      <c r="G572" t="s">
        <v>25</v>
      </c>
      <c r="H572" s="1">
        <v>45377</v>
      </c>
      <c r="I572" s="1">
        <v>45392</v>
      </c>
      <c r="J572" t="str">
        <f t="shared" si="8"/>
        <v>Mar-2024</v>
      </c>
    </row>
    <row r="573" spans="1:10">
      <c r="A573">
        <v>572</v>
      </c>
      <c r="B573">
        <v>12153</v>
      </c>
      <c r="C573" t="s">
        <v>18</v>
      </c>
      <c r="D573">
        <v>173164.17</v>
      </c>
      <c r="E573" t="s">
        <v>16</v>
      </c>
      <c r="F573">
        <v>6</v>
      </c>
      <c r="G573" t="s">
        <v>17</v>
      </c>
      <c r="H573" s="1">
        <v>45362</v>
      </c>
      <c r="I573" s="1">
        <v>45368</v>
      </c>
      <c r="J573" t="str">
        <f t="shared" si="8"/>
        <v>Mar-2024</v>
      </c>
    </row>
    <row r="574" spans="1:10">
      <c r="A574">
        <v>573</v>
      </c>
      <c r="B574">
        <v>18747</v>
      </c>
      <c r="C574" t="s">
        <v>23</v>
      </c>
      <c r="D574">
        <v>40307.269999999997</v>
      </c>
      <c r="E574" t="s">
        <v>19</v>
      </c>
      <c r="F574">
        <v>28</v>
      </c>
      <c r="G574" t="s">
        <v>21</v>
      </c>
      <c r="H574" s="1">
        <v>45560</v>
      </c>
      <c r="I574" s="1">
        <v>45588</v>
      </c>
      <c r="J574" t="str">
        <f t="shared" si="8"/>
        <v>Sep-2024</v>
      </c>
    </row>
    <row r="575" spans="1:10">
      <c r="A575">
        <v>574</v>
      </c>
      <c r="B575">
        <v>13296</v>
      </c>
      <c r="C575" t="s">
        <v>23</v>
      </c>
      <c r="D575">
        <v>111126.17</v>
      </c>
      <c r="E575" t="s">
        <v>16</v>
      </c>
      <c r="F575">
        <v>29</v>
      </c>
      <c r="G575" t="s">
        <v>25</v>
      </c>
      <c r="H575" s="1">
        <v>45471</v>
      </c>
      <c r="I575" s="1">
        <v>45500</v>
      </c>
      <c r="J575" t="str">
        <f t="shared" si="8"/>
        <v>Jun-2024</v>
      </c>
    </row>
    <row r="576" spans="1:10">
      <c r="A576">
        <v>575</v>
      </c>
      <c r="B576">
        <v>13313</v>
      </c>
      <c r="C576" t="s">
        <v>18</v>
      </c>
      <c r="D576">
        <v>190357.32</v>
      </c>
      <c r="E576" t="s">
        <v>19</v>
      </c>
      <c r="F576">
        <v>27</v>
      </c>
      <c r="G576" t="s">
        <v>17</v>
      </c>
      <c r="H576" s="1">
        <v>45570</v>
      </c>
      <c r="I576" s="1">
        <v>45597</v>
      </c>
      <c r="J576" t="str">
        <f t="shared" si="8"/>
        <v>Oct-2024</v>
      </c>
    </row>
    <row r="577" spans="1:10">
      <c r="A577">
        <v>576</v>
      </c>
      <c r="B577">
        <v>14492</v>
      </c>
      <c r="C577" t="s">
        <v>15</v>
      </c>
      <c r="D577">
        <v>126952.54</v>
      </c>
      <c r="E577" t="s">
        <v>16</v>
      </c>
      <c r="F577">
        <v>11</v>
      </c>
      <c r="G577" t="s">
        <v>25</v>
      </c>
      <c r="H577" s="1">
        <v>45440</v>
      </c>
      <c r="I577" s="1">
        <v>45451</v>
      </c>
      <c r="J577" t="str">
        <f t="shared" si="8"/>
        <v>May-2024</v>
      </c>
    </row>
    <row r="578" spans="1:10">
      <c r="A578">
        <v>577</v>
      </c>
      <c r="B578">
        <v>16296</v>
      </c>
      <c r="C578" t="s">
        <v>22</v>
      </c>
      <c r="D578">
        <v>164308.85</v>
      </c>
      <c r="E578" t="s">
        <v>16</v>
      </c>
      <c r="F578">
        <v>25</v>
      </c>
      <c r="G578" t="s">
        <v>21</v>
      </c>
      <c r="H578" s="1">
        <v>45297</v>
      </c>
      <c r="I578" s="1">
        <v>45322</v>
      </c>
      <c r="J578" t="str">
        <f t="shared" si="8"/>
        <v>Jan-2024</v>
      </c>
    </row>
    <row r="579" spans="1:10">
      <c r="A579">
        <v>578</v>
      </c>
      <c r="B579">
        <v>12583</v>
      </c>
      <c r="C579" t="s">
        <v>23</v>
      </c>
      <c r="D579">
        <v>132444.34</v>
      </c>
      <c r="E579" t="s">
        <v>16</v>
      </c>
      <c r="F579">
        <v>18</v>
      </c>
      <c r="G579" t="s">
        <v>25</v>
      </c>
      <c r="H579" s="1">
        <v>45439</v>
      </c>
      <c r="I579" s="1">
        <v>45457</v>
      </c>
      <c r="J579" t="str">
        <f t="shared" ref="J579:J642" si="9">TEXT(H579,"mmm-yyyy")</f>
        <v>May-2024</v>
      </c>
    </row>
    <row r="580" spans="1:10">
      <c r="A580">
        <v>579</v>
      </c>
      <c r="B580">
        <v>13043</v>
      </c>
      <c r="C580" t="s">
        <v>23</v>
      </c>
      <c r="D580">
        <v>168677.32</v>
      </c>
      <c r="E580" t="s">
        <v>16</v>
      </c>
      <c r="F580">
        <v>17</v>
      </c>
      <c r="G580" t="s">
        <v>25</v>
      </c>
      <c r="H580" s="1">
        <v>45623</v>
      </c>
      <c r="I580" s="1">
        <v>45640</v>
      </c>
      <c r="J580" t="str">
        <f t="shared" si="9"/>
        <v>Nov-2024</v>
      </c>
    </row>
    <row r="581" spans="1:10">
      <c r="A581">
        <v>580</v>
      </c>
      <c r="B581">
        <v>17569</v>
      </c>
      <c r="C581" t="s">
        <v>22</v>
      </c>
      <c r="D581">
        <v>189175.14</v>
      </c>
      <c r="E581" t="s">
        <v>16</v>
      </c>
      <c r="F581">
        <v>18</v>
      </c>
      <c r="G581" t="s">
        <v>25</v>
      </c>
      <c r="H581" s="1">
        <v>45459</v>
      </c>
      <c r="I581" s="1">
        <v>45477</v>
      </c>
      <c r="J581" t="str">
        <f t="shared" si="9"/>
        <v>Jun-2024</v>
      </c>
    </row>
    <row r="582" spans="1:10">
      <c r="A582">
        <v>581</v>
      </c>
      <c r="B582">
        <v>15979</v>
      </c>
      <c r="C582" t="s">
        <v>18</v>
      </c>
      <c r="D582">
        <v>58219.74</v>
      </c>
      <c r="E582" t="s">
        <v>16</v>
      </c>
      <c r="F582">
        <v>2</v>
      </c>
      <c r="G582" t="s">
        <v>25</v>
      </c>
      <c r="H582" s="1">
        <v>45300</v>
      </c>
      <c r="I582" s="1">
        <v>45302</v>
      </c>
      <c r="J582" t="str">
        <f t="shared" si="9"/>
        <v>Jan-2024</v>
      </c>
    </row>
    <row r="583" spans="1:10">
      <c r="A583">
        <v>582</v>
      </c>
      <c r="B583">
        <v>11169</v>
      </c>
      <c r="C583" t="s">
        <v>15</v>
      </c>
      <c r="D583">
        <v>38083.910000000003</v>
      </c>
      <c r="E583" t="s">
        <v>16</v>
      </c>
      <c r="F583">
        <v>22</v>
      </c>
      <c r="G583" t="s">
        <v>21</v>
      </c>
      <c r="H583" s="1">
        <v>45469</v>
      </c>
      <c r="I583" s="1">
        <v>45491</v>
      </c>
      <c r="J583" t="str">
        <f t="shared" si="9"/>
        <v>Jun-2024</v>
      </c>
    </row>
    <row r="584" spans="1:10">
      <c r="A584">
        <v>583</v>
      </c>
      <c r="B584">
        <v>13262</v>
      </c>
      <c r="C584" t="s">
        <v>23</v>
      </c>
      <c r="D584">
        <v>99378.2</v>
      </c>
      <c r="E584" t="s">
        <v>16</v>
      </c>
      <c r="F584">
        <v>44</v>
      </c>
      <c r="G584" t="s">
        <v>20</v>
      </c>
      <c r="H584" s="1">
        <v>45575</v>
      </c>
      <c r="I584" s="1">
        <v>45619</v>
      </c>
      <c r="J584" t="str">
        <f t="shared" si="9"/>
        <v>Oct-2024</v>
      </c>
    </row>
    <row r="585" spans="1:10">
      <c r="A585">
        <v>584</v>
      </c>
      <c r="B585">
        <v>17036</v>
      </c>
      <c r="C585" t="s">
        <v>18</v>
      </c>
      <c r="D585">
        <v>141863.17000000001</v>
      </c>
      <c r="E585" t="s">
        <v>16</v>
      </c>
      <c r="F585">
        <v>23</v>
      </c>
      <c r="G585" t="s">
        <v>25</v>
      </c>
      <c r="H585" s="1">
        <v>45407</v>
      </c>
      <c r="I585" s="1">
        <v>45430</v>
      </c>
      <c r="J585" t="str">
        <f t="shared" si="9"/>
        <v>Apr-2024</v>
      </c>
    </row>
    <row r="586" spans="1:10">
      <c r="A586">
        <v>585</v>
      </c>
      <c r="B586">
        <v>16726</v>
      </c>
      <c r="C586" t="s">
        <v>18</v>
      </c>
      <c r="D586">
        <v>49302.29</v>
      </c>
      <c r="E586" t="s">
        <v>16</v>
      </c>
      <c r="F586">
        <v>6</v>
      </c>
      <c r="G586" t="s">
        <v>25</v>
      </c>
      <c r="H586" s="1">
        <v>45387</v>
      </c>
      <c r="I586" s="1">
        <v>45393</v>
      </c>
      <c r="J586" t="str">
        <f t="shared" si="9"/>
        <v>Apr-2024</v>
      </c>
    </row>
    <row r="587" spans="1:10">
      <c r="A587">
        <v>586</v>
      </c>
      <c r="B587">
        <v>14022</v>
      </c>
      <c r="C587" t="s">
        <v>18</v>
      </c>
      <c r="D587">
        <v>5799.78</v>
      </c>
      <c r="E587" t="s">
        <v>16</v>
      </c>
      <c r="F587">
        <v>37</v>
      </c>
      <c r="G587" t="s">
        <v>17</v>
      </c>
      <c r="H587" s="1">
        <v>45622</v>
      </c>
      <c r="I587" s="1">
        <v>45659</v>
      </c>
      <c r="J587" t="str">
        <f t="shared" si="9"/>
        <v>Nov-2024</v>
      </c>
    </row>
    <row r="588" spans="1:10">
      <c r="A588">
        <v>587</v>
      </c>
      <c r="B588">
        <v>18392</v>
      </c>
      <c r="C588" t="s">
        <v>23</v>
      </c>
      <c r="D588">
        <v>71872.350000000006</v>
      </c>
      <c r="E588" t="s">
        <v>24</v>
      </c>
      <c r="G588" t="s">
        <v>25</v>
      </c>
      <c r="H588" s="1">
        <v>45635</v>
      </c>
      <c r="J588" t="str">
        <f t="shared" si="9"/>
        <v>Dec-2024</v>
      </c>
    </row>
    <row r="589" spans="1:10">
      <c r="A589">
        <v>588</v>
      </c>
      <c r="B589">
        <v>11890</v>
      </c>
      <c r="C589" t="s">
        <v>23</v>
      </c>
      <c r="D589">
        <v>193927.57</v>
      </c>
      <c r="E589" t="s">
        <v>19</v>
      </c>
      <c r="F589">
        <v>10</v>
      </c>
      <c r="G589" t="s">
        <v>17</v>
      </c>
      <c r="H589" s="1">
        <v>45347</v>
      </c>
      <c r="I589" s="1">
        <v>45357</v>
      </c>
      <c r="J589" t="str">
        <f t="shared" si="9"/>
        <v>Feb-2024</v>
      </c>
    </row>
    <row r="590" spans="1:10">
      <c r="A590">
        <v>589</v>
      </c>
      <c r="B590">
        <v>18203</v>
      </c>
      <c r="C590" t="s">
        <v>18</v>
      </c>
      <c r="D590">
        <v>140518.65</v>
      </c>
      <c r="E590" t="s">
        <v>16</v>
      </c>
      <c r="F590">
        <v>28</v>
      </c>
      <c r="G590" t="s">
        <v>20</v>
      </c>
      <c r="H590" s="1">
        <v>45498</v>
      </c>
      <c r="I590" s="1">
        <v>45526</v>
      </c>
      <c r="J590" t="str">
        <f t="shared" si="9"/>
        <v>Jul-2024</v>
      </c>
    </row>
    <row r="591" spans="1:10">
      <c r="A591">
        <v>590</v>
      </c>
      <c r="B591">
        <v>15171</v>
      </c>
      <c r="C591" t="s">
        <v>23</v>
      </c>
      <c r="D591">
        <v>83258.460000000006</v>
      </c>
      <c r="E591" t="s">
        <v>19</v>
      </c>
      <c r="F591">
        <v>13</v>
      </c>
      <c r="G591" t="s">
        <v>21</v>
      </c>
      <c r="H591" s="1">
        <v>45396</v>
      </c>
      <c r="I591" s="1">
        <v>45409</v>
      </c>
      <c r="J591" t="str">
        <f t="shared" si="9"/>
        <v>Apr-2024</v>
      </c>
    </row>
    <row r="592" spans="1:10">
      <c r="A592">
        <v>591</v>
      </c>
      <c r="B592">
        <v>19517</v>
      </c>
      <c r="C592" t="s">
        <v>23</v>
      </c>
      <c r="D592">
        <v>42552.34</v>
      </c>
      <c r="E592" t="s">
        <v>19</v>
      </c>
      <c r="F592">
        <v>19</v>
      </c>
      <c r="G592" t="s">
        <v>21</v>
      </c>
      <c r="H592" s="1">
        <v>45326</v>
      </c>
      <c r="I592" s="1">
        <v>45345</v>
      </c>
      <c r="J592" t="str">
        <f t="shared" si="9"/>
        <v>Feb-2024</v>
      </c>
    </row>
    <row r="593" spans="1:10">
      <c r="A593">
        <v>592</v>
      </c>
      <c r="B593">
        <v>16664</v>
      </c>
      <c r="C593" t="s">
        <v>22</v>
      </c>
      <c r="D593">
        <v>74437.490000000005</v>
      </c>
      <c r="E593" t="s">
        <v>16</v>
      </c>
      <c r="F593">
        <v>36</v>
      </c>
      <c r="G593" t="s">
        <v>20</v>
      </c>
      <c r="H593" s="1">
        <v>45500</v>
      </c>
      <c r="I593" s="1">
        <v>45536</v>
      </c>
      <c r="J593" t="str">
        <f t="shared" si="9"/>
        <v>Jul-2024</v>
      </c>
    </row>
    <row r="594" spans="1:10">
      <c r="A594">
        <v>593</v>
      </c>
      <c r="B594">
        <v>17307</v>
      </c>
      <c r="C594" t="s">
        <v>23</v>
      </c>
      <c r="D594">
        <v>38118.69</v>
      </c>
      <c r="E594" t="s">
        <v>16</v>
      </c>
      <c r="F594">
        <v>16</v>
      </c>
      <c r="G594" t="s">
        <v>21</v>
      </c>
      <c r="H594" s="1">
        <v>45572</v>
      </c>
      <c r="I594" s="1">
        <v>45588</v>
      </c>
      <c r="J594" t="str">
        <f t="shared" si="9"/>
        <v>Oct-2024</v>
      </c>
    </row>
    <row r="595" spans="1:10">
      <c r="A595">
        <v>594</v>
      </c>
      <c r="B595">
        <v>16243</v>
      </c>
      <c r="C595" t="s">
        <v>15</v>
      </c>
      <c r="D595">
        <v>25729.64</v>
      </c>
      <c r="E595" t="s">
        <v>24</v>
      </c>
      <c r="G595" t="s">
        <v>20</v>
      </c>
      <c r="H595" s="1">
        <v>45646</v>
      </c>
      <c r="J595" t="str">
        <f t="shared" si="9"/>
        <v>Dec-2024</v>
      </c>
    </row>
    <row r="596" spans="1:10">
      <c r="A596">
        <v>595</v>
      </c>
      <c r="B596">
        <v>13556</v>
      </c>
      <c r="C596" t="s">
        <v>23</v>
      </c>
      <c r="D596">
        <v>181814.76</v>
      </c>
      <c r="E596" t="s">
        <v>16</v>
      </c>
      <c r="F596">
        <v>34</v>
      </c>
      <c r="G596" t="s">
        <v>20</v>
      </c>
      <c r="H596" s="1">
        <v>45438</v>
      </c>
      <c r="I596" s="1">
        <v>45472</v>
      </c>
      <c r="J596" t="str">
        <f t="shared" si="9"/>
        <v>May-2024</v>
      </c>
    </row>
    <row r="597" spans="1:10">
      <c r="A597">
        <v>596</v>
      </c>
      <c r="B597">
        <v>17304</v>
      </c>
      <c r="C597" t="s">
        <v>18</v>
      </c>
      <c r="D597">
        <v>199541.82</v>
      </c>
      <c r="E597" t="s">
        <v>24</v>
      </c>
      <c r="G597" t="s">
        <v>20</v>
      </c>
      <c r="H597" s="1">
        <v>45578</v>
      </c>
      <c r="J597" t="str">
        <f t="shared" si="9"/>
        <v>Oct-2024</v>
      </c>
    </row>
    <row r="598" spans="1:10">
      <c r="A598">
        <v>597</v>
      </c>
      <c r="B598">
        <v>14966</v>
      </c>
      <c r="C598" t="s">
        <v>22</v>
      </c>
      <c r="D598">
        <v>37002.32</v>
      </c>
      <c r="E598" t="s">
        <v>16</v>
      </c>
      <c r="F598">
        <v>41</v>
      </c>
      <c r="G598" t="s">
        <v>21</v>
      </c>
      <c r="H598" s="1">
        <v>45372</v>
      </c>
      <c r="I598" s="1">
        <v>45413</v>
      </c>
      <c r="J598" t="str">
        <f t="shared" si="9"/>
        <v>Mar-2024</v>
      </c>
    </row>
    <row r="599" spans="1:10">
      <c r="A599">
        <v>598</v>
      </c>
      <c r="B599">
        <v>10365</v>
      </c>
      <c r="C599" t="s">
        <v>23</v>
      </c>
      <c r="D599">
        <v>15631.9</v>
      </c>
      <c r="E599" t="s">
        <v>16</v>
      </c>
      <c r="F599">
        <v>31</v>
      </c>
      <c r="G599" t="s">
        <v>17</v>
      </c>
      <c r="H599" s="1">
        <v>45341</v>
      </c>
      <c r="I599" s="1">
        <v>45372</v>
      </c>
      <c r="J599" t="str">
        <f t="shared" si="9"/>
        <v>Feb-2024</v>
      </c>
    </row>
    <row r="600" spans="1:10">
      <c r="A600">
        <v>599</v>
      </c>
      <c r="B600">
        <v>18051</v>
      </c>
      <c r="C600" t="s">
        <v>23</v>
      </c>
      <c r="D600">
        <v>69297.570000000007</v>
      </c>
      <c r="E600" t="s">
        <v>16</v>
      </c>
      <c r="F600">
        <v>27</v>
      </c>
      <c r="G600" t="s">
        <v>20</v>
      </c>
      <c r="H600" s="1">
        <v>45378</v>
      </c>
      <c r="I600" s="1">
        <v>45405</v>
      </c>
      <c r="J600" t="str">
        <f t="shared" si="9"/>
        <v>Mar-2024</v>
      </c>
    </row>
    <row r="601" spans="1:10">
      <c r="A601">
        <v>600</v>
      </c>
      <c r="B601">
        <v>10656</v>
      </c>
      <c r="C601" t="s">
        <v>23</v>
      </c>
      <c r="D601">
        <v>95023.54</v>
      </c>
      <c r="E601" t="s">
        <v>16</v>
      </c>
      <c r="F601">
        <v>22</v>
      </c>
      <c r="G601" t="s">
        <v>25</v>
      </c>
      <c r="H601" s="1">
        <v>45482</v>
      </c>
      <c r="I601" s="1">
        <v>45504</v>
      </c>
      <c r="J601" t="str">
        <f t="shared" si="9"/>
        <v>Jul-2024</v>
      </c>
    </row>
    <row r="602" spans="1:10">
      <c r="A602">
        <v>601</v>
      </c>
      <c r="B602">
        <v>18352</v>
      </c>
      <c r="C602" t="s">
        <v>23</v>
      </c>
      <c r="D602">
        <v>44940.14</v>
      </c>
      <c r="E602" t="s">
        <v>19</v>
      </c>
      <c r="F602">
        <v>38</v>
      </c>
      <c r="G602" t="s">
        <v>21</v>
      </c>
      <c r="H602" s="1">
        <v>45594</v>
      </c>
      <c r="I602" s="1">
        <v>45632</v>
      </c>
      <c r="J602" t="str">
        <f t="shared" si="9"/>
        <v>Oct-2024</v>
      </c>
    </row>
    <row r="603" spans="1:10">
      <c r="A603">
        <v>602</v>
      </c>
      <c r="B603">
        <v>18366</v>
      </c>
      <c r="C603" t="s">
        <v>18</v>
      </c>
      <c r="D603">
        <v>63777.86</v>
      </c>
      <c r="E603" t="s">
        <v>24</v>
      </c>
      <c r="G603" t="s">
        <v>20</v>
      </c>
      <c r="H603" s="1">
        <v>45292</v>
      </c>
      <c r="J603" t="str">
        <f t="shared" si="9"/>
        <v>Jan-2024</v>
      </c>
    </row>
    <row r="604" spans="1:10">
      <c r="A604">
        <v>603</v>
      </c>
      <c r="B604">
        <v>13470</v>
      </c>
      <c r="C604" t="s">
        <v>22</v>
      </c>
      <c r="D604">
        <v>44169.79</v>
      </c>
      <c r="E604" t="s">
        <v>16</v>
      </c>
      <c r="F604">
        <v>32</v>
      </c>
      <c r="G604" t="s">
        <v>20</v>
      </c>
      <c r="H604" s="1">
        <v>45429</v>
      </c>
      <c r="I604" s="1">
        <v>45461</v>
      </c>
      <c r="J604" t="str">
        <f t="shared" si="9"/>
        <v>May-2024</v>
      </c>
    </row>
    <row r="605" spans="1:10">
      <c r="A605">
        <v>604</v>
      </c>
      <c r="B605">
        <v>14060</v>
      </c>
      <c r="C605" t="s">
        <v>23</v>
      </c>
      <c r="D605">
        <v>155980.81</v>
      </c>
      <c r="E605" t="s">
        <v>16</v>
      </c>
      <c r="F605">
        <v>18</v>
      </c>
      <c r="G605" t="s">
        <v>25</v>
      </c>
      <c r="H605" s="1">
        <v>45427</v>
      </c>
      <c r="I605" s="1">
        <v>45445</v>
      </c>
      <c r="J605" t="str">
        <f t="shared" si="9"/>
        <v>May-2024</v>
      </c>
    </row>
    <row r="606" spans="1:10">
      <c r="A606">
        <v>605</v>
      </c>
      <c r="B606">
        <v>15599</v>
      </c>
      <c r="C606" t="s">
        <v>23</v>
      </c>
      <c r="D606">
        <v>143952.70000000001</v>
      </c>
      <c r="E606" t="s">
        <v>19</v>
      </c>
      <c r="F606">
        <v>18</v>
      </c>
      <c r="G606" t="s">
        <v>17</v>
      </c>
      <c r="H606" s="1">
        <v>45653</v>
      </c>
      <c r="I606" s="1">
        <v>45671</v>
      </c>
      <c r="J606" t="str">
        <f t="shared" si="9"/>
        <v>Dec-2024</v>
      </c>
    </row>
    <row r="607" spans="1:10">
      <c r="A607">
        <v>606</v>
      </c>
      <c r="B607">
        <v>10544</v>
      </c>
      <c r="C607" t="s">
        <v>23</v>
      </c>
      <c r="D607">
        <v>128815.55</v>
      </c>
      <c r="E607" t="s">
        <v>16</v>
      </c>
      <c r="F607">
        <v>35</v>
      </c>
      <c r="G607" t="s">
        <v>17</v>
      </c>
      <c r="H607" s="1">
        <v>45445</v>
      </c>
      <c r="I607" s="1">
        <v>45480</v>
      </c>
      <c r="J607" t="str">
        <f t="shared" si="9"/>
        <v>Jun-2024</v>
      </c>
    </row>
    <row r="608" spans="1:10">
      <c r="A608">
        <v>607</v>
      </c>
      <c r="B608">
        <v>16426</v>
      </c>
      <c r="C608" t="s">
        <v>18</v>
      </c>
      <c r="D608">
        <v>80507.48</v>
      </c>
      <c r="E608" t="s">
        <v>16</v>
      </c>
      <c r="F608">
        <v>25</v>
      </c>
      <c r="G608" t="s">
        <v>17</v>
      </c>
      <c r="H608" s="1">
        <v>45453</v>
      </c>
      <c r="I608" s="1">
        <v>45478</v>
      </c>
      <c r="J608" t="str">
        <f t="shared" si="9"/>
        <v>Jun-2024</v>
      </c>
    </row>
    <row r="609" spans="1:10">
      <c r="A609">
        <v>608</v>
      </c>
      <c r="B609">
        <v>11761</v>
      </c>
      <c r="C609" t="s">
        <v>23</v>
      </c>
      <c r="D609">
        <v>182262.98</v>
      </c>
      <c r="E609" t="s">
        <v>16</v>
      </c>
      <c r="F609">
        <v>34</v>
      </c>
      <c r="G609" t="s">
        <v>20</v>
      </c>
      <c r="H609" s="1">
        <v>45310</v>
      </c>
      <c r="I609" s="1">
        <v>45344</v>
      </c>
      <c r="J609" t="str">
        <f t="shared" si="9"/>
        <v>Jan-2024</v>
      </c>
    </row>
    <row r="610" spans="1:10">
      <c r="A610">
        <v>609</v>
      </c>
      <c r="B610">
        <v>10956</v>
      </c>
      <c r="C610" t="s">
        <v>18</v>
      </c>
      <c r="D610">
        <v>194058.85</v>
      </c>
      <c r="E610" t="s">
        <v>19</v>
      </c>
      <c r="F610">
        <v>5</v>
      </c>
      <c r="G610" t="s">
        <v>20</v>
      </c>
      <c r="H610" s="1">
        <v>45619</v>
      </c>
      <c r="I610" s="1">
        <v>45624</v>
      </c>
      <c r="J610" t="str">
        <f t="shared" si="9"/>
        <v>Nov-2024</v>
      </c>
    </row>
    <row r="611" spans="1:10">
      <c r="A611">
        <v>610</v>
      </c>
      <c r="B611">
        <v>18643</v>
      </c>
      <c r="C611" t="s">
        <v>18</v>
      </c>
      <c r="D611">
        <v>38859.67</v>
      </c>
      <c r="E611" t="s">
        <v>19</v>
      </c>
      <c r="F611">
        <v>10</v>
      </c>
      <c r="G611" t="s">
        <v>20</v>
      </c>
      <c r="H611" s="1">
        <v>45534</v>
      </c>
      <c r="I611" s="1">
        <v>45544</v>
      </c>
      <c r="J611" t="str">
        <f t="shared" si="9"/>
        <v>Aug-2024</v>
      </c>
    </row>
    <row r="612" spans="1:10">
      <c r="A612">
        <v>611</v>
      </c>
      <c r="B612">
        <v>18176</v>
      </c>
      <c r="C612" t="s">
        <v>18</v>
      </c>
      <c r="D612">
        <v>48487.47</v>
      </c>
      <c r="E612" t="s">
        <v>16</v>
      </c>
      <c r="F612">
        <v>3</v>
      </c>
      <c r="G612" t="s">
        <v>21</v>
      </c>
      <c r="H612" s="1">
        <v>45420</v>
      </c>
      <c r="I612" s="1">
        <v>45423</v>
      </c>
      <c r="J612" t="str">
        <f t="shared" si="9"/>
        <v>May-2024</v>
      </c>
    </row>
    <row r="613" spans="1:10">
      <c r="A613">
        <v>612</v>
      </c>
      <c r="B613">
        <v>17791</v>
      </c>
      <c r="C613" t="s">
        <v>23</v>
      </c>
      <c r="D613">
        <v>107498.05</v>
      </c>
      <c r="E613" t="s">
        <v>16</v>
      </c>
      <c r="F613">
        <v>36</v>
      </c>
      <c r="G613" t="s">
        <v>25</v>
      </c>
      <c r="H613" s="1">
        <v>45467</v>
      </c>
      <c r="I613" s="1">
        <v>45503</v>
      </c>
      <c r="J613" t="str">
        <f t="shared" si="9"/>
        <v>Jun-2024</v>
      </c>
    </row>
    <row r="614" spans="1:10">
      <c r="A614">
        <v>613</v>
      </c>
      <c r="B614">
        <v>18273</v>
      </c>
      <c r="C614" t="s">
        <v>18</v>
      </c>
      <c r="D614">
        <v>22793.86</v>
      </c>
      <c r="E614" t="s">
        <v>24</v>
      </c>
      <c r="G614" t="s">
        <v>20</v>
      </c>
      <c r="H614" s="1">
        <v>45571</v>
      </c>
      <c r="J614" t="str">
        <f t="shared" si="9"/>
        <v>Oct-2024</v>
      </c>
    </row>
    <row r="615" spans="1:10">
      <c r="A615">
        <v>614</v>
      </c>
      <c r="B615">
        <v>11236</v>
      </c>
      <c r="C615" t="s">
        <v>23</v>
      </c>
      <c r="D615">
        <v>90107.44</v>
      </c>
      <c r="E615" t="s">
        <v>16</v>
      </c>
      <c r="F615">
        <v>16</v>
      </c>
      <c r="G615" t="s">
        <v>25</v>
      </c>
      <c r="H615" s="1">
        <v>45375</v>
      </c>
      <c r="I615" s="1">
        <v>45391</v>
      </c>
      <c r="J615" t="str">
        <f t="shared" si="9"/>
        <v>Mar-2024</v>
      </c>
    </row>
    <row r="616" spans="1:10">
      <c r="A616">
        <v>615</v>
      </c>
      <c r="B616">
        <v>14911</v>
      </c>
      <c r="C616" t="s">
        <v>23</v>
      </c>
      <c r="D616">
        <v>118449.3</v>
      </c>
      <c r="E616" t="s">
        <v>16</v>
      </c>
      <c r="F616">
        <v>44</v>
      </c>
      <c r="G616" t="s">
        <v>25</v>
      </c>
      <c r="H616" s="1">
        <v>45513</v>
      </c>
      <c r="I616" s="1">
        <v>45557</v>
      </c>
      <c r="J616" t="str">
        <f t="shared" si="9"/>
        <v>Aug-2024</v>
      </c>
    </row>
    <row r="617" spans="1:10">
      <c r="A617">
        <v>616</v>
      </c>
      <c r="B617">
        <v>16277</v>
      </c>
      <c r="C617" t="s">
        <v>15</v>
      </c>
      <c r="D617">
        <v>106804.35</v>
      </c>
      <c r="E617" t="s">
        <v>16</v>
      </c>
      <c r="F617">
        <v>43</v>
      </c>
      <c r="G617" t="s">
        <v>17</v>
      </c>
      <c r="H617" s="1">
        <v>45616</v>
      </c>
      <c r="I617" s="1">
        <v>45659</v>
      </c>
      <c r="J617" t="str">
        <f t="shared" si="9"/>
        <v>Nov-2024</v>
      </c>
    </row>
    <row r="618" spans="1:10">
      <c r="A618">
        <v>617</v>
      </c>
      <c r="B618">
        <v>10446</v>
      </c>
      <c r="C618" t="s">
        <v>18</v>
      </c>
      <c r="D618">
        <v>69527.17</v>
      </c>
      <c r="E618" t="s">
        <v>19</v>
      </c>
      <c r="F618">
        <v>4</v>
      </c>
      <c r="G618" t="s">
        <v>21</v>
      </c>
      <c r="H618" s="1">
        <v>45436</v>
      </c>
      <c r="I618" s="1">
        <v>45440</v>
      </c>
      <c r="J618" t="str">
        <f t="shared" si="9"/>
        <v>May-2024</v>
      </c>
    </row>
    <row r="619" spans="1:10">
      <c r="A619">
        <v>618</v>
      </c>
      <c r="B619">
        <v>12165</v>
      </c>
      <c r="C619" t="s">
        <v>23</v>
      </c>
      <c r="D619">
        <v>110776.93</v>
      </c>
      <c r="E619" t="s">
        <v>16</v>
      </c>
      <c r="F619">
        <v>32</v>
      </c>
      <c r="G619" t="s">
        <v>20</v>
      </c>
      <c r="H619" s="1">
        <v>45397</v>
      </c>
      <c r="I619" s="1">
        <v>45429</v>
      </c>
      <c r="J619" t="str">
        <f t="shared" si="9"/>
        <v>Apr-2024</v>
      </c>
    </row>
    <row r="620" spans="1:10">
      <c r="A620">
        <v>619</v>
      </c>
      <c r="B620">
        <v>11619</v>
      </c>
      <c r="C620" t="s">
        <v>23</v>
      </c>
      <c r="D620">
        <v>191966.19</v>
      </c>
      <c r="E620" t="s">
        <v>16</v>
      </c>
      <c r="F620">
        <v>42</v>
      </c>
      <c r="G620" t="s">
        <v>17</v>
      </c>
      <c r="H620" s="1">
        <v>45616</v>
      </c>
      <c r="I620" s="1">
        <v>45658</v>
      </c>
      <c r="J620" t="str">
        <f t="shared" si="9"/>
        <v>Nov-2024</v>
      </c>
    </row>
    <row r="621" spans="1:10">
      <c r="A621">
        <v>620</v>
      </c>
      <c r="B621">
        <v>11793</v>
      </c>
      <c r="C621" t="s">
        <v>23</v>
      </c>
      <c r="D621">
        <v>45173.39</v>
      </c>
      <c r="E621" t="s">
        <v>16</v>
      </c>
      <c r="F621">
        <v>43</v>
      </c>
      <c r="G621" t="s">
        <v>17</v>
      </c>
      <c r="H621" s="1">
        <v>45302</v>
      </c>
      <c r="I621" s="1">
        <v>45345</v>
      </c>
      <c r="J621" t="str">
        <f t="shared" si="9"/>
        <v>Jan-2024</v>
      </c>
    </row>
    <row r="622" spans="1:10">
      <c r="A622">
        <v>621</v>
      </c>
      <c r="B622">
        <v>19365</v>
      </c>
      <c r="C622" t="s">
        <v>23</v>
      </c>
      <c r="D622">
        <v>132692.10999999999</v>
      </c>
      <c r="E622" t="s">
        <v>16</v>
      </c>
      <c r="F622">
        <v>24</v>
      </c>
      <c r="G622" t="s">
        <v>20</v>
      </c>
      <c r="H622" s="1">
        <v>45457</v>
      </c>
      <c r="I622" s="1">
        <v>45481</v>
      </c>
      <c r="J622" t="str">
        <f t="shared" si="9"/>
        <v>Jun-2024</v>
      </c>
    </row>
    <row r="623" spans="1:10">
      <c r="A623">
        <v>622</v>
      </c>
      <c r="B623">
        <v>16005</v>
      </c>
      <c r="C623" t="s">
        <v>23</v>
      </c>
      <c r="D623">
        <v>13462.36</v>
      </c>
      <c r="E623" t="s">
        <v>16</v>
      </c>
      <c r="F623">
        <v>13</v>
      </c>
      <c r="G623" t="s">
        <v>25</v>
      </c>
      <c r="H623" s="1">
        <v>45487</v>
      </c>
      <c r="I623" s="1">
        <v>45500</v>
      </c>
      <c r="J623" t="str">
        <f t="shared" si="9"/>
        <v>Jul-2024</v>
      </c>
    </row>
    <row r="624" spans="1:10">
      <c r="A624">
        <v>623</v>
      </c>
      <c r="B624">
        <v>10645</v>
      </c>
      <c r="C624" t="s">
        <v>23</v>
      </c>
      <c r="D624">
        <v>17951.2</v>
      </c>
      <c r="E624" t="s">
        <v>16</v>
      </c>
      <c r="F624">
        <v>9</v>
      </c>
      <c r="G624" t="s">
        <v>17</v>
      </c>
      <c r="H624" s="1">
        <v>45522</v>
      </c>
      <c r="I624" s="1">
        <v>45531</v>
      </c>
      <c r="J624" t="str">
        <f t="shared" si="9"/>
        <v>Aug-2024</v>
      </c>
    </row>
    <row r="625" spans="1:10">
      <c r="A625">
        <v>624</v>
      </c>
      <c r="B625">
        <v>10378</v>
      </c>
      <c r="C625" t="s">
        <v>23</v>
      </c>
      <c r="D625">
        <v>112606.5</v>
      </c>
      <c r="E625" t="s">
        <v>16</v>
      </c>
      <c r="F625">
        <v>22</v>
      </c>
      <c r="G625" t="s">
        <v>25</v>
      </c>
      <c r="H625" s="1">
        <v>45438</v>
      </c>
      <c r="I625" s="1">
        <v>45460</v>
      </c>
      <c r="J625" t="str">
        <f t="shared" si="9"/>
        <v>May-2024</v>
      </c>
    </row>
    <row r="626" spans="1:10">
      <c r="A626">
        <v>625</v>
      </c>
      <c r="B626">
        <v>12655</v>
      </c>
      <c r="C626" t="s">
        <v>18</v>
      </c>
      <c r="D626">
        <v>25463.14</v>
      </c>
      <c r="E626" t="s">
        <v>16</v>
      </c>
      <c r="F626">
        <v>22</v>
      </c>
      <c r="G626" t="s">
        <v>21</v>
      </c>
      <c r="H626" s="1">
        <v>45650</v>
      </c>
      <c r="I626" s="1">
        <v>45672</v>
      </c>
      <c r="J626" t="str">
        <f t="shared" si="9"/>
        <v>Dec-2024</v>
      </c>
    </row>
    <row r="627" spans="1:10">
      <c r="A627">
        <v>626</v>
      </c>
      <c r="B627">
        <v>17109</v>
      </c>
      <c r="C627" t="s">
        <v>18</v>
      </c>
      <c r="D627">
        <v>9357.6200000000008</v>
      </c>
      <c r="E627" t="s">
        <v>16</v>
      </c>
      <c r="F627">
        <v>33</v>
      </c>
      <c r="G627" t="s">
        <v>25</v>
      </c>
      <c r="H627" s="1">
        <v>45529</v>
      </c>
      <c r="I627" s="1">
        <v>45562</v>
      </c>
      <c r="J627" t="str">
        <f t="shared" si="9"/>
        <v>Aug-2024</v>
      </c>
    </row>
    <row r="628" spans="1:10">
      <c r="A628">
        <v>627</v>
      </c>
      <c r="B628">
        <v>13584</v>
      </c>
      <c r="C628" t="s">
        <v>18</v>
      </c>
      <c r="D628">
        <v>38445.03</v>
      </c>
      <c r="E628" t="s">
        <v>16</v>
      </c>
      <c r="F628">
        <v>18</v>
      </c>
      <c r="G628" t="s">
        <v>21</v>
      </c>
      <c r="H628" s="1">
        <v>45304</v>
      </c>
      <c r="I628" s="1">
        <v>45322</v>
      </c>
      <c r="J628" t="str">
        <f t="shared" si="9"/>
        <v>Jan-2024</v>
      </c>
    </row>
    <row r="629" spans="1:10">
      <c r="A629">
        <v>628</v>
      </c>
      <c r="B629">
        <v>11140</v>
      </c>
      <c r="C629" t="s">
        <v>23</v>
      </c>
      <c r="D629">
        <v>115145.59</v>
      </c>
      <c r="E629" t="s">
        <v>24</v>
      </c>
      <c r="G629" t="s">
        <v>25</v>
      </c>
      <c r="H629" s="1">
        <v>45510</v>
      </c>
      <c r="J629" t="str">
        <f t="shared" si="9"/>
        <v>Aug-2024</v>
      </c>
    </row>
    <row r="630" spans="1:10">
      <c r="A630">
        <v>629</v>
      </c>
      <c r="B630">
        <v>13735</v>
      </c>
      <c r="C630" t="s">
        <v>22</v>
      </c>
      <c r="D630">
        <v>142151.49</v>
      </c>
      <c r="E630" t="s">
        <v>19</v>
      </c>
      <c r="F630">
        <v>25</v>
      </c>
      <c r="G630" t="s">
        <v>17</v>
      </c>
      <c r="H630" s="1">
        <v>45548</v>
      </c>
      <c r="I630" s="1">
        <v>45573</v>
      </c>
      <c r="J630" t="str">
        <f t="shared" si="9"/>
        <v>Sep-2024</v>
      </c>
    </row>
    <row r="631" spans="1:10">
      <c r="A631">
        <v>630</v>
      </c>
      <c r="B631">
        <v>10661</v>
      </c>
      <c r="C631" t="s">
        <v>15</v>
      </c>
      <c r="D631">
        <v>44483.32</v>
      </c>
      <c r="E631" t="s">
        <v>16</v>
      </c>
      <c r="F631">
        <v>9</v>
      </c>
      <c r="G631" t="s">
        <v>17</v>
      </c>
      <c r="H631" s="1">
        <v>45293</v>
      </c>
      <c r="I631" s="1">
        <v>45302</v>
      </c>
      <c r="J631" t="str">
        <f t="shared" si="9"/>
        <v>Jan-2024</v>
      </c>
    </row>
    <row r="632" spans="1:10">
      <c r="A632">
        <v>631</v>
      </c>
      <c r="B632">
        <v>15436</v>
      </c>
      <c r="C632" t="s">
        <v>15</v>
      </c>
      <c r="D632">
        <v>135310.59</v>
      </c>
      <c r="E632" t="s">
        <v>19</v>
      </c>
      <c r="F632">
        <v>19</v>
      </c>
      <c r="G632" t="s">
        <v>21</v>
      </c>
      <c r="H632" s="1">
        <v>45501</v>
      </c>
      <c r="I632" s="1">
        <v>45520</v>
      </c>
      <c r="J632" t="str">
        <f t="shared" si="9"/>
        <v>Jul-2024</v>
      </c>
    </row>
    <row r="633" spans="1:10">
      <c r="A633">
        <v>632</v>
      </c>
      <c r="B633">
        <v>18203</v>
      </c>
      <c r="C633" t="s">
        <v>15</v>
      </c>
      <c r="D633">
        <v>40582.879999999997</v>
      </c>
      <c r="E633" t="s">
        <v>16</v>
      </c>
      <c r="F633">
        <v>12</v>
      </c>
      <c r="G633" t="s">
        <v>20</v>
      </c>
      <c r="H633" s="1">
        <v>45656</v>
      </c>
      <c r="I633" s="1">
        <v>45668</v>
      </c>
      <c r="J633" t="str">
        <f t="shared" si="9"/>
        <v>Dec-2024</v>
      </c>
    </row>
    <row r="634" spans="1:10">
      <c r="A634">
        <v>633</v>
      </c>
      <c r="B634">
        <v>15209</v>
      </c>
      <c r="C634" t="s">
        <v>22</v>
      </c>
      <c r="D634">
        <v>124624.2</v>
      </c>
      <c r="E634" t="s">
        <v>24</v>
      </c>
      <c r="G634" t="s">
        <v>21</v>
      </c>
      <c r="H634" s="1">
        <v>45516</v>
      </c>
      <c r="J634" t="str">
        <f t="shared" si="9"/>
        <v>Aug-2024</v>
      </c>
    </row>
    <row r="635" spans="1:10">
      <c r="A635">
        <v>634</v>
      </c>
      <c r="B635">
        <v>10387</v>
      </c>
      <c r="C635" t="s">
        <v>18</v>
      </c>
      <c r="D635">
        <v>85332.14</v>
      </c>
      <c r="E635" t="s">
        <v>16</v>
      </c>
      <c r="F635">
        <v>27</v>
      </c>
      <c r="G635" t="s">
        <v>21</v>
      </c>
      <c r="H635" s="1">
        <v>45485</v>
      </c>
      <c r="I635" s="1">
        <v>45512</v>
      </c>
      <c r="J635" t="str">
        <f t="shared" si="9"/>
        <v>Jul-2024</v>
      </c>
    </row>
    <row r="636" spans="1:10">
      <c r="A636">
        <v>635</v>
      </c>
      <c r="B636">
        <v>13023</v>
      </c>
      <c r="C636" t="s">
        <v>23</v>
      </c>
      <c r="D636">
        <v>132490.9</v>
      </c>
      <c r="E636" t="s">
        <v>16</v>
      </c>
      <c r="F636">
        <v>7</v>
      </c>
      <c r="G636" t="s">
        <v>25</v>
      </c>
      <c r="H636" s="1">
        <v>45487</v>
      </c>
      <c r="I636" s="1">
        <v>45494</v>
      </c>
      <c r="J636" t="str">
        <f t="shared" si="9"/>
        <v>Jul-2024</v>
      </c>
    </row>
    <row r="637" spans="1:10">
      <c r="A637">
        <v>636</v>
      </c>
      <c r="B637">
        <v>14735</v>
      </c>
      <c r="C637" t="s">
        <v>18</v>
      </c>
      <c r="D637">
        <v>199035.29</v>
      </c>
      <c r="E637" t="s">
        <v>16</v>
      </c>
      <c r="F637">
        <v>18</v>
      </c>
      <c r="G637" t="s">
        <v>25</v>
      </c>
      <c r="H637" s="1">
        <v>45551</v>
      </c>
      <c r="I637" s="1">
        <v>45569</v>
      </c>
      <c r="J637" t="str">
        <f t="shared" si="9"/>
        <v>Sep-2024</v>
      </c>
    </row>
    <row r="638" spans="1:10">
      <c r="A638">
        <v>637</v>
      </c>
      <c r="B638">
        <v>18291</v>
      </c>
      <c r="C638" t="s">
        <v>18</v>
      </c>
      <c r="D638">
        <v>187874.31</v>
      </c>
      <c r="E638" t="s">
        <v>16</v>
      </c>
      <c r="F638">
        <v>24</v>
      </c>
      <c r="G638" t="s">
        <v>21</v>
      </c>
      <c r="H638" s="1">
        <v>45348</v>
      </c>
      <c r="I638" s="1">
        <v>45372</v>
      </c>
      <c r="J638" t="str">
        <f t="shared" si="9"/>
        <v>Feb-2024</v>
      </c>
    </row>
    <row r="639" spans="1:10">
      <c r="A639">
        <v>638</v>
      </c>
      <c r="B639">
        <v>16471</v>
      </c>
      <c r="C639" t="s">
        <v>18</v>
      </c>
      <c r="D639">
        <v>5834.94</v>
      </c>
      <c r="E639" t="s">
        <v>24</v>
      </c>
      <c r="G639" t="s">
        <v>17</v>
      </c>
      <c r="H639" s="1">
        <v>45404</v>
      </c>
      <c r="J639" t="str">
        <f t="shared" si="9"/>
        <v>Apr-2024</v>
      </c>
    </row>
    <row r="640" spans="1:10">
      <c r="A640">
        <v>639</v>
      </c>
      <c r="B640">
        <v>12771</v>
      </c>
      <c r="C640" t="s">
        <v>18</v>
      </c>
      <c r="D640">
        <v>177660.56</v>
      </c>
      <c r="E640" t="s">
        <v>16</v>
      </c>
      <c r="F640">
        <v>38</v>
      </c>
      <c r="G640" t="s">
        <v>25</v>
      </c>
      <c r="H640" s="1">
        <v>45504</v>
      </c>
      <c r="I640" s="1">
        <v>45542</v>
      </c>
      <c r="J640" t="str">
        <f t="shared" si="9"/>
        <v>Jul-2024</v>
      </c>
    </row>
    <row r="641" spans="1:10">
      <c r="A641">
        <v>640</v>
      </c>
      <c r="B641">
        <v>14169</v>
      </c>
      <c r="C641" t="s">
        <v>23</v>
      </c>
      <c r="D641">
        <v>17965.71</v>
      </c>
      <c r="E641" t="s">
        <v>16</v>
      </c>
      <c r="F641">
        <v>29</v>
      </c>
      <c r="G641" t="s">
        <v>20</v>
      </c>
      <c r="H641" s="1">
        <v>45570</v>
      </c>
      <c r="I641" s="1">
        <v>45599</v>
      </c>
      <c r="J641" t="str">
        <f t="shared" si="9"/>
        <v>Oct-2024</v>
      </c>
    </row>
    <row r="642" spans="1:10">
      <c r="A642">
        <v>641</v>
      </c>
      <c r="B642">
        <v>17263</v>
      </c>
      <c r="C642" t="s">
        <v>23</v>
      </c>
      <c r="D642">
        <v>190844.08</v>
      </c>
      <c r="E642" t="s">
        <v>16</v>
      </c>
      <c r="F642">
        <v>17</v>
      </c>
      <c r="G642" t="s">
        <v>25</v>
      </c>
      <c r="H642" s="1">
        <v>45535</v>
      </c>
      <c r="I642" s="1">
        <v>45552</v>
      </c>
      <c r="J642" t="str">
        <f t="shared" si="9"/>
        <v>Aug-2024</v>
      </c>
    </row>
    <row r="643" spans="1:10">
      <c r="A643">
        <v>642</v>
      </c>
      <c r="B643">
        <v>16235</v>
      </c>
      <c r="C643" t="s">
        <v>22</v>
      </c>
      <c r="D643">
        <v>59956.01</v>
      </c>
      <c r="E643" t="s">
        <v>19</v>
      </c>
      <c r="F643">
        <v>13</v>
      </c>
      <c r="G643" t="s">
        <v>25</v>
      </c>
      <c r="H643" s="1">
        <v>45408</v>
      </c>
      <c r="I643" s="1">
        <v>45421</v>
      </c>
      <c r="J643" t="str">
        <f t="shared" ref="J643:J706" si="10">TEXT(H643,"mmm-yyyy")</f>
        <v>Apr-2024</v>
      </c>
    </row>
    <row r="644" spans="1:10">
      <c r="A644">
        <v>643</v>
      </c>
      <c r="B644">
        <v>14019</v>
      </c>
      <c r="C644" t="s">
        <v>18</v>
      </c>
      <c r="D644">
        <v>79496.789999999994</v>
      </c>
      <c r="E644" t="s">
        <v>16</v>
      </c>
      <c r="F644">
        <v>22</v>
      </c>
      <c r="G644" t="s">
        <v>20</v>
      </c>
      <c r="H644" s="1">
        <v>45378</v>
      </c>
      <c r="I644" s="1">
        <v>45400</v>
      </c>
      <c r="J644" t="str">
        <f t="shared" si="10"/>
        <v>Mar-2024</v>
      </c>
    </row>
    <row r="645" spans="1:10">
      <c r="A645">
        <v>644</v>
      </c>
      <c r="B645">
        <v>14270</v>
      </c>
      <c r="C645" t="s">
        <v>18</v>
      </c>
      <c r="D645">
        <v>22869.45</v>
      </c>
      <c r="E645" t="s">
        <v>16</v>
      </c>
      <c r="F645">
        <v>25</v>
      </c>
      <c r="G645" t="s">
        <v>21</v>
      </c>
      <c r="H645" s="1">
        <v>45554</v>
      </c>
      <c r="I645" s="1">
        <v>45579</v>
      </c>
      <c r="J645" t="str">
        <f t="shared" si="10"/>
        <v>Sep-2024</v>
      </c>
    </row>
    <row r="646" spans="1:10">
      <c r="A646">
        <v>645</v>
      </c>
      <c r="B646">
        <v>15856</v>
      </c>
      <c r="C646" t="s">
        <v>23</v>
      </c>
      <c r="D646">
        <v>26893.19</v>
      </c>
      <c r="E646" t="s">
        <v>24</v>
      </c>
      <c r="G646" t="s">
        <v>20</v>
      </c>
      <c r="H646" s="1">
        <v>45591</v>
      </c>
      <c r="J646" t="str">
        <f t="shared" si="10"/>
        <v>Oct-2024</v>
      </c>
    </row>
    <row r="647" spans="1:10">
      <c r="A647">
        <v>646</v>
      </c>
      <c r="B647">
        <v>10034</v>
      </c>
      <c r="C647" t="s">
        <v>23</v>
      </c>
      <c r="D647">
        <v>146714.41</v>
      </c>
      <c r="E647" t="s">
        <v>16</v>
      </c>
      <c r="F647">
        <v>38</v>
      </c>
      <c r="G647" t="s">
        <v>21</v>
      </c>
      <c r="H647" s="1">
        <v>45404</v>
      </c>
      <c r="I647" s="1">
        <v>45442</v>
      </c>
      <c r="J647" t="str">
        <f t="shared" si="10"/>
        <v>Apr-2024</v>
      </c>
    </row>
    <row r="648" spans="1:10">
      <c r="A648">
        <v>647</v>
      </c>
      <c r="B648">
        <v>17618</v>
      </c>
      <c r="C648" t="s">
        <v>15</v>
      </c>
      <c r="D648">
        <v>189144.79</v>
      </c>
      <c r="E648" t="s">
        <v>16</v>
      </c>
      <c r="F648">
        <v>22</v>
      </c>
      <c r="G648" t="s">
        <v>21</v>
      </c>
      <c r="H648" s="1">
        <v>45455</v>
      </c>
      <c r="I648" s="1">
        <v>45477</v>
      </c>
      <c r="J648" t="str">
        <f t="shared" si="10"/>
        <v>Jun-2024</v>
      </c>
    </row>
    <row r="649" spans="1:10">
      <c r="A649">
        <v>648</v>
      </c>
      <c r="B649">
        <v>13380</v>
      </c>
      <c r="C649" t="s">
        <v>18</v>
      </c>
      <c r="D649">
        <v>124095.96</v>
      </c>
      <c r="E649" t="s">
        <v>24</v>
      </c>
      <c r="G649" t="s">
        <v>21</v>
      </c>
      <c r="H649" s="1">
        <v>45295</v>
      </c>
      <c r="J649" t="str">
        <f t="shared" si="10"/>
        <v>Jan-2024</v>
      </c>
    </row>
    <row r="650" spans="1:10">
      <c r="A650">
        <v>649</v>
      </c>
      <c r="B650">
        <v>15476</v>
      </c>
      <c r="C650" t="s">
        <v>18</v>
      </c>
      <c r="D650">
        <v>144590.75</v>
      </c>
      <c r="E650" t="s">
        <v>16</v>
      </c>
      <c r="F650">
        <v>3</v>
      </c>
      <c r="G650" t="s">
        <v>20</v>
      </c>
      <c r="H650" s="1">
        <v>45409</v>
      </c>
      <c r="I650" s="1">
        <v>45412</v>
      </c>
      <c r="J650" t="str">
        <f t="shared" si="10"/>
        <v>Apr-2024</v>
      </c>
    </row>
    <row r="651" spans="1:10">
      <c r="A651">
        <v>650</v>
      </c>
      <c r="B651">
        <v>17543</v>
      </c>
      <c r="C651" t="s">
        <v>23</v>
      </c>
      <c r="D651">
        <v>153584.1</v>
      </c>
      <c r="E651" t="s">
        <v>16</v>
      </c>
      <c r="F651">
        <v>38</v>
      </c>
      <c r="G651" t="s">
        <v>21</v>
      </c>
      <c r="H651" s="1">
        <v>45314</v>
      </c>
      <c r="I651" s="1">
        <v>45352</v>
      </c>
      <c r="J651" t="str">
        <f t="shared" si="10"/>
        <v>Jan-2024</v>
      </c>
    </row>
    <row r="652" spans="1:10">
      <c r="A652">
        <v>651</v>
      </c>
      <c r="B652">
        <v>13176</v>
      </c>
      <c r="C652" t="s">
        <v>18</v>
      </c>
      <c r="D652">
        <v>56248.78</v>
      </c>
      <c r="E652" t="s">
        <v>16</v>
      </c>
      <c r="F652">
        <v>20</v>
      </c>
      <c r="G652" t="s">
        <v>17</v>
      </c>
      <c r="H652" s="1">
        <v>45524</v>
      </c>
      <c r="I652" s="1">
        <v>45544</v>
      </c>
      <c r="J652" t="str">
        <f t="shared" si="10"/>
        <v>Aug-2024</v>
      </c>
    </row>
    <row r="653" spans="1:10">
      <c r="A653">
        <v>652</v>
      </c>
      <c r="B653">
        <v>18367</v>
      </c>
      <c r="C653" t="s">
        <v>23</v>
      </c>
      <c r="D653">
        <v>13819.78</v>
      </c>
      <c r="E653" t="s">
        <v>19</v>
      </c>
      <c r="F653">
        <v>29</v>
      </c>
      <c r="G653" t="s">
        <v>20</v>
      </c>
      <c r="H653" s="1">
        <v>45381</v>
      </c>
      <c r="I653" s="1">
        <v>45410</v>
      </c>
      <c r="J653" t="str">
        <f t="shared" si="10"/>
        <v>Mar-2024</v>
      </c>
    </row>
    <row r="654" spans="1:10">
      <c r="A654">
        <v>653</v>
      </c>
      <c r="B654">
        <v>12153</v>
      </c>
      <c r="C654" t="s">
        <v>18</v>
      </c>
      <c r="D654">
        <v>5365.19</v>
      </c>
      <c r="E654" t="s">
        <v>16</v>
      </c>
      <c r="F654">
        <v>16</v>
      </c>
      <c r="G654" t="s">
        <v>17</v>
      </c>
      <c r="H654" s="1">
        <v>45546</v>
      </c>
      <c r="I654" s="1">
        <v>45562</v>
      </c>
      <c r="J654" t="str">
        <f t="shared" si="10"/>
        <v>Sep-2024</v>
      </c>
    </row>
    <row r="655" spans="1:10">
      <c r="A655">
        <v>654</v>
      </c>
      <c r="B655">
        <v>14687</v>
      </c>
      <c r="C655" t="s">
        <v>23</v>
      </c>
      <c r="D655">
        <v>73376.61</v>
      </c>
      <c r="E655" t="s">
        <v>24</v>
      </c>
      <c r="G655" t="s">
        <v>21</v>
      </c>
      <c r="H655" s="1">
        <v>45383</v>
      </c>
      <c r="J655" t="str">
        <f t="shared" si="10"/>
        <v>Apr-2024</v>
      </c>
    </row>
    <row r="656" spans="1:10">
      <c r="A656">
        <v>655</v>
      </c>
      <c r="B656">
        <v>11586</v>
      </c>
      <c r="C656" t="s">
        <v>23</v>
      </c>
      <c r="D656">
        <v>52085.52</v>
      </c>
      <c r="E656" t="s">
        <v>19</v>
      </c>
      <c r="F656">
        <v>44</v>
      </c>
      <c r="G656" t="s">
        <v>25</v>
      </c>
      <c r="H656" s="1">
        <v>45446</v>
      </c>
      <c r="I656" s="1">
        <v>45490</v>
      </c>
      <c r="J656" t="str">
        <f t="shared" si="10"/>
        <v>Jun-2024</v>
      </c>
    </row>
    <row r="657" spans="1:10">
      <c r="A657">
        <v>656</v>
      </c>
      <c r="B657">
        <v>18056</v>
      </c>
      <c r="C657" t="s">
        <v>18</v>
      </c>
      <c r="D657">
        <v>17151.96</v>
      </c>
      <c r="E657" t="s">
        <v>16</v>
      </c>
      <c r="F657">
        <v>29</v>
      </c>
      <c r="G657" t="s">
        <v>21</v>
      </c>
      <c r="H657" s="1">
        <v>45598</v>
      </c>
      <c r="I657" s="1">
        <v>45627</v>
      </c>
      <c r="J657" t="str">
        <f t="shared" si="10"/>
        <v>Nov-2024</v>
      </c>
    </row>
    <row r="658" spans="1:10">
      <c r="A658">
        <v>657</v>
      </c>
      <c r="B658">
        <v>15422</v>
      </c>
      <c r="C658" t="s">
        <v>22</v>
      </c>
      <c r="D658">
        <v>40008.019999999997</v>
      </c>
      <c r="E658" t="s">
        <v>19</v>
      </c>
      <c r="F658">
        <v>36</v>
      </c>
      <c r="G658" t="s">
        <v>17</v>
      </c>
      <c r="H658" s="1">
        <v>45406</v>
      </c>
      <c r="I658" s="1">
        <v>45442</v>
      </c>
      <c r="J658" t="str">
        <f t="shared" si="10"/>
        <v>Apr-2024</v>
      </c>
    </row>
    <row r="659" spans="1:10">
      <c r="A659">
        <v>658</v>
      </c>
      <c r="B659">
        <v>13658</v>
      </c>
      <c r="C659" t="s">
        <v>23</v>
      </c>
      <c r="D659">
        <v>29277.29</v>
      </c>
      <c r="E659" t="s">
        <v>16</v>
      </c>
      <c r="F659">
        <v>33</v>
      </c>
      <c r="G659" t="s">
        <v>17</v>
      </c>
      <c r="H659" s="1">
        <v>45498</v>
      </c>
      <c r="I659" s="1">
        <v>45531</v>
      </c>
      <c r="J659" t="str">
        <f t="shared" si="10"/>
        <v>Jul-2024</v>
      </c>
    </row>
    <row r="660" spans="1:10">
      <c r="A660">
        <v>659</v>
      </c>
      <c r="B660">
        <v>10952</v>
      </c>
      <c r="C660" t="s">
        <v>15</v>
      </c>
      <c r="D660">
        <v>183401.28</v>
      </c>
      <c r="E660" t="s">
        <v>16</v>
      </c>
      <c r="F660">
        <v>29</v>
      </c>
      <c r="G660" t="s">
        <v>20</v>
      </c>
      <c r="H660" s="1">
        <v>45372</v>
      </c>
      <c r="I660" s="1">
        <v>45401</v>
      </c>
      <c r="J660" t="str">
        <f t="shared" si="10"/>
        <v>Mar-2024</v>
      </c>
    </row>
    <row r="661" spans="1:10">
      <c r="A661">
        <v>660</v>
      </c>
      <c r="B661">
        <v>16270</v>
      </c>
      <c r="C661" t="s">
        <v>23</v>
      </c>
      <c r="D661">
        <v>32352.11</v>
      </c>
      <c r="E661" t="s">
        <v>19</v>
      </c>
      <c r="F661">
        <v>10</v>
      </c>
      <c r="G661" t="s">
        <v>25</v>
      </c>
      <c r="H661" s="1">
        <v>45394</v>
      </c>
      <c r="I661" s="1">
        <v>45404</v>
      </c>
      <c r="J661" t="str">
        <f t="shared" si="10"/>
        <v>Apr-2024</v>
      </c>
    </row>
    <row r="662" spans="1:10">
      <c r="A662">
        <v>661</v>
      </c>
      <c r="B662">
        <v>15365</v>
      </c>
      <c r="C662" t="s">
        <v>23</v>
      </c>
      <c r="D662">
        <v>109841.45</v>
      </c>
      <c r="E662" t="s">
        <v>24</v>
      </c>
      <c r="G662" t="s">
        <v>20</v>
      </c>
      <c r="H662" s="1">
        <v>45371</v>
      </c>
      <c r="J662" t="str">
        <f t="shared" si="10"/>
        <v>Mar-2024</v>
      </c>
    </row>
    <row r="663" spans="1:10">
      <c r="A663">
        <v>662</v>
      </c>
      <c r="B663">
        <v>12871</v>
      </c>
      <c r="C663" t="s">
        <v>23</v>
      </c>
      <c r="D663">
        <v>120655.66</v>
      </c>
      <c r="E663" t="s">
        <v>16</v>
      </c>
      <c r="F663">
        <v>5</v>
      </c>
      <c r="G663" t="s">
        <v>17</v>
      </c>
      <c r="H663" s="1">
        <v>45394</v>
      </c>
      <c r="I663" s="1">
        <v>45399</v>
      </c>
      <c r="J663" t="str">
        <f t="shared" si="10"/>
        <v>Apr-2024</v>
      </c>
    </row>
    <row r="664" spans="1:10">
      <c r="A664">
        <v>663</v>
      </c>
      <c r="B664">
        <v>12978</v>
      </c>
      <c r="C664" t="s">
        <v>23</v>
      </c>
      <c r="D664">
        <v>110980.44</v>
      </c>
      <c r="E664" t="s">
        <v>16</v>
      </c>
      <c r="F664">
        <v>42</v>
      </c>
      <c r="G664" t="s">
        <v>21</v>
      </c>
      <c r="H664" s="1">
        <v>45531</v>
      </c>
      <c r="I664" s="1">
        <v>45573</v>
      </c>
      <c r="J664" t="str">
        <f t="shared" si="10"/>
        <v>Aug-2024</v>
      </c>
    </row>
    <row r="665" spans="1:10">
      <c r="A665">
        <v>664</v>
      </c>
      <c r="B665">
        <v>12970</v>
      </c>
      <c r="C665" t="s">
        <v>18</v>
      </c>
      <c r="D665">
        <v>24316</v>
      </c>
      <c r="E665" t="s">
        <v>16</v>
      </c>
      <c r="F665">
        <v>4</v>
      </c>
      <c r="G665" t="s">
        <v>25</v>
      </c>
      <c r="H665" s="1">
        <v>45556</v>
      </c>
      <c r="I665" s="1">
        <v>45560</v>
      </c>
      <c r="J665" t="str">
        <f t="shared" si="10"/>
        <v>Sep-2024</v>
      </c>
    </row>
    <row r="666" spans="1:10">
      <c r="A666">
        <v>665</v>
      </c>
      <c r="B666">
        <v>14908</v>
      </c>
      <c r="C666" t="s">
        <v>23</v>
      </c>
      <c r="D666">
        <v>67165.679999999993</v>
      </c>
      <c r="E666" t="s">
        <v>16</v>
      </c>
      <c r="F666">
        <v>23</v>
      </c>
      <c r="G666" t="s">
        <v>21</v>
      </c>
      <c r="H666" s="1">
        <v>45324</v>
      </c>
      <c r="I666" s="1">
        <v>45347</v>
      </c>
      <c r="J666" t="str">
        <f t="shared" si="10"/>
        <v>Feb-2024</v>
      </c>
    </row>
    <row r="667" spans="1:10">
      <c r="A667">
        <v>666</v>
      </c>
      <c r="B667">
        <v>11959</v>
      </c>
      <c r="C667" t="s">
        <v>23</v>
      </c>
      <c r="D667">
        <v>14997.71</v>
      </c>
      <c r="E667" t="s">
        <v>16</v>
      </c>
      <c r="F667">
        <v>41</v>
      </c>
      <c r="G667" t="s">
        <v>21</v>
      </c>
      <c r="H667" s="1">
        <v>45326</v>
      </c>
      <c r="I667" s="1">
        <v>45367</v>
      </c>
      <c r="J667" t="str">
        <f t="shared" si="10"/>
        <v>Feb-2024</v>
      </c>
    </row>
    <row r="668" spans="1:10">
      <c r="A668">
        <v>667</v>
      </c>
      <c r="B668">
        <v>15182</v>
      </c>
      <c r="C668" t="s">
        <v>22</v>
      </c>
      <c r="D668">
        <v>82155.63</v>
      </c>
      <c r="E668" t="s">
        <v>16</v>
      </c>
      <c r="F668">
        <v>40</v>
      </c>
      <c r="G668" t="s">
        <v>25</v>
      </c>
      <c r="H668" s="1">
        <v>45540</v>
      </c>
      <c r="I668" s="1">
        <v>45580</v>
      </c>
      <c r="J668" t="str">
        <f t="shared" si="10"/>
        <v>Sep-2024</v>
      </c>
    </row>
    <row r="669" spans="1:10">
      <c r="A669">
        <v>668</v>
      </c>
      <c r="B669">
        <v>10805</v>
      </c>
      <c r="C669" t="s">
        <v>23</v>
      </c>
      <c r="D669">
        <v>41776.79</v>
      </c>
      <c r="E669" t="s">
        <v>16</v>
      </c>
      <c r="F669">
        <v>26</v>
      </c>
      <c r="G669" t="s">
        <v>20</v>
      </c>
      <c r="H669" s="1">
        <v>45341</v>
      </c>
      <c r="I669" s="1">
        <v>45367</v>
      </c>
      <c r="J669" t="str">
        <f t="shared" si="10"/>
        <v>Feb-2024</v>
      </c>
    </row>
    <row r="670" spans="1:10">
      <c r="A670">
        <v>669</v>
      </c>
      <c r="B670">
        <v>13100</v>
      </c>
      <c r="C670" t="s">
        <v>18</v>
      </c>
      <c r="D670">
        <v>114518.34</v>
      </c>
      <c r="E670" t="s">
        <v>16</v>
      </c>
      <c r="F670">
        <v>23</v>
      </c>
      <c r="G670" t="s">
        <v>21</v>
      </c>
      <c r="H670" s="1">
        <v>45571</v>
      </c>
      <c r="I670" s="1">
        <v>45594</v>
      </c>
      <c r="J670" t="str">
        <f t="shared" si="10"/>
        <v>Oct-2024</v>
      </c>
    </row>
    <row r="671" spans="1:10">
      <c r="A671">
        <v>670</v>
      </c>
      <c r="B671">
        <v>11575</v>
      </c>
      <c r="C671" t="s">
        <v>23</v>
      </c>
      <c r="D671">
        <v>140097.64000000001</v>
      </c>
      <c r="E671" t="s">
        <v>16</v>
      </c>
      <c r="F671">
        <v>35</v>
      </c>
      <c r="G671" t="s">
        <v>17</v>
      </c>
      <c r="H671" s="1">
        <v>45533</v>
      </c>
      <c r="I671" s="1">
        <v>45568</v>
      </c>
      <c r="J671" t="str">
        <f t="shared" si="10"/>
        <v>Aug-2024</v>
      </c>
    </row>
    <row r="672" spans="1:10">
      <c r="A672">
        <v>671</v>
      </c>
      <c r="B672">
        <v>18791</v>
      </c>
      <c r="C672" t="s">
        <v>18</v>
      </c>
      <c r="D672">
        <v>108763.37</v>
      </c>
      <c r="E672" t="s">
        <v>19</v>
      </c>
      <c r="F672">
        <v>21</v>
      </c>
      <c r="G672" t="s">
        <v>21</v>
      </c>
      <c r="H672" s="1">
        <v>45443</v>
      </c>
      <c r="I672" s="1">
        <v>45464</v>
      </c>
      <c r="J672" t="str">
        <f t="shared" si="10"/>
        <v>May-2024</v>
      </c>
    </row>
    <row r="673" spans="1:10">
      <c r="A673">
        <v>672</v>
      </c>
      <c r="B673">
        <v>12615</v>
      </c>
      <c r="C673" t="s">
        <v>23</v>
      </c>
      <c r="D673">
        <v>89676.160000000003</v>
      </c>
      <c r="E673" t="s">
        <v>19</v>
      </c>
      <c r="F673">
        <v>37</v>
      </c>
      <c r="G673" t="s">
        <v>25</v>
      </c>
      <c r="H673" s="1">
        <v>45438</v>
      </c>
      <c r="I673" s="1">
        <v>45475</v>
      </c>
      <c r="J673" t="str">
        <f t="shared" si="10"/>
        <v>May-2024</v>
      </c>
    </row>
    <row r="674" spans="1:10">
      <c r="A674">
        <v>673</v>
      </c>
      <c r="B674">
        <v>18803</v>
      </c>
      <c r="C674" t="s">
        <v>23</v>
      </c>
      <c r="D674">
        <v>80530.02</v>
      </c>
      <c r="E674" t="s">
        <v>16</v>
      </c>
      <c r="F674">
        <v>38</v>
      </c>
      <c r="G674" t="s">
        <v>25</v>
      </c>
      <c r="H674" s="1">
        <v>45330</v>
      </c>
      <c r="I674" s="1">
        <v>45368</v>
      </c>
      <c r="J674" t="str">
        <f t="shared" si="10"/>
        <v>Feb-2024</v>
      </c>
    </row>
    <row r="675" spans="1:10">
      <c r="A675">
        <v>674</v>
      </c>
      <c r="B675">
        <v>15626</v>
      </c>
      <c r="C675" t="s">
        <v>23</v>
      </c>
      <c r="D675">
        <v>169129.89</v>
      </c>
      <c r="E675" t="s">
        <v>16</v>
      </c>
      <c r="F675">
        <v>40</v>
      </c>
      <c r="G675" t="s">
        <v>25</v>
      </c>
      <c r="H675" s="1">
        <v>45480</v>
      </c>
      <c r="I675" s="1">
        <v>45520</v>
      </c>
      <c r="J675" t="str">
        <f t="shared" si="10"/>
        <v>Jul-2024</v>
      </c>
    </row>
    <row r="676" spans="1:10">
      <c r="A676">
        <v>675</v>
      </c>
      <c r="B676">
        <v>18752</v>
      </c>
      <c r="C676" t="s">
        <v>23</v>
      </c>
      <c r="D676">
        <v>47776.77</v>
      </c>
      <c r="E676" t="s">
        <v>16</v>
      </c>
      <c r="F676">
        <v>28</v>
      </c>
      <c r="G676" t="s">
        <v>20</v>
      </c>
      <c r="H676" s="1">
        <v>45316</v>
      </c>
      <c r="I676" s="1">
        <v>45344</v>
      </c>
      <c r="J676" t="str">
        <f t="shared" si="10"/>
        <v>Jan-2024</v>
      </c>
    </row>
    <row r="677" spans="1:10">
      <c r="A677">
        <v>676</v>
      </c>
      <c r="B677">
        <v>10626</v>
      </c>
      <c r="C677" t="s">
        <v>23</v>
      </c>
      <c r="D677">
        <v>148172.57999999999</v>
      </c>
      <c r="E677" t="s">
        <v>16</v>
      </c>
      <c r="F677">
        <v>33</v>
      </c>
      <c r="G677" t="s">
        <v>21</v>
      </c>
      <c r="H677" s="1">
        <v>45535</v>
      </c>
      <c r="I677" s="1">
        <v>45568</v>
      </c>
      <c r="J677" t="str">
        <f t="shared" si="10"/>
        <v>Aug-2024</v>
      </c>
    </row>
    <row r="678" spans="1:10">
      <c r="A678">
        <v>677</v>
      </c>
      <c r="B678">
        <v>16884</v>
      </c>
      <c r="C678" t="s">
        <v>18</v>
      </c>
      <c r="D678">
        <v>152709.04999999999</v>
      </c>
      <c r="E678" t="s">
        <v>16</v>
      </c>
      <c r="F678">
        <v>43</v>
      </c>
      <c r="G678" t="s">
        <v>20</v>
      </c>
      <c r="H678" s="1">
        <v>45514</v>
      </c>
      <c r="I678" s="1">
        <v>45557</v>
      </c>
      <c r="J678" t="str">
        <f t="shared" si="10"/>
        <v>Aug-2024</v>
      </c>
    </row>
    <row r="679" spans="1:10">
      <c r="A679">
        <v>678</v>
      </c>
      <c r="B679">
        <v>12811</v>
      </c>
      <c r="C679" t="s">
        <v>15</v>
      </c>
      <c r="D679">
        <v>86744</v>
      </c>
      <c r="E679" t="s">
        <v>19</v>
      </c>
      <c r="F679">
        <v>30</v>
      </c>
      <c r="G679" t="s">
        <v>20</v>
      </c>
      <c r="H679" s="1">
        <v>45521</v>
      </c>
      <c r="I679" s="1">
        <v>45551</v>
      </c>
      <c r="J679" t="str">
        <f t="shared" si="10"/>
        <v>Aug-2024</v>
      </c>
    </row>
    <row r="680" spans="1:10">
      <c r="A680">
        <v>679</v>
      </c>
      <c r="B680">
        <v>11610</v>
      </c>
      <c r="C680" t="s">
        <v>15</v>
      </c>
      <c r="D680">
        <v>62973.62</v>
      </c>
      <c r="E680" t="s">
        <v>16</v>
      </c>
      <c r="F680">
        <v>42</v>
      </c>
      <c r="G680" t="s">
        <v>25</v>
      </c>
      <c r="H680" s="1">
        <v>45444</v>
      </c>
      <c r="I680" s="1">
        <v>45486</v>
      </c>
      <c r="J680" t="str">
        <f t="shared" si="10"/>
        <v>Jun-2024</v>
      </c>
    </row>
    <row r="681" spans="1:10">
      <c r="A681">
        <v>680</v>
      </c>
      <c r="B681">
        <v>18866</v>
      </c>
      <c r="C681" t="s">
        <v>18</v>
      </c>
      <c r="D681">
        <v>96755.59</v>
      </c>
      <c r="E681" t="s">
        <v>16</v>
      </c>
      <c r="F681">
        <v>33</v>
      </c>
      <c r="G681" t="s">
        <v>25</v>
      </c>
      <c r="H681" s="1">
        <v>45579</v>
      </c>
      <c r="I681" s="1">
        <v>45612</v>
      </c>
      <c r="J681" t="str">
        <f t="shared" si="10"/>
        <v>Oct-2024</v>
      </c>
    </row>
    <row r="682" spans="1:10">
      <c r="A682">
        <v>681</v>
      </c>
      <c r="B682">
        <v>10048</v>
      </c>
      <c r="C682" t="s">
        <v>23</v>
      </c>
      <c r="D682">
        <v>23176.720000000001</v>
      </c>
      <c r="E682" t="s">
        <v>16</v>
      </c>
      <c r="F682">
        <v>25</v>
      </c>
      <c r="G682" t="s">
        <v>20</v>
      </c>
      <c r="H682" s="1">
        <v>45399</v>
      </c>
      <c r="I682" s="1">
        <v>45424</v>
      </c>
      <c r="J682" t="str">
        <f t="shared" si="10"/>
        <v>Apr-2024</v>
      </c>
    </row>
    <row r="683" spans="1:10">
      <c r="A683">
        <v>682</v>
      </c>
      <c r="B683">
        <v>11386</v>
      </c>
      <c r="C683" t="s">
        <v>23</v>
      </c>
      <c r="D683">
        <v>13956.36</v>
      </c>
      <c r="E683" t="s">
        <v>16</v>
      </c>
      <c r="F683">
        <v>4</v>
      </c>
      <c r="G683" t="s">
        <v>21</v>
      </c>
      <c r="H683" s="1">
        <v>45324</v>
      </c>
      <c r="I683" s="1">
        <v>45328</v>
      </c>
      <c r="J683" t="str">
        <f t="shared" si="10"/>
        <v>Feb-2024</v>
      </c>
    </row>
    <row r="684" spans="1:10">
      <c r="A684">
        <v>683</v>
      </c>
      <c r="B684">
        <v>11902</v>
      </c>
      <c r="C684" t="s">
        <v>23</v>
      </c>
      <c r="D684">
        <v>26762.62</v>
      </c>
      <c r="E684" t="s">
        <v>16</v>
      </c>
      <c r="F684">
        <v>28</v>
      </c>
      <c r="G684" t="s">
        <v>17</v>
      </c>
      <c r="H684" s="1">
        <v>45654</v>
      </c>
      <c r="I684" s="1">
        <v>45682</v>
      </c>
      <c r="J684" t="str">
        <f t="shared" si="10"/>
        <v>Dec-2024</v>
      </c>
    </row>
    <row r="685" spans="1:10">
      <c r="A685">
        <v>684</v>
      </c>
      <c r="B685">
        <v>14722</v>
      </c>
      <c r="C685" t="s">
        <v>23</v>
      </c>
      <c r="D685">
        <v>41493.279999999999</v>
      </c>
      <c r="E685" t="s">
        <v>24</v>
      </c>
      <c r="G685" t="s">
        <v>20</v>
      </c>
      <c r="H685" s="1">
        <v>45402</v>
      </c>
      <c r="J685" t="str">
        <f t="shared" si="10"/>
        <v>Apr-2024</v>
      </c>
    </row>
    <row r="686" spans="1:10">
      <c r="A686">
        <v>685</v>
      </c>
      <c r="B686">
        <v>14372</v>
      </c>
      <c r="C686" t="s">
        <v>18</v>
      </c>
      <c r="D686">
        <v>103314.48</v>
      </c>
      <c r="E686" t="s">
        <v>16</v>
      </c>
      <c r="F686">
        <v>41</v>
      </c>
      <c r="G686" t="s">
        <v>21</v>
      </c>
      <c r="H686" s="1">
        <v>45412</v>
      </c>
      <c r="I686" s="1">
        <v>45453</v>
      </c>
      <c r="J686" t="str">
        <f t="shared" si="10"/>
        <v>Apr-2024</v>
      </c>
    </row>
    <row r="687" spans="1:10">
      <c r="A687">
        <v>686</v>
      </c>
      <c r="B687">
        <v>13842</v>
      </c>
      <c r="C687" t="s">
        <v>18</v>
      </c>
      <c r="D687">
        <v>170581.64</v>
      </c>
      <c r="E687" t="s">
        <v>16</v>
      </c>
      <c r="F687">
        <v>24</v>
      </c>
      <c r="G687" t="s">
        <v>25</v>
      </c>
      <c r="H687" s="1">
        <v>45307</v>
      </c>
      <c r="I687" s="1">
        <v>45331</v>
      </c>
      <c r="J687" t="str">
        <f t="shared" si="10"/>
        <v>Jan-2024</v>
      </c>
    </row>
    <row r="688" spans="1:10">
      <c r="A688">
        <v>687</v>
      </c>
      <c r="B688">
        <v>17069</v>
      </c>
      <c r="C688" t="s">
        <v>23</v>
      </c>
      <c r="D688">
        <v>50950.25</v>
      </c>
      <c r="E688" t="s">
        <v>16</v>
      </c>
      <c r="F688">
        <v>8</v>
      </c>
      <c r="G688" t="s">
        <v>25</v>
      </c>
      <c r="H688" s="1">
        <v>45518</v>
      </c>
      <c r="I688" s="1">
        <v>45526</v>
      </c>
      <c r="J688" t="str">
        <f t="shared" si="10"/>
        <v>Aug-2024</v>
      </c>
    </row>
    <row r="689" spans="1:10">
      <c r="A689">
        <v>688</v>
      </c>
      <c r="B689">
        <v>14311</v>
      </c>
      <c r="C689" t="s">
        <v>23</v>
      </c>
      <c r="D689">
        <v>187356.59</v>
      </c>
      <c r="E689" t="s">
        <v>24</v>
      </c>
      <c r="G689" t="s">
        <v>21</v>
      </c>
      <c r="H689" s="1">
        <v>45302</v>
      </c>
      <c r="J689" t="str">
        <f t="shared" si="10"/>
        <v>Jan-2024</v>
      </c>
    </row>
    <row r="690" spans="1:10">
      <c r="A690">
        <v>689</v>
      </c>
      <c r="B690">
        <v>18421</v>
      </c>
      <c r="C690" t="s">
        <v>15</v>
      </c>
      <c r="D690">
        <v>191207.04000000001</v>
      </c>
      <c r="E690" t="s">
        <v>16</v>
      </c>
      <c r="F690">
        <v>38</v>
      </c>
      <c r="G690" t="s">
        <v>17</v>
      </c>
      <c r="H690" s="1">
        <v>45494</v>
      </c>
      <c r="I690" s="1">
        <v>45532</v>
      </c>
      <c r="J690" t="str">
        <f t="shared" si="10"/>
        <v>Jul-2024</v>
      </c>
    </row>
    <row r="691" spans="1:10">
      <c r="A691">
        <v>690</v>
      </c>
      <c r="B691">
        <v>17806</v>
      </c>
      <c r="C691" t="s">
        <v>18</v>
      </c>
      <c r="D691">
        <v>191986.4</v>
      </c>
      <c r="E691" t="s">
        <v>16</v>
      </c>
      <c r="F691">
        <v>8</v>
      </c>
      <c r="G691" t="s">
        <v>25</v>
      </c>
      <c r="H691" s="1">
        <v>45493</v>
      </c>
      <c r="I691" s="1">
        <v>45501</v>
      </c>
      <c r="J691" t="str">
        <f t="shared" si="10"/>
        <v>Jul-2024</v>
      </c>
    </row>
    <row r="692" spans="1:10">
      <c r="A692">
        <v>691</v>
      </c>
      <c r="B692">
        <v>16466</v>
      </c>
      <c r="C692" t="s">
        <v>23</v>
      </c>
      <c r="D692">
        <v>168324.73</v>
      </c>
      <c r="E692" t="s">
        <v>19</v>
      </c>
      <c r="F692">
        <v>31</v>
      </c>
      <c r="G692" t="s">
        <v>25</v>
      </c>
      <c r="H692" s="1">
        <v>45389</v>
      </c>
      <c r="I692" s="1">
        <v>45420</v>
      </c>
      <c r="J692" t="str">
        <f t="shared" si="10"/>
        <v>Apr-2024</v>
      </c>
    </row>
    <row r="693" spans="1:10">
      <c r="A693">
        <v>692</v>
      </c>
      <c r="B693">
        <v>17997</v>
      </c>
      <c r="C693" t="s">
        <v>22</v>
      </c>
      <c r="D693">
        <v>75945.88</v>
      </c>
      <c r="E693" t="s">
        <v>16</v>
      </c>
      <c r="F693">
        <v>14</v>
      </c>
      <c r="G693" t="s">
        <v>25</v>
      </c>
      <c r="H693" s="1">
        <v>45407</v>
      </c>
      <c r="I693" s="1">
        <v>45421</v>
      </c>
      <c r="J693" t="str">
        <f t="shared" si="10"/>
        <v>Apr-2024</v>
      </c>
    </row>
    <row r="694" spans="1:10">
      <c r="A694">
        <v>693</v>
      </c>
      <c r="B694">
        <v>16368</v>
      </c>
      <c r="C694" t="s">
        <v>22</v>
      </c>
      <c r="D694">
        <v>19173.36</v>
      </c>
      <c r="E694" t="s">
        <v>16</v>
      </c>
      <c r="F694">
        <v>19</v>
      </c>
      <c r="G694" t="s">
        <v>21</v>
      </c>
      <c r="H694" s="1">
        <v>45572</v>
      </c>
      <c r="I694" s="1">
        <v>45591</v>
      </c>
      <c r="J694" t="str">
        <f t="shared" si="10"/>
        <v>Oct-2024</v>
      </c>
    </row>
    <row r="695" spans="1:10">
      <c r="A695">
        <v>694</v>
      </c>
      <c r="B695">
        <v>11685</v>
      </c>
      <c r="C695" t="s">
        <v>23</v>
      </c>
      <c r="D695">
        <v>115919.65</v>
      </c>
      <c r="E695" t="s">
        <v>16</v>
      </c>
      <c r="F695">
        <v>32</v>
      </c>
      <c r="G695" t="s">
        <v>20</v>
      </c>
      <c r="H695" s="1">
        <v>45640</v>
      </c>
      <c r="I695" s="1">
        <v>45672</v>
      </c>
      <c r="J695" t="str">
        <f t="shared" si="10"/>
        <v>Dec-2024</v>
      </c>
    </row>
    <row r="696" spans="1:10">
      <c r="A696">
        <v>695</v>
      </c>
      <c r="B696">
        <v>19502</v>
      </c>
      <c r="C696" t="s">
        <v>23</v>
      </c>
      <c r="D696">
        <v>113942.88</v>
      </c>
      <c r="E696" t="s">
        <v>16</v>
      </c>
      <c r="F696">
        <v>23</v>
      </c>
      <c r="G696" t="s">
        <v>25</v>
      </c>
      <c r="H696" s="1">
        <v>45523</v>
      </c>
      <c r="I696" s="1">
        <v>45546</v>
      </c>
      <c r="J696" t="str">
        <f t="shared" si="10"/>
        <v>Aug-2024</v>
      </c>
    </row>
    <row r="697" spans="1:10">
      <c r="A697">
        <v>696</v>
      </c>
      <c r="B697">
        <v>18139</v>
      </c>
      <c r="C697" t="s">
        <v>18</v>
      </c>
      <c r="D697">
        <v>170745.27</v>
      </c>
      <c r="E697" t="s">
        <v>16</v>
      </c>
      <c r="F697">
        <v>15</v>
      </c>
      <c r="G697" t="s">
        <v>20</v>
      </c>
      <c r="H697" s="1">
        <v>45402</v>
      </c>
      <c r="I697" s="1">
        <v>45417</v>
      </c>
      <c r="J697" t="str">
        <f t="shared" si="10"/>
        <v>Apr-2024</v>
      </c>
    </row>
    <row r="698" spans="1:10">
      <c r="A698">
        <v>697</v>
      </c>
      <c r="B698">
        <v>15133</v>
      </c>
      <c r="C698" t="s">
        <v>22</v>
      </c>
      <c r="D698">
        <v>199218.25</v>
      </c>
      <c r="E698" t="s">
        <v>16</v>
      </c>
      <c r="F698">
        <v>19</v>
      </c>
      <c r="G698" t="s">
        <v>17</v>
      </c>
      <c r="H698" s="1">
        <v>45643</v>
      </c>
      <c r="I698" s="1">
        <v>45662</v>
      </c>
      <c r="J698" t="str">
        <f t="shared" si="10"/>
        <v>Dec-2024</v>
      </c>
    </row>
    <row r="699" spans="1:10">
      <c r="A699">
        <v>698</v>
      </c>
      <c r="B699">
        <v>18824</v>
      </c>
      <c r="C699" t="s">
        <v>15</v>
      </c>
      <c r="D699">
        <v>104090.67</v>
      </c>
      <c r="E699" t="s">
        <v>16</v>
      </c>
      <c r="F699">
        <v>36</v>
      </c>
      <c r="G699" t="s">
        <v>25</v>
      </c>
      <c r="H699" s="1">
        <v>45303</v>
      </c>
      <c r="I699" s="1">
        <v>45339</v>
      </c>
      <c r="J699" t="str">
        <f t="shared" si="10"/>
        <v>Jan-2024</v>
      </c>
    </row>
    <row r="700" spans="1:10">
      <c r="A700">
        <v>699</v>
      </c>
      <c r="B700">
        <v>12422</v>
      </c>
      <c r="C700" t="s">
        <v>23</v>
      </c>
      <c r="D700">
        <v>72314.789999999994</v>
      </c>
      <c r="E700" t="s">
        <v>16</v>
      </c>
      <c r="F700">
        <v>18</v>
      </c>
      <c r="G700" t="s">
        <v>25</v>
      </c>
      <c r="H700" s="1">
        <v>45312</v>
      </c>
      <c r="I700" s="1">
        <v>45330</v>
      </c>
      <c r="J700" t="str">
        <f t="shared" si="10"/>
        <v>Jan-2024</v>
      </c>
    </row>
    <row r="701" spans="1:10">
      <c r="A701">
        <v>700</v>
      </c>
      <c r="B701">
        <v>12750</v>
      </c>
      <c r="C701" t="s">
        <v>23</v>
      </c>
      <c r="D701">
        <v>41250.83</v>
      </c>
      <c r="E701" t="s">
        <v>16</v>
      </c>
      <c r="F701">
        <v>20</v>
      </c>
      <c r="G701" t="s">
        <v>17</v>
      </c>
      <c r="H701" s="1">
        <v>45418</v>
      </c>
      <c r="I701" s="1">
        <v>45438</v>
      </c>
      <c r="J701" t="str">
        <f t="shared" si="10"/>
        <v>May-2024</v>
      </c>
    </row>
    <row r="702" spans="1:10">
      <c r="A702">
        <v>701</v>
      </c>
      <c r="B702">
        <v>18524</v>
      </c>
      <c r="C702" t="s">
        <v>18</v>
      </c>
      <c r="D702">
        <v>5935.97</v>
      </c>
      <c r="E702" t="s">
        <v>16</v>
      </c>
      <c r="F702">
        <v>32</v>
      </c>
      <c r="G702" t="s">
        <v>25</v>
      </c>
      <c r="H702" s="1">
        <v>45576</v>
      </c>
      <c r="I702" s="1">
        <v>45608</v>
      </c>
      <c r="J702" t="str">
        <f t="shared" si="10"/>
        <v>Oct-2024</v>
      </c>
    </row>
    <row r="703" spans="1:10">
      <c r="A703">
        <v>702</v>
      </c>
      <c r="B703">
        <v>16309</v>
      </c>
      <c r="C703" t="s">
        <v>18</v>
      </c>
      <c r="D703">
        <v>104277.17</v>
      </c>
      <c r="E703" t="s">
        <v>16</v>
      </c>
      <c r="F703">
        <v>40</v>
      </c>
      <c r="G703" t="s">
        <v>20</v>
      </c>
      <c r="H703" s="1">
        <v>45412</v>
      </c>
      <c r="I703" s="1">
        <v>45452</v>
      </c>
      <c r="J703" t="str">
        <f t="shared" si="10"/>
        <v>Apr-2024</v>
      </c>
    </row>
    <row r="704" spans="1:10">
      <c r="A704">
        <v>703</v>
      </c>
      <c r="B704">
        <v>18698</v>
      </c>
      <c r="C704" t="s">
        <v>23</v>
      </c>
      <c r="D704">
        <v>113326.14</v>
      </c>
      <c r="E704" t="s">
        <v>24</v>
      </c>
      <c r="G704" t="s">
        <v>21</v>
      </c>
      <c r="H704" s="1">
        <v>45415</v>
      </c>
      <c r="J704" t="str">
        <f t="shared" si="10"/>
        <v>May-2024</v>
      </c>
    </row>
    <row r="705" spans="1:10">
      <c r="A705">
        <v>704</v>
      </c>
      <c r="B705">
        <v>14212</v>
      </c>
      <c r="C705" t="s">
        <v>15</v>
      </c>
      <c r="D705">
        <v>165863</v>
      </c>
      <c r="E705" t="s">
        <v>16</v>
      </c>
      <c r="F705">
        <v>16</v>
      </c>
      <c r="G705" t="s">
        <v>20</v>
      </c>
      <c r="H705" s="1">
        <v>45324</v>
      </c>
      <c r="I705" s="1">
        <v>45340</v>
      </c>
      <c r="J705" t="str">
        <f t="shared" si="10"/>
        <v>Feb-2024</v>
      </c>
    </row>
    <row r="706" spans="1:10">
      <c r="A706">
        <v>705</v>
      </c>
      <c r="B706">
        <v>10942</v>
      </c>
      <c r="C706" t="s">
        <v>18</v>
      </c>
      <c r="D706">
        <v>103392.51</v>
      </c>
      <c r="E706" t="s">
        <v>16</v>
      </c>
      <c r="F706">
        <v>30</v>
      </c>
      <c r="G706" t="s">
        <v>21</v>
      </c>
      <c r="H706" s="1">
        <v>45461</v>
      </c>
      <c r="I706" s="1">
        <v>45491</v>
      </c>
      <c r="J706" t="str">
        <f t="shared" si="10"/>
        <v>Jun-2024</v>
      </c>
    </row>
    <row r="707" spans="1:10">
      <c r="A707">
        <v>706</v>
      </c>
      <c r="B707">
        <v>18827</v>
      </c>
      <c r="C707" t="s">
        <v>15</v>
      </c>
      <c r="D707">
        <v>183711.33</v>
      </c>
      <c r="E707" t="s">
        <v>16</v>
      </c>
      <c r="F707">
        <v>41</v>
      </c>
      <c r="G707" t="s">
        <v>21</v>
      </c>
      <c r="H707" s="1">
        <v>45368</v>
      </c>
      <c r="I707" s="1">
        <v>45409</v>
      </c>
      <c r="J707" t="str">
        <f t="shared" ref="J707:J770" si="11">TEXT(H707,"mmm-yyyy")</f>
        <v>Mar-2024</v>
      </c>
    </row>
    <row r="708" spans="1:10">
      <c r="A708">
        <v>707</v>
      </c>
      <c r="B708">
        <v>19781</v>
      </c>
      <c r="C708" t="s">
        <v>15</v>
      </c>
      <c r="D708">
        <v>127476.28</v>
      </c>
      <c r="E708" t="s">
        <v>16</v>
      </c>
      <c r="F708">
        <v>17</v>
      </c>
      <c r="G708" t="s">
        <v>20</v>
      </c>
      <c r="H708" s="1">
        <v>45588</v>
      </c>
      <c r="I708" s="1">
        <v>45605</v>
      </c>
      <c r="J708" t="str">
        <f t="shared" si="11"/>
        <v>Oct-2024</v>
      </c>
    </row>
    <row r="709" spans="1:10">
      <c r="A709">
        <v>708</v>
      </c>
      <c r="B709">
        <v>11462</v>
      </c>
      <c r="C709" t="s">
        <v>18</v>
      </c>
      <c r="D709">
        <v>168865.57</v>
      </c>
      <c r="E709" t="s">
        <v>16</v>
      </c>
      <c r="F709">
        <v>34</v>
      </c>
      <c r="G709" t="s">
        <v>20</v>
      </c>
      <c r="H709" s="1">
        <v>45621</v>
      </c>
      <c r="I709" s="1">
        <v>45655</v>
      </c>
      <c r="J709" t="str">
        <f t="shared" si="11"/>
        <v>Nov-2024</v>
      </c>
    </row>
    <row r="710" spans="1:10">
      <c r="A710">
        <v>709</v>
      </c>
      <c r="B710">
        <v>17471</v>
      </c>
      <c r="C710" t="s">
        <v>23</v>
      </c>
      <c r="D710">
        <v>33918.839999999997</v>
      </c>
      <c r="E710" t="s">
        <v>16</v>
      </c>
      <c r="F710">
        <v>26</v>
      </c>
      <c r="G710" t="s">
        <v>20</v>
      </c>
      <c r="H710" s="1">
        <v>45354</v>
      </c>
      <c r="I710" s="1">
        <v>45380</v>
      </c>
      <c r="J710" t="str">
        <f t="shared" si="11"/>
        <v>Mar-2024</v>
      </c>
    </row>
    <row r="711" spans="1:10">
      <c r="A711">
        <v>710</v>
      </c>
      <c r="B711">
        <v>11991</v>
      </c>
      <c r="C711" t="s">
        <v>18</v>
      </c>
      <c r="D711">
        <v>171790.55</v>
      </c>
      <c r="E711" t="s">
        <v>16</v>
      </c>
      <c r="F711">
        <v>17</v>
      </c>
      <c r="G711" t="s">
        <v>20</v>
      </c>
      <c r="H711" s="1">
        <v>45561</v>
      </c>
      <c r="I711" s="1">
        <v>45578</v>
      </c>
      <c r="J711" t="str">
        <f t="shared" si="11"/>
        <v>Sep-2024</v>
      </c>
    </row>
    <row r="712" spans="1:10">
      <c r="A712">
        <v>711</v>
      </c>
      <c r="B712">
        <v>15390</v>
      </c>
      <c r="C712" t="s">
        <v>23</v>
      </c>
      <c r="D712">
        <v>136653.04999999999</v>
      </c>
      <c r="E712" t="s">
        <v>16</v>
      </c>
      <c r="F712">
        <v>31</v>
      </c>
      <c r="G712" t="s">
        <v>17</v>
      </c>
      <c r="H712" s="1">
        <v>45507</v>
      </c>
      <c r="I712" s="1">
        <v>45538</v>
      </c>
      <c r="J712" t="str">
        <f t="shared" si="11"/>
        <v>Aug-2024</v>
      </c>
    </row>
    <row r="713" spans="1:10">
      <c r="A713">
        <v>712</v>
      </c>
      <c r="B713">
        <v>19926</v>
      </c>
      <c r="C713" t="s">
        <v>18</v>
      </c>
      <c r="D713">
        <v>38195.440000000002</v>
      </c>
      <c r="E713" t="s">
        <v>19</v>
      </c>
      <c r="F713">
        <v>35</v>
      </c>
      <c r="G713" t="s">
        <v>25</v>
      </c>
      <c r="H713" s="1">
        <v>45481</v>
      </c>
      <c r="I713" s="1">
        <v>45516</v>
      </c>
      <c r="J713" t="str">
        <f t="shared" si="11"/>
        <v>Jul-2024</v>
      </c>
    </row>
    <row r="714" spans="1:10">
      <c r="A714">
        <v>713</v>
      </c>
      <c r="B714">
        <v>10112</v>
      </c>
      <c r="C714" t="s">
        <v>23</v>
      </c>
      <c r="D714">
        <v>42003.89</v>
      </c>
      <c r="E714" t="s">
        <v>16</v>
      </c>
      <c r="F714">
        <v>3</v>
      </c>
      <c r="G714" t="s">
        <v>21</v>
      </c>
      <c r="H714" s="1">
        <v>45366</v>
      </c>
      <c r="I714" s="1">
        <v>45369</v>
      </c>
      <c r="J714" t="str">
        <f t="shared" si="11"/>
        <v>Mar-2024</v>
      </c>
    </row>
    <row r="715" spans="1:10">
      <c r="A715">
        <v>714</v>
      </c>
      <c r="B715">
        <v>17183</v>
      </c>
      <c r="C715" t="s">
        <v>18</v>
      </c>
      <c r="D715">
        <v>185667.62</v>
      </c>
      <c r="E715" t="s">
        <v>16</v>
      </c>
      <c r="F715">
        <v>41</v>
      </c>
      <c r="G715" t="s">
        <v>20</v>
      </c>
      <c r="H715" s="1">
        <v>45465</v>
      </c>
      <c r="I715" s="1">
        <v>45506</v>
      </c>
      <c r="J715" t="str">
        <f t="shared" si="11"/>
        <v>Jun-2024</v>
      </c>
    </row>
    <row r="716" spans="1:10">
      <c r="A716">
        <v>715</v>
      </c>
      <c r="B716">
        <v>12263</v>
      </c>
      <c r="C716" t="s">
        <v>23</v>
      </c>
      <c r="D716">
        <v>11282</v>
      </c>
      <c r="E716" t="s">
        <v>16</v>
      </c>
      <c r="F716">
        <v>44</v>
      </c>
      <c r="G716" t="s">
        <v>20</v>
      </c>
      <c r="H716" s="1">
        <v>45358</v>
      </c>
      <c r="I716" s="1">
        <v>45402</v>
      </c>
      <c r="J716" t="str">
        <f t="shared" si="11"/>
        <v>Mar-2024</v>
      </c>
    </row>
    <row r="717" spans="1:10">
      <c r="A717">
        <v>716</v>
      </c>
      <c r="B717">
        <v>18618</v>
      </c>
      <c r="C717" t="s">
        <v>23</v>
      </c>
      <c r="D717">
        <v>95194.31</v>
      </c>
      <c r="E717" t="s">
        <v>16</v>
      </c>
      <c r="F717">
        <v>39</v>
      </c>
      <c r="G717" t="s">
        <v>20</v>
      </c>
      <c r="H717" s="1">
        <v>45384</v>
      </c>
      <c r="I717" s="1">
        <v>45423</v>
      </c>
      <c r="J717" t="str">
        <f t="shared" si="11"/>
        <v>Apr-2024</v>
      </c>
    </row>
    <row r="718" spans="1:10">
      <c r="A718">
        <v>717</v>
      </c>
      <c r="B718">
        <v>15254</v>
      </c>
      <c r="C718" t="s">
        <v>23</v>
      </c>
      <c r="D718">
        <v>66127.679999999993</v>
      </c>
      <c r="E718" t="s">
        <v>16</v>
      </c>
      <c r="F718">
        <v>19</v>
      </c>
      <c r="G718" t="s">
        <v>17</v>
      </c>
      <c r="H718" s="1">
        <v>45344</v>
      </c>
      <c r="I718" s="1">
        <v>45363</v>
      </c>
      <c r="J718" t="str">
        <f t="shared" si="11"/>
        <v>Feb-2024</v>
      </c>
    </row>
    <row r="719" spans="1:10">
      <c r="A719">
        <v>718</v>
      </c>
      <c r="B719">
        <v>19258</v>
      </c>
      <c r="C719" t="s">
        <v>23</v>
      </c>
      <c r="D719">
        <v>134690.1</v>
      </c>
      <c r="E719" t="s">
        <v>16</v>
      </c>
      <c r="F719">
        <v>6</v>
      </c>
      <c r="G719" t="s">
        <v>20</v>
      </c>
      <c r="H719" s="1">
        <v>45385</v>
      </c>
      <c r="I719" s="1">
        <v>45391</v>
      </c>
      <c r="J719" t="str">
        <f t="shared" si="11"/>
        <v>Apr-2024</v>
      </c>
    </row>
    <row r="720" spans="1:10">
      <c r="A720">
        <v>719</v>
      </c>
      <c r="B720">
        <v>12811</v>
      </c>
      <c r="C720" t="s">
        <v>18</v>
      </c>
      <c r="D720">
        <v>168727.73</v>
      </c>
      <c r="E720" t="s">
        <v>16</v>
      </c>
      <c r="F720">
        <v>41</v>
      </c>
      <c r="G720" t="s">
        <v>20</v>
      </c>
      <c r="H720" s="1">
        <v>45404</v>
      </c>
      <c r="I720" s="1">
        <v>45445</v>
      </c>
      <c r="J720" t="str">
        <f t="shared" si="11"/>
        <v>Apr-2024</v>
      </c>
    </row>
    <row r="721" spans="1:10">
      <c r="A721">
        <v>720</v>
      </c>
      <c r="B721">
        <v>10833</v>
      </c>
      <c r="C721" t="s">
        <v>18</v>
      </c>
      <c r="D721">
        <v>75273.73</v>
      </c>
      <c r="E721" t="s">
        <v>19</v>
      </c>
      <c r="F721">
        <v>7</v>
      </c>
      <c r="G721" t="s">
        <v>20</v>
      </c>
      <c r="H721" s="1">
        <v>45520</v>
      </c>
      <c r="I721" s="1">
        <v>45527</v>
      </c>
      <c r="J721" t="str">
        <f t="shared" si="11"/>
        <v>Aug-2024</v>
      </c>
    </row>
    <row r="722" spans="1:10">
      <c r="A722">
        <v>721</v>
      </c>
      <c r="B722">
        <v>17227</v>
      </c>
      <c r="C722" t="s">
        <v>18</v>
      </c>
      <c r="D722">
        <v>88245.91</v>
      </c>
      <c r="E722" t="s">
        <v>19</v>
      </c>
      <c r="F722">
        <v>13</v>
      </c>
      <c r="G722" t="s">
        <v>25</v>
      </c>
      <c r="H722" s="1">
        <v>45541</v>
      </c>
      <c r="I722" s="1">
        <v>45554</v>
      </c>
      <c r="J722" t="str">
        <f t="shared" si="11"/>
        <v>Sep-2024</v>
      </c>
    </row>
    <row r="723" spans="1:10">
      <c r="A723">
        <v>722</v>
      </c>
      <c r="B723">
        <v>18421</v>
      </c>
      <c r="C723" t="s">
        <v>23</v>
      </c>
      <c r="D723">
        <v>196473.97</v>
      </c>
      <c r="E723" t="s">
        <v>16</v>
      </c>
      <c r="F723">
        <v>13</v>
      </c>
      <c r="G723" t="s">
        <v>17</v>
      </c>
      <c r="H723" s="1">
        <v>45500</v>
      </c>
      <c r="I723" s="1">
        <v>45513</v>
      </c>
      <c r="J723" t="str">
        <f t="shared" si="11"/>
        <v>Jul-2024</v>
      </c>
    </row>
    <row r="724" spans="1:10">
      <c r="A724">
        <v>723</v>
      </c>
      <c r="B724">
        <v>14254</v>
      </c>
      <c r="C724" t="s">
        <v>23</v>
      </c>
      <c r="D724">
        <v>157863.72</v>
      </c>
      <c r="E724" t="s">
        <v>16</v>
      </c>
      <c r="F724">
        <v>13</v>
      </c>
      <c r="G724" t="s">
        <v>20</v>
      </c>
      <c r="H724" s="1">
        <v>45473</v>
      </c>
      <c r="I724" s="1">
        <v>45486</v>
      </c>
      <c r="J724" t="str">
        <f t="shared" si="11"/>
        <v>Jun-2024</v>
      </c>
    </row>
    <row r="725" spans="1:10">
      <c r="A725">
        <v>724</v>
      </c>
      <c r="B725">
        <v>19015</v>
      </c>
      <c r="C725" t="s">
        <v>23</v>
      </c>
      <c r="D725">
        <v>179954.81</v>
      </c>
      <c r="E725" t="s">
        <v>19</v>
      </c>
      <c r="F725">
        <v>10</v>
      </c>
      <c r="G725" t="s">
        <v>21</v>
      </c>
      <c r="H725" s="1">
        <v>45558</v>
      </c>
      <c r="I725" s="1">
        <v>45568</v>
      </c>
      <c r="J725" t="str">
        <f t="shared" si="11"/>
        <v>Sep-2024</v>
      </c>
    </row>
    <row r="726" spans="1:10">
      <c r="A726">
        <v>725</v>
      </c>
      <c r="B726">
        <v>12518</v>
      </c>
      <c r="C726" t="s">
        <v>23</v>
      </c>
      <c r="D726">
        <v>90558.63</v>
      </c>
      <c r="E726" t="s">
        <v>16</v>
      </c>
      <c r="F726">
        <v>43</v>
      </c>
      <c r="G726" t="s">
        <v>21</v>
      </c>
      <c r="H726" s="1">
        <v>45572</v>
      </c>
      <c r="I726" s="1">
        <v>45615</v>
      </c>
      <c r="J726" t="str">
        <f t="shared" si="11"/>
        <v>Oct-2024</v>
      </c>
    </row>
    <row r="727" spans="1:10">
      <c r="A727">
        <v>726</v>
      </c>
      <c r="B727">
        <v>13667</v>
      </c>
      <c r="C727" t="s">
        <v>15</v>
      </c>
      <c r="D727">
        <v>50644.86</v>
      </c>
      <c r="E727" t="s">
        <v>16</v>
      </c>
      <c r="F727">
        <v>23</v>
      </c>
      <c r="G727" t="s">
        <v>21</v>
      </c>
      <c r="H727" s="1">
        <v>45446</v>
      </c>
      <c r="I727" s="1">
        <v>45469</v>
      </c>
      <c r="J727" t="str">
        <f t="shared" si="11"/>
        <v>Jun-2024</v>
      </c>
    </row>
    <row r="728" spans="1:10">
      <c r="A728">
        <v>727</v>
      </c>
      <c r="B728">
        <v>19296</v>
      </c>
      <c r="C728" t="s">
        <v>23</v>
      </c>
      <c r="D728">
        <v>85313.38</v>
      </c>
      <c r="E728" t="s">
        <v>16</v>
      </c>
      <c r="F728">
        <v>17</v>
      </c>
      <c r="G728" t="s">
        <v>17</v>
      </c>
      <c r="H728" s="1">
        <v>45374</v>
      </c>
      <c r="I728" s="1">
        <v>45391</v>
      </c>
      <c r="J728" t="str">
        <f t="shared" si="11"/>
        <v>Mar-2024</v>
      </c>
    </row>
    <row r="729" spans="1:10">
      <c r="A729">
        <v>728</v>
      </c>
      <c r="B729">
        <v>11041</v>
      </c>
      <c r="C729" t="s">
        <v>23</v>
      </c>
      <c r="D729">
        <v>144637.92000000001</v>
      </c>
      <c r="E729" t="s">
        <v>16</v>
      </c>
      <c r="F729">
        <v>5</v>
      </c>
      <c r="G729" t="s">
        <v>17</v>
      </c>
      <c r="H729" s="1">
        <v>45477</v>
      </c>
      <c r="I729" s="1">
        <v>45482</v>
      </c>
      <c r="J729" t="str">
        <f t="shared" si="11"/>
        <v>Jul-2024</v>
      </c>
    </row>
    <row r="730" spans="1:10">
      <c r="A730">
        <v>729</v>
      </c>
      <c r="B730">
        <v>15112</v>
      </c>
      <c r="C730" t="s">
        <v>23</v>
      </c>
      <c r="D730">
        <v>26338.93</v>
      </c>
      <c r="E730" t="s">
        <v>16</v>
      </c>
      <c r="F730">
        <v>4</v>
      </c>
      <c r="G730" t="s">
        <v>21</v>
      </c>
      <c r="H730" s="1">
        <v>45640</v>
      </c>
      <c r="I730" s="1">
        <v>45644</v>
      </c>
      <c r="J730" t="str">
        <f t="shared" si="11"/>
        <v>Dec-2024</v>
      </c>
    </row>
    <row r="731" spans="1:10">
      <c r="A731">
        <v>730</v>
      </c>
      <c r="B731">
        <v>10707</v>
      </c>
      <c r="C731" t="s">
        <v>23</v>
      </c>
      <c r="D731">
        <v>57741.48</v>
      </c>
      <c r="E731" t="s">
        <v>16</v>
      </c>
      <c r="F731">
        <v>17</v>
      </c>
      <c r="G731" t="s">
        <v>20</v>
      </c>
      <c r="H731" s="1">
        <v>45430</v>
      </c>
      <c r="I731" s="1">
        <v>45447</v>
      </c>
      <c r="J731" t="str">
        <f t="shared" si="11"/>
        <v>May-2024</v>
      </c>
    </row>
    <row r="732" spans="1:10">
      <c r="A732">
        <v>731</v>
      </c>
      <c r="B732">
        <v>17458</v>
      </c>
      <c r="C732" t="s">
        <v>18</v>
      </c>
      <c r="D732">
        <v>14094</v>
      </c>
      <c r="E732" t="s">
        <v>16</v>
      </c>
      <c r="F732">
        <v>15</v>
      </c>
      <c r="G732" t="s">
        <v>17</v>
      </c>
      <c r="H732" s="1">
        <v>45346</v>
      </c>
      <c r="I732" s="1">
        <v>45361</v>
      </c>
      <c r="J732" t="str">
        <f t="shared" si="11"/>
        <v>Feb-2024</v>
      </c>
    </row>
    <row r="733" spans="1:10">
      <c r="A733">
        <v>732</v>
      </c>
      <c r="B733">
        <v>11383</v>
      </c>
      <c r="C733" t="s">
        <v>18</v>
      </c>
      <c r="D733">
        <v>89307.81</v>
      </c>
      <c r="E733" t="s">
        <v>16</v>
      </c>
      <c r="F733">
        <v>42</v>
      </c>
      <c r="G733" t="s">
        <v>21</v>
      </c>
      <c r="H733" s="1">
        <v>45310</v>
      </c>
      <c r="I733" s="1">
        <v>45352</v>
      </c>
      <c r="J733" t="str">
        <f t="shared" si="11"/>
        <v>Jan-2024</v>
      </c>
    </row>
    <row r="734" spans="1:10">
      <c r="A734">
        <v>733</v>
      </c>
      <c r="B734">
        <v>11302</v>
      </c>
      <c r="C734" t="s">
        <v>23</v>
      </c>
      <c r="D734">
        <v>166351.92000000001</v>
      </c>
      <c r="E734" t="s">
        <v>19</v>
      </c>
      <c r="F734">
        <v>39</v>
      </c>
      <c r="G734" t="s">
        <v>21</v>
      </c>
      <c r="H734" s="1">
        <v>45639</v>
      </c>
      <c r="I734" s="1">
        <v>45678</v>
      </c>
      <c r="J734" t="str">
        <f t="shared" si="11"/>
        <v>Dec-2024</v>
      </c>
    </row>
    <row r="735" spans="1:10">
      <c r="A735">
        <v>734</v>
      </c>
      <c r="B735">
        <v>17118</v>
      </c>
      <c r="C735" t="s">
        <v>23</v>
      </c>
      <c r="D735">
        <v>9809.42</v>
      </c>
      <c r="E735" t="s">
        <v>16</v>
      </c>
      <c r="F735">
        <v>5</v>
      </c>
      <c r="G735" t="s">
        <v>20</v>
      </c>
      <c r="H735" s="1">
        <v>45637</v>
      </c>
      <c r="I735" s="1">
        <v>45642</v>
      </c>
      <c r="J735" t="str">
        <f t="shared" si="11"/>
        <v>Dec-2024</v>
      </c>
    </row>
    <row r="736" spans="1:10">
      <c r="A736">
        <v>735</v>
      </c>
      <c r="B736">
        <v>18868</v>
      </c>
      <c r="C736" t="s">
        <v>23</v>
      </c>
      <c r="D736">
        <v>136688.09</v>
      </c>
      <c r="E736" t="s">
        <v>16</v>
      </c>
      <c r="F736">
        <v>3</v>
      </c>
      <c r="G736" t="s">
        <v>25</v>
      </c>
      <c r="H736" s="1">
        <v>45558</v>
      </c>
      <c r="I736" s="1">
        <v>45561</v>
      </c>
      <c r="J736" t="str">
        <f t="shared" si="11"/>
        <v>Sep-2024</v>
      </c>
    </row>
    <row r="737" spans="1:10">
      <c r="A737">
        <v>736</v>
      </c>
      <c r="B737">
        <v>12564</v>
      </c>
      <c r="C737" t="s">
        <v>23</v>
      </c>
      <c r="D737">
        <v>186836.7</v>
      </c>
      <c r="E737" t="s">
        <v>16</v>
      </c>
      <c r="F737">
        <v>11</v>
      </c>
      <c r="G737" t="s">
        <v>17</v>
      </c>
      <c r="H737" s="1">
        <v>45433</v>
      </c>
      <c r="I737" s="1">
        <v>45444</v>
      </c>
      <c r="J737" t="str">
        <f t="shared" si="11"/>
        <v>May-2024</v>
      </c>
    </row>
    <row r="738" spans="1:10">
      <c r="A738">
        <v>737</v>
      </c>
      <c r="B738">
        <v>19755</v>
      </c>
      <c r="C738" t="s">
        <v>23</v>
      </c>
      <c r="D738">
        <v>51200.93</v>
      </c>
      <c r="E738" t="s">
        <v>19</v>
      </c>
      <c r="F738">
        <v>12</v>
      </c>
      <c r="G738" t="s">
        <v>20</v>
      </c>
      <c r="H738" s="1">
        <v>45607</v>
      </c>
      <c r="I738" s="1">
        <v>45619</v>
      </c>
      <c r="J738" t="str">
        <f t="shared" si="11"/>
        <v>Nov-2024</v>
      </c>
    </row>
    <row r="739" spans="1:10">
      <c r="A739">
        <v>738</v>
      </c>
      <c r="B739">
        <v>11260</v>
      </c>
      <c r="C739" t="s">
        <v>22</v>
      </c>
      <c r="D739">
        <v>140258.79</v>
      </c>
      <c r="E739" t="s">
        <v>19</v>
      </c>
      <c r="F739">
        <v>40</v>
      </c>
      <c r="G739" t="s">
        <v>21</v>
      </c>
      <c r="H739" s="1">
        <v>45455</v>
      </c>
      <c r="I739" s="1">
        <v>45495</v>
      </c>
      <c r="J739" t="str">
        <f t="shared" si="11"/>
        <v>Jun-2024</v>
      </c>
    </row>
    <row r="740" spans="1:10">
      <c r="A740">
        <v>739</v>
      </c>
      <c r="B740">
        <v>13203</v>
      </c>
      <c r="C740" t="s">
        <v>18</v>
      </c>
      <c r="D740">
        <v>195144.87</v>
      </c>
      <c r="E740" t="s">
        <v>16</v>
      </c>
      <c r="F740">
        <v>27</v>
      </c>
      <c r="G740" t="s">
        <v>21</v>
      </c>
      <c r="H740" s="1">
        <v>45543</v>
      </c>
      <c r="I740" s="1">
        <v>45570</v>
      </c>
      <c r="J740" t="str">
        <f t="shared" si="11"/>
        <v>Sep-2024</v>
      </c>
    </row>
    <row r="741" spans="1:10">
      <c r="A741">
        <v>740</v>
      </c>
      <c r="B741">
        <v>10357</v>
      </c>
      <c r="C741" t="s">
        <v>18</v>
      </c>
      <c r="D741">
        <v>192644.22</v>
      </c>
      <c r="E741" t="s">
        <v>16</v>
      </c>
      <c r="F741">
        <v>38</v>
      </c>
      <c r="G741" t="s">
        <v>20</v>
      </c>
      <c r="H741" s="1">
        <v>45523</v>
      </c>
      <c r="I741" s="1">
        <v>45561</v>
      </c>
      <c r="J741" t="str">
        <f t="shared" si="11"/>
        <v>Aug-2024</v>
      </c>
    </row>
    <row r="742" spans="1:10">
      <c r="A742">
        <v>741</v>
      </c>
      <c r="B742">
        <v>15404</v>
      </c>
      <c r="C742" t="s">
        <v>23</v>
      </c>
      <c r="D742">
        <v>50811.19</v>
      </c>
      <c r="E742" t="s">
        <v>19</v>
      </c>
      <c r="F742">
        <v>27</v>
      </c>
      <c r="G742" t="s">
        <v>17</v>
      </c>
      <c r="H742" s="1">
        <v>45588</v>
      </c>
      <c r="I742" s="1">
        <v>45615</v>
      </c>
      <c r="J742" t="str">
        <f t="shared" si="11"/>
        <v>Oct-2024</v>
      </c>
    </row>
    <row r="743" spans="1:10">
      <c r="A743">
        <v>742</v>
      </c>
      <c r="B743">
        <v>15412</v>
      </c>
      <c r="C743" t="s">
        <v>23</v>
      </c>
      <c r="D743">
        <v>24564.560000000001</v>
      </c>
      <c r="E743" t="s">
        <v>16</v>
      </c>
      <c r="F743">
        <v>5</v>
      </c>
      <c r="G743" t="s">
        <v>25</v>
      </c>
      <c r="H743" s="1">
        <v>45654</v>
      </c>
      <c r="I743" s="1">
        <v>45659</v>
      </c>
      <c r="J743" t="str">
        <f t="shared" si="11"/>
        <v>Dec-2024</v>
      </c>
    </row>
    <row r="744" spans="1:10">
      <c r="A744">
        <v>743</v>
      </c>
      <c r="B744">
        <v>13234</v>
      </c>
      <c r="C744" t="s">
        <v>18</v>
      </c>
      <c r="D744">
        <v>33915.089999999997</v>
      </c>
      <c r="E744" t="s">
        <v>16</v>
      </c>
      <c r="F744">
        <v>27</v>
      </c>
      <c r="G744" t="s">
        <v>25</v>
      </c>
      <c r="H744" s="1">
        <v>45351</v>
      </c>
      <c r="I744" s="1">
        <v>45378</v>
      </c>
      <c r="J744" t="str">
        <f t="shared" si="11"/>
        <v>Feb-2024</v>
      </c>
    </row>
    <row r="745" spans="1:10">
      <c r="A745">
        <v>744</v>
      </c>
      <c r="B745">
        <v>18083</v>
      </c>
      <c r="C745" t="s">
        <v>18</v>
      </c>
      <c r="D745">
        <v>141896.95999999999</v>
      </c>
      <c r="E745" t="s">
        <v>16</v>
      </c>
      <c r="F745">
        <v>39</v>
      </c>
      <c r="G745" t="s">
        <v>21</v>
      </c>
      <c r="H745" s="1">
        <v>45313</v>
      </c>
      <c r="I745" s="1">
        <v>45352</v>
      </c>
      <c r="J745" t="str">
        <f t="shared" si="11"/>
        <v>Jan-2024</v>
      </c>
    </row>
    <row r="746" spans="1:10">
      <c r="A746">
        <v>745</v>
      </c>
      <c r="B746">
        <v>10418</v>
      </c>
      <c r="C746" t="s">
        <v>18</v>
      </c>
      <c r="D746">
        <v>146522.98000000001</v>
      </c>
      <c r="E746" t="s">
        <v>16</v>
      </c>
      <c r="F746">
        <v>29</v>
      </c>
      <c r="G746" t="s">
        <v>17</v>
      </c>
      <c r="H746" s="1">
        <v>45417</v>
      </c>
      <c r="I746" s="1">
        <v>45446</v>
      </c>
      <c r="J746" t="str">
        <f t="shared" si="11"/>
        <v>May-2024</v>
      </c>
    </row>
    <row r="747" spans="1:10">
      <c r="A747">
        <v>746</v>
      </c>
      <c r="B747">
        <v>17906</v>
      </c>
      <c r="C747" t="s">
        <v>23</v>
      </c>
      <c r="D747">
        <v>136476.13</v>
      </c>
      <c r="E747" t="s">
        <v>16</v>
      </c>
      <c r="F747">
        <v>3</v>
      </c>
      <c r="G747" t="s">
        <v>25</v>
      </c>
      <c r="H747" s="1">
        <v>45394</v>
      </c>
      <c r="I747" s="1">
        <v>45397</v>
      </c>
      <c r="J747" t="str">
        <f t="shared" si="11"/>
        <v>Apr-2024</v>
      </c>
    </row>
    <row r="748" spans="1:10">
      <c r="A748">
        <v>747</v>
      </c>
      <c r="B748">
        <v>15587</v>
      </c>
      <c r="C748" t="s">
        <v>18</v>
      </c>
      <c r="D748">
        <v>70535.289999999994</v>
      </c>
      <c r="E748" t="s">
        <v>16</v>
      </c>
      <c r="F748">
        <v>3</v>
      </c>
      <c r="G748" t="s">
        <v>17</v>
      </c>
      <c r="H748" s="1">
        <v>45512</v>
      </c>
      <c r="I748" s="1">
        <v>45515</v>
      </c>
      <c r="J748" t="str">
        <f t="shared" si="11"/>
        <v>Aug-2024</v>
      </c>
    </row>
    <row r="749" spans="1:10">
      <c r="A749">
        <v>748</v>
      </c>
      <c r="B749">
        <v>13955</v>
      </c>
      <c r="C749" t="s">
        <v>23</v>
      </c>
      <c r="D749">
        <v>38106.5</v>
      </c>
      <c r="E749" t="s">
        <v>16</v>
      </c>
      <c r="F749">
        <v>17</v>
      </c>
      <c r="G749" t="s">
        <v>17</v>
      </c>
      <c r="H749" s="1">
        <v>45401</v>
      </c>
      <c r="I749" s="1">
        <v>45418</v>
      </c>
      <c r="J749" t="str">
        <f t="shared" si="11"/>
        <v>Apr-2024</v>
      </c>
    </row>
    <row r="750" spans="1:10">
      <c r="A750">
        <v>749</v>
      </c>
      <c r="B750">
        <v>11593</v>
      </c>
      <c r="C750" t="s">
        <v>15</v>
      </c>
      <c r="D750">
        <v>118248.41</v>
      </c>
      <c r="E750" t="s">
        <v>24</v>
      </c>
      <c r="G750" t="s">
        <v>21</v>
      </c>
      <c r="H750" s="1">
        <v>45349</v>
      </c>
      <c r="J750" t="str">
        <f t="shared" si="11"/>
        <v>Feb-2024</v>
      </c>
    </row>
    <row r="751" spans="1:10">
      <c r="A751">
        <v>750</v>
      </c>
      <c r="B751">
        <v>14602</v>
      </c>
      <c r="C751" t="s">
        <v>18</v>
      </c>
      <c r="D751">
        <v>99317.69</v>
      </c>
      <c r="E751" t="s">
        <v>19</v>
      </c>
      <c r="F751">
        <v>24</v>
      </c>
      <c r="G751" t="s">
        <v>25</v>
      </c>
      <c r="H751" s="1">
        <v>45356</v>
      </c>
      <c r="I751" s="1">
        <v>45380</v>
      </c>
      <c r="J751" t="str">
        <f t="shared" si="11"/>
        <v>Mar-2024</v>
      </c>
    </row>
    <row r="752" spans="1:10">
      <c r="A752">
        <v>751</v>
      </c>
      <c r="B752">
        <v>19577</v>
      </c>
      <c r="C752" t="s">
        <v>18</v>
      </c>
      <c r="D752">
        <v>147122.66</v>
      </c>
      <c r="E752" t="s">
        <v>24</v>
      </c>
      <c r="G752" t="s">
        <v>20</v>
      </c>
      <c r="H752" s="1">
        <v>45349</v>
      </c>
      <c r="J752" t="str">
        <f t="shared" si="11"/>
        <v>Feb-2024</v>
      </c>
    </row>
    <row r="753" spans="1:10">
      <c r="A753">
        <v>752</v>
      </c>
      <c r="B753">
        <v>10244</v>
      </c>
      <c r="C753" t="s">
        <v>23</v>
      </c>
      <c r="D753">
        <v>91065.22</v>
      </c>
      <c r="E753" t="s">
        <v>24</v>
      </c>
      <c r="G753" t="s">
        <v>21</v>
      </c>
      <c r="H753" s="1">
        <v>45449</v>
      </c>
      <c r="J753" t="str">
        <f t="shared" si="11"/>
        <v>Jun-2024</v>
      </c>
    </row>
    <row r="754" spans="1:10">
      <c r="A754">
        <v>753</v>
      </c>
      <c r="B754">
        <v>14572</v>
      </c>
      <c r="C754" t="s">
        <v>18</v>
      </c>
      <c r="D754">
        <v>71034.740000000005</v>
      </c>
      <c r="E754" t="s">
        <v>16</v>
      </c>
      <c r="F754">
        <v>40</v>
      </c>
      <c r="G754" t="s">
        <v>25</v>
      </c>
      <c r="H754" s="1">
        <v>45367</v>
      </c>
      <c r="I754" s="1">
        <v>45407</v>
      </c>
      <c r="J754" t="str">
        <f t="shared" si="11"/>
        <v>Mar-2024</v>
      </c>
    </row>
    <row r="755" spans="1:10">
      <c r="A755">
        <v>754</v>
      </c>
      <c r="B755">
        <v>10614</v>
      </c>
      <c r="C755" t="s">
        <v>23</v>
      </c>
      <c r="D755">
        <v>62228.32</v>
      </c>
      <c r="E755" t="s">
        <v>16</v>
      </c>
      <c r="F755">
        <v>26</v>
      </c>
      <c r="G755" t="s">
        <v>25</v>
      </c>
      <c r="H755" s="1">
        <v>45310</v>
      </c>
      <c r="I755" s="1">
        <v>45336</v>
      </c>
      <c r="J755" t="str">
        <f t="shared" si="11"/>
        <v>Jan-2024</v>
      </c>
    </row>
    <row r="756" spans="1:10">
      <c r="A756">
        <v>755</v>
      </c>
      <c r="B756">
        <v>10249</v>
      </c>
      <c r="C756" t="s">
        <v>23</v>
      </c>
      <c r="D756">
        <v>46236.71</v>
      </c>
      <c r="E756" t="s">
        <v>16</v>
      </c>
      <c r="F756">
        <v>38</v>
      </c>
      <c r="G756" t="s">
        <v>25</v>
      </c>
      <c r="H756" s="1">
        <v>45481</v>
      </c>
      <c r="I756" s="1">
        <v>45519</v>
      </c>
      <c r="J756" t="str">
        <f t="shared" si="11"/>
        <v>Jul-2024</v>
      </c>
    </row>
    <row r="757" spans="1:10">
      <c r="A757">
        <v>756</v>
      </c>
      <c r="B757">
        <v>16620</v>
      </c>
      <c r="C757" t="s">
        <v>23</v>
      </c>
      <c r="D757">
        <v>56820.54</v>
      </c>
      <c r="E757" t="s">
        <v>19</v>
      </c>
      <c r="F757">
        <v>14</v>
      </c>
      <c r="G757" t="s">
        <v>25</v>
      </c>
      <c r="H757" s="1">
        <v>45541</v>
      </c>
      <c r="I757" s="1">
        <v>45555</v>
      </c>
      <c r="J757" t="str">
        <f t="shared" si="11"/>
        <v>Sep-2024</v>
      </c>
    </row>
    <row r="758" spans="1:10">
      <c r="A758">
        <v>757</v>
      </c>
      <c r="B758">
        <v>19787</v>
      </c>
      <c r="C758" t="s">
        <v>18</v>
      </c>
      <c r="D758">
        <v>23491.94</v>
      </c>
      <c r="E758" t="s">
        <v>16</v>
      </c>
      <c r="F758">
        <v>16</v>
      </c>
      <c r="G758" t="s">
        <v>25</v>
      </c>
      <c r="H758" s="1">
        <v>45651</v>
      </c>
      <c r="I758" s="1">
        <v>45667</v>
      </c>
      <c r="J758" t="str">
        <f t="shared" si="11"/>
        <v>Dec-2024</v>
      </c>
    </row>
    <row r="759" spans="1:10">
      <c r="A759">
        <v>758</v>
      </c>
      <c r="B759">
        <v>15869</v>
      </c>
      <c r="C759" t="s">
        <v>23</v>
      </c>
      <c r="D759">
        <v>72637.119999999995</v>
      </c>
      <c r="E759" t="s">
        <v>24</v>
      </c>
      <c r="G759" t="s">
        <v>17</v>
      </c>
      <c r="H759" s="1">
        <v>45654</v>
      </c>
      <c r="J759" t="str">
        <f t="shared" si="11"/>
        <v>Dec-2024</v>
      </c>
    </row>
    <row r="760" spans="1:10">
      <c r="A760">
        <v>759</v>
      </c>
      <c r="B760">
        <v>15971</v>
      </c>
      <c r="C760" t="s">
        <v>23</v>
      </c>
      <c r="D760">
        <v>12131.11</v>
      </c>
      <c r="E760" t="s">
        <v>16</v>
      </c>
      <c r="F760">
        <v>4</v>
      </c>
      <c r="G760" t="s">
        <v>21</v>
      </c>
      <c r="H760" s="1">
        <v>45370</v>
      </c>
      <c r="I760" s="1">
        <v>45374</v>
      </c>
      <c r="J760" t="str">
        <f t="shared" si="11"/>
        <v>Mar-2024</v>
      </c>
    </row>
    <row r="761" spans="1:10">
      <c r="A761">
        <v>760</v>
      </c>
      <c r="B761">
        <v>10510</v>
      </c>
      <c r="C761" t="s">
        <v>15</v>
      </c>
      <c r="D761">
        <v>41350.699999999997</v>
      </c>
      <c r="E761" t="s">
        <v>19</v>
      </c>
      <c r="F761">
        <v>24</v>
      </c>
      <c r="G761" t="s">
        <v>17</v>
      </c>
      <c r="H761" s="1">
        <v>45375</v>
      </c>
      <c r="I761" s="1">
        <v>45399</v>
      </c>
      <c r="J761" t="str">
        <f t="shared" si="11"/>
        <v>Mar-2024</v>
      </c>
    </row>
    <row r="762" spans="1:10">
      <c r="A762">
        <v>761</v>
      </c>
      <c r="B762">
        <v>15968</v>
      </c>
      <c r="C762" t="s">
        <v>23</v>
      </c>
      <c r="D762">
        <v>150620.24</v>
      </c>
      <c r="E762" t="s">
        <v>16</v>
      </c>
      <c r="F762">
        <v>5</v>
      </c>
      <c r="G762" t="s">
        <v>20</v>
      </c>
      <c r="H762" s="1">
        <v>45463</v>
      </c>
      <c r="I762" s="1">
        <v>45468</v>
      </c>
      <c r="J762" t="str">
        <f t="shared" si="11"/>
        <v>Jun-2024</v>
      </c>
    </row>
    <row r="763" spans="1:10">
      <c r="A763">
        <v>762</v>
      </c>
      <c r="B763">
        <v>14869</v>
      </c>
      <c r="C763" t="s">
        <v>18</v>
      </c>
      <c r="D763">
        <v>68466.45</v>
      </c>
      <c r="E763" t="s">
        <v>16</v>
      </c>
      <c r="F763">
        <v>4</v>
      </c>
      <c r="G763" t="s">
        <v>25</v>
      </c>
      <c r="H763" s="1">
        <v>45503</v>
      </c>
      <c r="I763" s="1">
        <v>45507</v>
      </c>
      <c r="J763" t="str">
        <f t="shared" si="11"/>
        <v>Jul-2024</v>
      </c>
    </row>
    <row r="764" spans="1:10">
      <c r="A764">
        <v>763</v>
      </c>
      <c r="B764">
        <v>19557</v>
      </c>
      <c r="C764" t="s">
        <v>23</v>
      </c>
      <c r="D764">
        <v>135306.22</v>
      </c>
      <c r="E764" t="s">
        <v>19</v>
      </c>
      <c r="F764">
        <v>40</v>
      </c>
      <c r="G764" t="s">
        <v>21</v>
      </c>
      <c r="H764" s="1">
        <v>45440</v>
      </c>
      <c r="I764" s="1">
        <v>45480</v>
      </c>
      <c r="J764" t="str">
        <f t="shared" si="11"/>
        <v>May-2024</v>
      </c>
    </row>
    <row r="765" spans="1:10">
      <c r="A765">
        <v>764</v>
      </c>
      <c r="B765">
        <v>17505</v>
      </c>
      <c r="C765" t="s">
        <v>23</v>
      </c>
      <c r="D765">
        <v>144792.41</v>
      </c>
      <c r="E765" t="s">
        <v>16</v>
      </c>
      <c r="F765">
        <v>9</v>
      </c>
      <c r="G765" t="s">
        <v>25</v>
      </c>
      <c r="H765" s="1">
        <v>45301</v>
      </c>
      <c r="I765" s="1">
        <v>45310</v>
      </c>
      <c r="J765" t="str">
        <f t="shared" si="11"/>
        <v>Jan-2024</v>
      </c>
    </row>
    <row r="766" spans="1:10">
      <c r="A766">
        <v>765</v>
      </c>
      <c r="B766">
        <v>17647</v>
      </c>
      <c r="C766" t="s">
        <v>18</v>
      </c>
      <c r="D766">
        <v>118331.14</v>
      </c>
      <c r="E766" t="s">
        <v>19</v>
      </c>
      <c r="F766">
        <v>44</v>
      </c>
      <c r="G766" t="s">
        <v>21</v>
      </c>
      <c r="H766" s="1">
        <v>45321</v>
      </c>
      <c r="I766" s="1">
        <v>45365</v>
      </c>
      <c r="J766" t="str">
        <f t="shared" si="11"/>
        <v>Jan-2024</v>
      </c>
    </row>
    <row r="767" spans="1:10">
      <c r="A767">
        <v>766</v>
      </c>
      <c r="B767">
        <v>19115</v>
      </c>
      <c r="C767" t="s">
        <v>23</v>
      </c>
      <c r="D767">
        <v>191946.06</v>
      </c>
      <c r="E767" t="s">
        <v>16</v>
      </c>
      <c r="F767">
        <v>26</v>
      </c>
      <c r="G767" t="s">
        <v>17</v>
      </c>
      <c r="H767" s="1">
        <v>45571</v>
      </c>
      <c r="I767" s="1">
        <v>45597</v>
      </c>
      <c r="J767" t="str">
        <f t="shared" si="11"/>
        <v>Oct-2024</v>
      </c>
    </row>
    <row r="768" spans="1:10">
      <c r="A768">
        <v>767</v>
      </c>
      <c r="B768">
        <v>10073</v>
      </c>
      <c r="C768" t="s">
        <v>23</v>
      </c>
      <c r="D768">
        <v>9180.77</v>
      </c>
      <c r="E768" t="s">
        <v>16</v>
      </c>
      <c r="F768">
        <v>42</v>
      </c>
      <c r="G768" t="s">
        <v>21</v>
      </c>
      <c r="H768" s="1">
        <v>45346</v>
      </c>
      <c r="I768" s="1">
        <v>45388</v>
      </c>
      <c r="J768" t="str">
        <f t="shared" si="11"/>
        <v>Feb-2024</v>
      </c>
    </row>
    <row r="769" spans="1:10">
      <c r="A769">
        <v>768</v>
      </c>
      <c r="B769">
        <v>19000</v>
      </c>
      <c r="C769" t="s">
        <v>18</v>
      </c>
      <c r="D769">
        <v>149037.26999999999</v>
      </c>
      <c r="E769" t="s">
        <v>16</v>
      </c>
      <c r="F769">
        <v>13</v>
      </c>
      <c r="G769" t="s">
        <v>20</v>
      </c>
      <c r="H769" s="1">
        <v>45651</v>
      </c>
      <c r="I769" s="1">
        <v>45664</v>
      </c>
      <c r="J769" t="str">
        <f t="shared" si="11"/>
        <v>Dec-2024</v>
      </c>
    </row>
    <row r="770" spans="1:10">
      <c r="A770">
        <v>769</v>
      </c>
      <c r="B770">
        <v>12878</v>
      </c>
      <c r="C770" t="s">
        <v>18</v>
      </c>
      <c r="D770">
        <v>191963.4</v>
      </c>
      <c r="E770" t="s">
        <v>16</v>
      </c>
      <c r="F770">
        <v>6</v>
      </c>
      <c r="G770" t="s">
        <v>20</v>
      </c>
      <c r="H770" s="1">
        <v>45418</v>
      </c>
      <c r="I770" s="1">
        <v>45424</v>
      </c>
      <c r="J770" t="str">
        <f t="shared" si="11"/>
        <v>May-2024</v>
      </c>
    </row>
    <row r="771" spans="1:10">
      <c r="A771">
        <v>770</v>
      </c>
      <c r="B771">
        <v>15141</v>
      </c>
      <c r="C771" t="s">
        <v>18</v>
      </c>
      <c r="D771">
        <v>173142.99</v>
      </c>
      <c r="E771" t="s">
        <v>16</v>
      </c>
      <c r="F771">
        <v>34</v>
      </c>
      <c r="G771" t="s">
        <v>21</v>
      </c>
      <c r="H771" s="1">
        <v>45471</v>
      </c>
      <c r="I771" s="1">
        <v>45505</v>
      </c>
      <c r="J771" t="str">
        <f t="shared" ref="J771:J834" si="12">TEXT(H771,"mmm-yyyy")</f>
        <v>Jun-2024</v>
      </c>
    </row>
    <row r="772" spans="1:10">
      <c r="A772">
        <v>771</v>
      </c>
      <c r="B772">
        <v>12126</v>
      </c>
      <c r="C772" t="s">
        <v>23</v>
      </c>
      <c r="D772">
        <v>37739.07</v>
      </c>
      <c r="E772" t="s">
        <v>16</v>
      </c>
      <c r="F772">
        <v>26</v>
      </c>
      <c r="G772" t="s">
        <v>21</v>
      </c>
      <c r="H772" s="1">
        <v>45523</v>
      </c>
      <c r="I772" s="1">
        <v>45549</v>
      </c>
      <c r="J772" t="str">
        <f t="shared" si="12"/>
        <v>Aug-2024</v>
      </c>
    </row>
    <row r="773" spans="1:10">
      <c r="A773">
        <v>772</v>
      </c>
      <c r="B773">
        <v>12204</v>
      </c>
      <c r="C773" t="s">
        <v>23</v>
      </c>
      <c r="D773">
        <v>68729.960000000006</v>
      </c>
      <c r="E773" t="s">
        <v>16</v>
      </c>
      <c r="F773">
        <v>26</v>
      </c>
      <c r="G773" t="s">
        <v>21</v>
      </c>
      <c r="H773" s="1">
        <v>45384</v>
      </c>
      <c r="I773" s="1">
        <v>45410</v>
      </c>
      <c r="J773" t="str">
        <f t="shared" si="12"/>
        <v>Apr-2024</v>
      </c>
    </row>
    <row r="774" spans="1:10">
      <c r="A774">
        <v>773</v>
      </c>
      <c r="B774">
        <v>16470</v>
      </c>
      <c r="C774" t="s">
        <v>18</v>
      </c>
      <c r="D774">
        <v>38628.11</v>
      </c>
      <c r="E774" t="s">
        <v>16</v>
      </c>
      <c r="F774">
        <v>36</v>
      </c>
      <c r="G774" t="s">
        <v>21</v>
      </c>
      <c r="H774" s="1">
        <v>45299</v>
      </c>
      <c r="I774" s="1">
        <v>45335</v>
      </c>
      <c r="J774" t="str">
        <f t="shared" si="12"/>
        <v>Jan-2024</v>
      </c>
    </row>
    <row r="775" spans="1:10">
      <c r="A775">
        <v>774</v>
      </c>
      <c r="B775">
        <v>13679</v>
      </c>
      <c r="C775" t="s">
        <v>18</v>
      </c>
      <c r="D775">
        <v>122255.13</v>
      </c>
      <c r="E775" t="s">
        <v>16</v>
      </c>
      <c r="F775">
        <v>16</v>
      </c>
      <c r="G775" t="s">
        <v>20</v>
      </c>
      <c r="H775" s="1">
        <v>45538</v>
      </c>
      <c r="I775" s="1">
        <v>45554</v>
      </c>
      <c r="J775" t="str">
        <f t="shared" si="12"/>
        <v>Sep-2024</v>
      </c>
    </row>
    <row r="776" spans="1:10">
      <c r="A776">
        <v>775</v>
      </c>
      <c r="B776">
        <v>18089</v>
      </c>
      <c r="C776" t="s">
        <v>15</v>
      </c>
      <c r="D776">
        <v>143876.66</v>
      </c>
      <c r="E776" t="s">
        <v>16</v>
      </c>
      <c r="F776">
        <v>43</v>
      </c>
      <c r="G776" t="s">
        <v>25</v>
      </c>
      <c r="H776" s="1">
        <v>45622</v>
      </c>
      <c r="I776" s="1">
        <v>45665</v>
      </c>
      <c r="J776" t="str">
        <f t="shared" si="12"/>
        <v>Nov-2024</v>
      </c>
    </row>
    <row r="777" spans="1:10">
      <c r="A777">
        <v>776</v>
      </c>
      <c r="B777">
        <v>10984</v>
      </c>
      <c r="C777" t="s">
        <v>15</v>
      </c>
      <c r="D777">
        <v>66829.39</v>
      </c>
      <c r="E777" t="s">
        <v>19</v>
      </c>
      <c r="F777">
        <v>27</v>
      </c>
      <c r="G777" t="s">
        <v>21</v>
      </c>
      <c r="H777" s="1">
        <v>45487</v>
      </c>
      <c r="I777" s="1">
        <v>45514</v>
      </c>
      <c r="J777" t="str">
        <f t="shared" si="12"/>
        <v>Jul-2024</v>
      </c>
    </row>
    <row r="778" spans="1:10">
      <c r="A778">
        <v>777</v>
      </c>
      <c r="B778">
        <v>11298</v>
      </c>
      <c r="C778" t="s">
        <v>15</v>
      </c>
      <c r="D778">
        <v>110203.78</v>
      </c>
      <c r="E778" t="s">
        <v>16</v>
      </c>
      <c r="F778">
        <v>11</v>
      </c>
      <c r="G778" t="s">
        <v>21</v>
      </c>
      <c r="H778" s="1">
        <v>45454</v>
      </c>
      <c r="I778" s="1">
        <v>45465</v>
      </c>
      <c r="J778" t="str">
        <f t="shared" si="12"/>
        <v>Jun-2024</v>
      </c>
    </row>
    <row r="779" spans="1:10">
      <c r="A779">
        <v>778</v>
      </c>
      <c r="B779">
        <v>17548</v>
      </c>
      <c r="C779" t="s">
        <v>23</v>
      </c>
      <c r="D779">
        <v>139729.51</v>
      </c>
      <c r="E779" t="s">
        <v>16</v>
      </c>
      <c r="F779">
        <v>25</v>
      </c>
      <c r="G779" t="s">
        <v>20</v>
      </c>
      <c r="H779" s="1">
        <v>45331</v>
      </c>
      <c r="I779" s="1">
        <v>45356</v>
      </c>
      <c r="J779" t="str">
        <f t="shared" si="12"/>
        <v>Feb-2024</v>
      </c>
    </row>
    <row r="780" spans="1:10">
      <c r="A780">
        <v>779</v>
      </c>
      <c r="B780">
        <v>17187</v>
      </c>
      <c r="C780" t="s">
        <v>23</v>
      </c>
      <c r="D780">
        <v>87161.26</v>
      </c>
      <c r="E780" t="s">
        <v>16</v>
      </c>
      <c r="F780">
        <v>36</v>
      </c>
      <c r="G780" t="s">
        <v>20</v>
      </c>
      <c r="H780" s="1">
        <v>45545</v>
      </c>
      <c r="I780" s="1">
        <v>45581</v>
      </c>
      <c r="J780" t="str">
        <f t="shared" si="12"/>
        <v>Sep-2024</v>
      </c>
    </row>
    <row r="781" spans="1:10">
      <c r="A781">
        <v>780</v>
      </c>
      <c r="B781">
        <v>13955</v>
      </c>
      <c r="C781" t="s">
        <v>18</v>
      </c>
      <c r="D781">
        <v>171533.03</v>
      </c>
      <c r="E781" t="s">
        <v>16</v>
      </c>
      <c r="F781">
        <v>30</v>
      </c>
      <c r="G781" t="s">
        <v>17</v>
      </c>
      <c r="H781" s="1">
        <v>45376</v>
      </c>
      <c r="I781" s="1">
        <v>45406</v>
      </c>
      <c r="J781" t="str">
        <f t="shared" si="12"/>
        <v>Mar-2024</v>
      </c>
    </row>
    <row r="782" spans="1:10">
      <c r="A782">
        <v>781</v>
      </c>
      <c r="B782">
        <v>15713</v>
      </c>
      <c r="C782" t="s">
        <v>23</v>
      </c>
      <c r="D782">
        <v>155452.24</v>
      </c>
      <c r="E782" t="s">
        <v>16</v>
      </c>
      <c r="F782">
        <v>39</v>
      </c>
      <c r="G782" t="s">
        <v>21</v>
      </c>
      <c r="H782" s="1">
        <v>45563</v>
      </c>
      <c r="I782" s="1">
        <v>45602</v>
      </c>
      <c r="J782" t="str">
        <f t="shared" si="12"/>
        <v>Sep-2024</v>
      </c>
    </row>
    <row r="783" spans="1:10">
      <c r="A783">
        <v>782</v>
      </c>
      <c r="B783">
        <v>13687</v>
      </c>
      <c r="C783" t="s">
        <v>23</v>
      </c>
      <c r="D783">
        <v>17609.78</v>
      </c>
      <c r="E783" t="s">
        <v>24</v>
      </c>
      <c r="G783" t="s">
        <v>17</v>
      </c>
      <c r="H783" s="1">
        <v>45369</v>
      </c>
      <c r="J783" t="str">
        <f t="shared" si="12"/>
        <v>Mar-2024</v>
      </c>
    </row>
    <row r="784" spans="1:10">
      <c r="A784">
        <v>783</v>
      </c>
      <c r="B784">
        <v>13045</v>
      </c>
      <c r="C784" t="s">
        <v>15</v>
      </c>
      <c r="D784">
        <v>126119.43</v>
      </c>
      <c r="E784" t="s">
        <v>19</v>
      </c>
      <c r="F784">
        <v>25</v>
      </c>
      <c r="G784" t="s">
        <v>20</v>
      </c>
      <c r="H784" s="1">
        <v>45504</v>
      </c>
      <c r="I784" s="1">
        <v>45529</v>
      </c>
      <c r="J784" t="str">
        <f t="shared" si="12"/>
        <v>Jul-2024</v>
      </c>
    </row>
    <row r="785" spans="1:10">
      <c r="A785">
        <v>784</v>
      </c>
      <c r="B785">
        <v>19051</v>
      </c>
      <c r="C785" t="s">
        <v>15</v>
      </c>
      <c r="D785">
        <v>50888.480000000003</v>
      </c>
      <c r="E785" t="s">
        <v>16</v>
      </c>
      <c r="F785">
        <v>20</v>
      </c>
      <c r="G785" t="s">
        <v>20</v>
      </c>
      <c r="H785" s="1">
        <v>45595</v>
      </c>
      <c r="I785" s="1">
        <v>45615</v>
      </c>
      <c r="J785" t="str">
        <f t="shared" si="12"/>
        <v>Oct-2024</v>
      </c>
    </row>
    <row r="786" spans="1:10">
      <c r="A786">
        <v>785</v>
      </c>
      <c r="B786">
        <v>16716</v>
      </c>
      <c r="C786" t="s">
        <v>23</v>
      </c>
      <c r="D786">
        <v>113716.06</v>
      </c>
      <c r="E786" t="s">
        <v>16</v>
      </c>
      <c r="F786">
        <v>10</v>
      </c>
      <c r="G786" t="s">
        <v>25</v>
      </c>
      <c r="H786" s="1">
        <v>45546</v>
      </c>
      <c r="I786" s="1">
        <v>45556</v>
      </c>
      <c r="J786" t="str">
        <f t="shared" si="12"/>
        <v>Sep-2024</v>
      </c>
    </row>
    <row r="787" spans="1:10">
      <c r="A787">
        <v>786</v>
      </c>
      <c r="B787">
        <v>12085</v>
      </c>
      <c r="C787" t="s">
        <v>23</v>
      </c>
      <c r="D787">
        <v>191593.25</v>
      </c>
      <c r="E787" t="s">
        <v>19</v>
      </c>
      <c r="F787">
        <v>27</v>
      </c>
      <c r="G787" t="s">
        <v>21</v>
      </c>
      <c r="H787" s="1">
        <v>45382</v>
      </c>
      <c r="I787" s="1">
        <v>45409</v>
      </c>
      <c r="J787" t="str">
        <f t="shared" si="12"/>
        <v>Mar-2024</v>
      </c>
    </row>
    <row r="788" spans="1:10">
      <c r="A788">
        <v>787</v>
      </c>
      <c r="B788">
        <v>16533</v>
      </c>
      <c r="C788" t="s">
        <v>23</v>
      </c>
      <c r="D788">
        <v>176417.09</v>
      </c>
      <c r="E788" t="s">
        <v>16</v>
      </c>
      <c r="F788">
        <v>26</v>
      </c>
      <c r="G788" t="s">
        <v>17</v>
      </c>
      <c r="H788" s="1">
        <v>45484</v>
      </c>
      <c r="I788" s="1">
        <v>45510</v>
      </c>
      <c r="J788" t="str">
        <f t="shared" si="12"/>
        <v>Jul-2024</v>
      </c>
    </row>
    <row r="789" spans="1:10">
      <c r="A789">
        <v>788</v>
      </c>
      <c r="B789">
        <v>12727</v>
      </c>
      <c r="C789" t="s">
        <v>15</v>
      </c>
      <c r="D789">
        <v>83880.7</v>
      </c>
      <c r="E789" t="s">
        <v>16</v>
      </c>
      <c r="F789">
        <v>36</v>
      </c>
      <c r="G789" t="s">
        <v>20</v>
      </c>
      <c r="H789" s="1">
        <v>45544</v>
      </c>
      <c r="I789" s="1">
        <v>45580</v>
      </c>
      <c r="J789" t="str">
        <f t="shared" si="12"/>
        <v>Sep-2024</v>
      </c>
    </row>
    <row r="790" spans="1:10">
      <c r="A790">
        <v>789</v>
      </c>
      <c r="B790">
        <v>10376</v>
      </c>
      <c r="C790" t="s">
        <v>22</v>
      </c>
      <c r="D790">
        <v>61845.2</v>
      </c>
      <c r="E790" t="s">
        <v>16</v>
      </c>
      <c r="F790">
        <v>37</v>
      </c>
      <c r="G790" t="s">
        <v>20</v>
      </c>
      <c r="H790" s="1">
        <v>45569</v>
      </c>
      <c r="I790" s="1">
        <v>45606</v>
      </c>
      <c r="J790" t="str">
        <f t="shared" si="12"/>
        <v>Oct-2024</v>
      </c>
    </row>
    <row r="791" spans="1:10">
      <c r="A791">
        <v>790</v>
      </c>
      <c r="B791">
        <v>16992</v>
      </c>
      <c r="C791" t="s">
        <v>23</v>
      </c>
      <c r="D791">
        <v>50709.120000000003</v>
      </c>
      <c r="E791" t="s">
        <v>16</v>
      </c>
      <c r="F791">
        <v>15</v>
      </c>
      <c r="G791" t="s">
        <v>17</v>
      </c>
      <c r="H791" s="1">
        <v>45434</v>
      </c>
      <c r="I791" s="1">
        <v>45449</v>
      </c>
      <c r="J791" t="str">
        <f t="shared" si="12"/>
        <v>May-2024</v>
      </c>
    </row>
    <row r="792" spans="1:10">
      <c r="A792">
        <v>791</v>
      </c>
      <c r="B792">
        <v>15700</v>
      </c>
      <c r="C792" t="s">
        <v>23</v>
      </c>
      <c r="D792">
        <v>108840.4</v>
      </c>
      <c r="E792" t="s">
        <v>24</v>
      </c>
      <c r="G792" t="s">
        <v>25</v>
      </c>
      <c r="H792" s="1">
        <v>45535</v>
      </c>
      <c r="J792" t="str">
        <f t="shared" si="12"/>
        <v>Aug-2024</v>
      </c>
    </row>
    <row r="793" spans="1:10">
      <c r="A793">
        <v>792</v>
      </c>
      <c r="B793">
        <v>14690</v>
      </c>
      <c r="C793" t="s">
        <v>15</v>
      </c>
      <c r="D793">
        <v>27278.45</v>
      </c>
      <c r="E793" t="s">
        <v>16</v>
      </c>
      <c r="F793">
        <v>33</v>
      </c>
      <c r="G793" t="s">
        <v>20</v>
      </c>
      <c r="H793" s="1">
        <v>45503</v>
      </c>
      <c r="I793" s="1">
        <v>45536</v>
      </c>
      <c r="J793" t="str">
        <f t="shared" si="12"/>
        <v>Jul-2024</v>
      </c>
    </row>
    <row r="794" spans="1:10">
      <c r="A794">
        <v>793</v>
      </c>
      <c r="B794">
        <v>12794</v>
      </c>
      <c r="C794" t="s">
        <v>23</v>
      </c>
      <c r="D794">
        <v>112108.63</v>
      </c>
      <c r="E794" t="s">
        <v>16</v>
      </c>
      <c r="F794">
        <v>27</v>
      </c>
      <c r="G794" t="s">
        <v>21</v>
      </c>
      <c r="H794" s="1">
        <v>45486</v>
      </c>
      <c r="I794" s="1">
        <v>45513</v>
      </c>
      <c r="J794" t="str">
        <f t="shared" si="12"/>
        <v>Jul-2024</v>
      </c>
    </row>
    <row r="795" spans="1:10">
      <c r="A795">
        <v>794</v>
      </c>
      <c r="B795">
        <v>11065</v>
      </c>
      <c r="C795" t="s">
        <v>18</v>
      </c>
      <c r="D795">
        <v>5260.06</v>
      </c>
      <c r="E795" t="s">
        <v>16</v>
      </c>
      <c r="F795">
        <v>16</v>
      </c>
      <c r="G795" t="s">
        <v>20</v>
      </c>
      <c r="H795" s="1">
        <v>45561</v>
      </c>
      <c r="I795" s="1">
        <v>45577</v>
      </c>
      <c r="J795" t="str">
        <f t="shared" si="12"/>
        <v>Sep-2024</v>
      </c>
    </row>
    <row r="796" spans="1:10">
      <c r="A796">
        <v>795</v>
      </c>
      <c r="B796">
        <v>13682</v>
      </c>
      <c r="C796" t="s">
        <v>22</v>
      </c>
      <c r="D796">
        <v>68150.679999999993</v>
      </c>
      <c r="E796" t="s">
        <v>19</v>
      </c>
      <c r="F796">
        <v>32</v>
      </c>
      <c r="G796" t="s">
        <v>21</v>
      </c>
      <c r="H796" s="1">
        <v>45620</v>
      </c>
      <c r="I796" s="1">
        <v>45652</v>
      </c>
      <c r="J796" t="str">
        <f t="shared" si="12"/>
        <v>Nov-2024</v>
      </c>
    </row>
    <row r="797" spans="1:10">
      <c r="A797">
        <v>796</v>
      </c>
      <c r="B797">
        <v>17637</v>
      </c>
      <c r="C797" t="s">
        <v>23</v>
      </c>
      <c r="D797">
        <v>47887.19</v>
      </c>
      <c r="E797" t="s">
        <v>19</v>
      </c>
      <c r="F797">
        <v>38</v>
      </c>
      <c r="G797" t="s">
        <v>17</v>
      </c>
      <c r="H797" s="1">
        <v>45310</v>
      </c>
      <c r="I797" s="1">
        <v>45348</v>
      </c>
      <c r="J797" t="str">
        <f t="shared" si="12"/>
        <v>Jan-2024</v>
      </c>
    </row>
    <row r="798" spans="1:10">
      <c r="A798">
        <v>797</v>
      </c>
      <c r="B798">
        <v>11051</v>
      </c>
      <c r="C798" t="s">
        <v>18</v>
      </c>
      <c r="D798">
        <v>194387.66</v>
      </c>
      <c r="E798" t="s">
        <v>16</v>
      </c>
      <c r="F798">
        <v>39</v>
      </c>
      <c r="G798" t="s">
        <v>21</v>
      </c>
      <c r="H798" s="1">
        <v>45331</v>
      </c>
      <c r="I798" s="1">
        <v>45370</v>
      </c>
      <c r="J798" t="str">
        <f t="shared" si="12"/>
        <v>Feb-2024</v>
      </c>
    </row>
    <row r="799" spans="1:10">
      <c r="A799">
        <v>798</v>
      </c>
      <c r="B799">
        <v>18820</v>
      </c>
      <c r="C799" t="s">
        <v>23</v>
      </c>
      <c r="D799">
        <v>146812.25</v>
      </c>
      <c r="E799" t="s">
        <v>16</v>
      </c>
      <c r="F799">
        <v>38</v>
      </c>
      <c r="G799" t="s">
        <v>17</v>
      </c>
      <c r="H799" s="1">
        <v>45389</v>
      </c>
      <c r="I799" s="1">
        <v>45427</v>
      </c>
      <c r="J799" t="str">
        <f t="shared" si="12"/>
        <v>Apr-2024</v>
      </c>
    </row>
    <row r="800" spans="1:10">
      <c r="A800">
        <v>799</v>
      </c>
      <c r="B800">
        <v>18080</v>
      </c>
      <c r="C800" t="s">
        <v>23</v>
      </c>
      <c r="D800">
        <v>73182.41</v>
      </c>
      <c r="E800" t="s">
        <v>16</v>
      </c>
      <c r="F800">
        <v>20</v>
      </c>
      <c r="G800" t="s">
        <v>21</v>
      </c>
      <c r="H800" s="1">
        <v>45295</v>
      </c>
      <c r="I800" s="1">
        <v>45315</v>
      </c>
      <c r="J800" t="str">
        <f t="shared" si="12"/>
        <v>Jan-2024</v>
      </c>
    </row>
    <row r="801" spans="1:10">
      <c r="A801">
        <v>800</v>
      </c>
      <c r="B801">
        <v>12373</v>
      </c>
      <c r="C801" t="s">
        <v>15</v>
      </c>
      <c r="D801">
        <v>23104.79</v>
      </c>
      <c r="E801" t="s">
        <v>19</v>
      </c>
      <c r="F801">
        <v>15</v>
      </c>
      <c r="G801" t="s">
        <v>17</v>
      </c>
      <c r="H801" s="1">
        <v>45324</v>
      </c>
      <c r="I801" s="1">
        <v>45339</v>
      </c>
      <c r="J801" t="str">
        <f t="shared" si="12"/>
        <v>Feb-2024</v>
      </c>
    </row>
    <row r="802" spans="1:10">
      <c r="A802">
        <v>801</v>
      </c>
      <c r="B802">
        <v>16762</v>
      </c>
      <c r="C802" t="s">
        <v>23</v>
      </c>
      <c r="D802">
        <v>105776.12</v>
      </c>
      <c r="E802" t="s">
        <v>19</v>
      </c>
      <c r="F802">
        <v>37</v>
      </c>
      <c r="G802" t="s">
        <v>21</v>
      </c>
      <c r="H802" s="1">
        <v>45590</v>
      </c>
      <c r="I802" s="1">
        <v>45627</v>
      </c>
      <c r="J802" t="str">
        <f t="shared" si="12"/>
        <v>Oct-2024</v>
      </c>
    </row>
    <row r="803" spans="1:10">
      <c r="A803">
        <v>802</v>
      </c>
      <c r="B803">
        <v>18058</v>
      </c>
      <c r="C803" t="s">
        <v>22</v>
      </c>
      <c r="D803">
        <v>46622.34</v>
      </c>
      <c r="E803" t="s">
        <v>16</v>
      </c>
      <c r="F803">
        <v>38</v>
      </c>
      <c r="G803" t="s">
        <v>25</v>
      </c>
      <c r="H803" s="1">
        <v>45456</v>
      </c>
      <c r="I803" s="1">
        <v>45494</v>
      </c>
      <c r="J803" t="str">
        <f t="shared" si="12"/>
        <v>Jun-2024</v>
      </c>
    </row>
    <row r="804" spans="1:10">
      <c r="A804">
        <v>803</v>
      </c>
      <c r="B804">
        <v>16468</v>
      </c>
      <c r="C804" t="s">
        <v>18</v>
      </c>
      <c r="D804">
        <v>109603.76</v>
      </c>
      <c r="E804" t="s">
        <v>19</v>
      </c>
      <c r="F804">
        <v>12</v>
      </c>
      <c r="G804" t="s">
        <v>21</v>
      </c>
      <c r="H804" s="1">
        <v>45318</v>
      </c>
      <c r="I804" s="1">
        <v>45330</v>
      </c>
      <c r="J804" t="str">
        <f t="shared" si="12"/>
        <v>Jan-2024</v>
      </c>
    </row>
    <row r="805" spans="1:10">
      <c r="A805">
        <v>804</v>
      </c>
      <c r="B805">
        <v>13974</v>
      </c>
      <c r="C805" t="s">
        <v>23</v>
      </c>
      <c r="D805">
        <v>167895.66</v>
      </c>
      <c r="E805" t="s">
        <v>16</v>
      </c>
      <c r="F805">
        <v>28</v>
      </c>
      <c r="G805" t="s">
        <v>21</v>
      </c>
      <c r="H805" s="1">
        <v>45464</v>
      </c>
      <c r="I805" s="1">
        <v>45492</v>
      </c>
      <c r="J805" t="str">
        <f t="shared" si="12"/>
        <v>Jun-2024</v>
      </c>
    </row>
    <row r="806" spans="1:10">
      <c r="A806">
        <v>805</v>
      </c>
      <c r="B806">
        <v>19375</v>
      </c>
      <c r="C806" t="s">
        <v>23</v>
      </c>
      <c r="D806">
        <v>125079.55</v>
      </c>
      <c r="E806" t="s">
        <v>16</v>
      </c>
      <c r="F806">
        <v>3</v>
      </c>
      <c r="G806" t="s">
        <v>25</v>
      </c>
      <c r="H806" s="1">
        <v>45628</v>
      </c>
      <c r="I806" s="1">
        <v>45631</v>
      </c>
      <c r="J806" t="str">
        <f t="shared" si="12"/>
        <v>Dec-2024</v>
      </c>
    </row>
    <row r="807" spans="1:10">
      <c r="A807">
        <v>806</v>
      </c>
      <c r="B807">
        <v>16659</v>
      </c>
      <c r="C807" t="s">
        <v>23</v>
      </c>
      <c r="D807">
        <v>128588.74</v>
      </c>
      <c r="E807" t="s">
        <v>16</v>
      </c>
      <c r="F807">
        <v>23</v>
      </c>
      <c r="G807" t="s">
        <v>20</v>
      </c>
      <c r="H807" s="1">
        <v>45404</v>
      </c>
      <c r="I807" s="1">
        <v>45427</v>
      </c>
      <c r="J807" t="str">
        <f t="shared" si="12"/>
        <v>Apr-2024</v>
      </c>
    </row>
    <row r="808" spans="1:10">
      <c r="A808">
        <v>807</v>
      </c>
      <c r="B808">
        <v>17828</v>
      </c>
      <c r="C808" t="s">
        <v>23</v>
      </c>
      <c r="D808">
        <v>110500.91</v>
      </c>
      <c r="E808" t="s">
        <v>16</v>
      </c>
      <c r="F808">
        <v>3</v>
      </c>
      <c r="G808" t="s">
        <v>20</v>
      </c>
      <c r="H808" s="1">
        <v>45386</v>
      </c>
      <c r="I808" s="1">
        <v>45389</v>
      </c>
      <c r="J808" t="str">
        <f t="shared" si="12"/>
        <v>Apr-2024</v>
      </c>
    </row>
    <row r="809" spans="1:10">
      <c r="A809">
        <v>808</v>
      </c>
      <c r="B809">
        <v>14841</v>
      </c>
      <c r="C809" t="s">
        <v>23</v>
      </c>
      <c r="D809">
        <v>185816.8</v>
      </c>
      <c r="E809" t="s">
        <v>16</v>
      </c>
      <c r="F809">
        <v>21</v>
      </c>
      <c r="G809" t="s">
        <v>21</v>
      </c>
      <c r="H809" s="1">
        <v>45610</v>
      </c>
      <c r="I809" s="1">
        <v>45631</v>
      </c>
      <c r="J809" t="str">
        <f t="shared" si="12"/>
        <v>Nov-2024</v>
      </c>
    </row>
    <row r="810" spans="1:10">
      <c r="A810">
        <v>809</v>
      </c>
      <c r="B810">
        <v>19469</v>
      </c>
      <c r="C810" t="s">
        <v>23</v>
      </c>
      <c r="D810">
        <v>186721.02</v>
      </c>
      <c r="E810" t="s">
        <v>16</v>
      </c>
      <c r="F810">
        <v>18</v>
      </c>
      <c r="G810" t="s">
        <v>25</v>
      </c>
      <c r="H810" s="1">
        <v>45524</v>
      </c>
      <c r="I810" s="1">
        <v>45542</v>
      </c>
      <c r="J810" t="str">
        <f t="shared" si="12"/>
        <v>Aug-2024</v>
      </c>
    </row>
    <row r="811" spans="1:10">
      <c r="A811">
        <v>810</v>
      </c>
      <c r="B811">
        <v>11951</v>
      </c>
      <c r="C811" t="s">
        <v>23</v>
      </c>
      <c r="D811">
        <v>104981.02</v>
      </c>
      <c r="E811" t="s">
        <v>16</v>
      </c>
      <c r="F811">
        <v>5</v>
      </c>
      <c r="G811" t="s">
        <v>21</v>
      </c>
      <c r="H811" s="1">
        <v>45425</v>
      </c>
      <c r="I811" s="1">
        <v>45430</v>
      </c>
      <c r="J811" t="str">
        <f t="shared" si="12"/>
        <v>May-2024</v>
      </c>
    </row>
    <row r="812" spans="1:10">
      <c r="A812">
        <v>811</v>
      </c>
      <c r="B812">
        <v>13921</v>
      </c>
      <c r="C812" t="s">
        <v>18</v>
      </c>
      <c r="D812">
        <v>64623.1</v>
      </c>
      <c r="E812" t="s">
        <v>16</v>
      </c>
      <c r="F812">
        <v>15</v>
      </c>
      <c r="G812" t="s">
        <v>17</v>
      </c>
      <c r="H812" s="1">
        <v>45415</v>
      </c>
      <c r="I812" s="1">
        <v>45430</v>
      </c>
      <c r="J812" t="str">
        <f t="shared" si="12"/>
        <v>May-2024</v>
      </c>
    </row>
    <row r="813" spans="1:10">
      <c r="A813">
        <v>812</v>
      </c>
      <c r="B813">
        <v>13424</v>
      </c>
      <c r="C813" t="s">
        <v>18</v>
      </c>
      <c r="D813">
        <v>94619.47</v>
      </c>
      <c r="E813" t="s">
        <v>16</v>
      </c>
      <c r="F813">
        <v>8</v>
      </c>
      <c r="G813" t="s">
        <v>17</v>
      </c>
      <c r="H813" s="1">
        <v>45642</v>
      </c>
      <c r="I813" s="1">
        <v>45650</v>
      </c>
      <c r="J813" t="str">
        <f t="shared" si="12"/>
        <v>Dec-2024</v>
      </c>
    </row>
    <row r="814" spans="1:10">
      <c r="A814">
        <v>813</v>
      </c>
      <c r="B814">
        <v>16725</v>
      </c>
      <c r="C814" t="s">
        <v>18</v>
      </c>
      <c r="D814">
        <v>41378.79</v>
      </c>
      <c r="E814" t="s">
        <v>16</v>
      </c>
      <c r="F814">
        <v>16</v>
      </c>
      <c r="G814" t="s">
        <v>21</v>
      </c>
      <c r="H814" s="1">
        <v>45614</v>
      </c>
      <c r="I814" s="1">
        <v>45630</v>
      </c>
      <c r="J814" t="str">
        <f t="shared" si="12"/>
        <v>Nov-2024</v>
      </c>
    </row>
    <row r="815" spans="1:10">
      <c r="A815">
        <v>814</v>
      </c>
      <c r="B815">
        <v>19517</v>
      </c>
      <c r="C815" t="s">
        <v>23</v>
      </c>
      <c r="D815">
        <v>129087.14</v>
      </c>
      <c r="E815" t="s">
        <v>16</v>
      </c>
      <c r="F815">
        <v>31</v>
      </c>
      <c r="G815" t="s">
        <v>20</v>
      </c>
      <c r="H815" s="1">
        <v>45644</v>
      </c>
      <c r="I815" s="1">
        <v>45675</v>
      </c>
      <c r="J815" t="str">
        <f t="shared" si="12"/>
        <v>Dec-2024</v>
      </c>
    </row>
    <row r="816" spans="1:10">
      <c r="A816">
        <v>815</v>
      </c>
      <c r="B816">
        <v>11171</v>
      </c>
      <c r="C816" t="s">
        <v>23</v>
      </c>
      <c r="D816">
        <v>102518.01</v>
      </c>
      <c r="E816" t="s">
        <v>16</v>
      </c>
      <c r="F816">
        <v>17</v>
      </c>
      <c r="G816" t="s">
        <v>20</v>
      </c>
      <c r="H816" s="1">
        <v>45407</v>
      </c>
      <c r="I816" s="1">
        <v>45424</v>
      </c>
      <c r="J816" t="str">
        <f t="shared" si="12"/>
        <v>Apr-2024</v>
      </c>
    </row>
    <row r="817" spans="1:10">
      <c r="A817">
        <v>816</v>
      </c>
      <c r="B817">
        <v>13769</v>
      </c>
      <c r="C817" t="s">
        <v>18</v>
      </c>
      <c r="D817">
        <v>25143.59</v>
      </c>
      <c r="E817" t="s">
        <v>16</v>
      </c>
      <c r="F817">
        <v>41</v>
      </c>
      <c r="G817" t="s">
        <v>21</v>
      </c>
      <c r="H817" s="1">
        <v>45304</v>
      </c>
      <c r="I817" s="1">
        <v>45345</v>
      </c>
      <c r="J817" t="str">
        <f t="shared" si="12"/>
        <v>Jan-2024</v>
      </c>
    </row>
    <row r="818" spans="1:10">
      <c r="A818">
        <v>817</v>
      </c>
      <c r="B818">
        <v>13631</v>
      </c>
      <c r="C818" t="s">
        <v>23</v>
      </c>
      <c r="D818">
        <v>43541.32</v>
      </c>
      <c r="E818" t="s">
        <v>19</v>
      </c>
      <c r="F818">
        <v>3</v>
      </c>
      <c r="G818" t="s">
        <v>21</v>
      </c>
      <c r="H818" s="1">
        <v>45611</v>
      </c>
      <c r="I818" s="1">
        <v>45614</v>
      </c>
      <c r="J818" t="str">
        <f t="shared" si="12"/>
        <v>Nov-2024</v>
      </c>
    </row>
    <row r="819" spans="1:10">
      <c r="A819">
        <v>818</v>
      </c>
      <c r="B819">
        <v>12310</v>
      </c>
      <c r="C819" t="s">
        <v>23</v>
      </c>
      <c r="D819">
        <v>98528.23</v>
      </c>
      <c r="E819" t="s">
        <v>19</v>
      </c>
      <c r="F819">
        <v>20</v>
      </c>
      <c r="G819" t="s">
        <v>17</v>
      </c>
      <c r="H819" s="1">
        <v>45456</v>
      </c>
      <c r="I819" s="1">
        <v>45476</v>
      </c>
      <c r="J819" t="str">
        <f t="shared" si="12"/>
        <v>Jun-2024</v>
      </c>
    </row>
    <row r="820" spans="1:10">
      <c r="A820">
        <v>819</v>
      </c>
      <c r="B820">
        <v>12343</v>
      </c>
      <c r="C820" t="s">
        <v>15</v>
      </c>
      <c r="D820">
        <v>178079.85</v>
      </c>
      <c r="E820" t="s">
        <v>19</v>
      </c>
      <c r="F820">
        <v>2</v>
      </c>
      <c r="G820" t="s">
        <v>20</v>
      </c>
      <c r="H820" s="1">
        <v>45499</v>
      </c>
      <c r="I820" s="1">
        <v>45501</v>
      </c>
      <c r="J820" t="str">
        <f t="shared" si="12"/>
        <v>Jul-2024</v>
      </c>
    </row>
    <row r="821" spans="1:10">
      <c r="A821">
        <v>820</v>
      </c>
      <c r="B821">
        <v>13386</v>
      </c>
      <c r="C821" t="s">
        <v>18</v>
      </c>
      <c r="D821">
        <v>115446.19</v>
      </c>
      <c r="E821" t="s">
        <v>16</v>
      </c>
      <c r="F821">
        <v>32</v>
      </c>
      <c r="G821" t="s">
        <v>21</v>
      </c>
      <c r="H821" s="1">
        <v>45376</v>
      </c>
      <c r="I821" s="1">
        <v>45408</v>
      </c>
      <c r="J821" t="str">
        <f t="shared" si="12"/>
        <v>Mar-2024</v>
      </c>
    </row>
    <row r="822" spans="1:10">
      <c r="A822">
        <v>821</v>
      </c>
      <c r="B822">
        <v>13067</v>
      </c>
      <c r="C822" t="s">
        <v>18</v>
      </c>
      <c r="D822">
        <v>137899.32999999999</v>
      </c>
      <c r="E822" t="s">
        <v>16</v>
      </c>
      <c r="F822">
        <v>5</v>
      </c>
      <c r="G822" t="s">
        <v>17</v>
      </c>
      <c r="H822" s="1">
        <v>45539</v>
      </c>
      <c r="I822" s="1">
        <v>45544</v>
      </c>
      <c r="J822" t="str">
        <f t="shared" si="12"/>
        <v>Sep-2024</v>
      </c>
    </row>
    <row r="823" spans="1:10">
      <c r="A823">
        <v>822</v>
      </c>
      <c r="B823">
        <v>12339</v>
      </c>
      <c r="C823" t="s">
        <v>23</v>
      </c>
      <c r="D823">
        <v>71110.570000000007</v>
      </c>
      <c r="E823" t="s">
        <v>16</v>
      </c>
      <c r="F823">
        <v>28</v>
      </c>
      <c r="G823" t="s">
        <v>20</v>
      </c>
      <c r="H823" s="1">
        <v>45347</v>
      </c>
      <c r="I823" s="1">
        <v>45375</v>
      </c>
      <c r="J823" t="str">
        <f t="shared" si="12"/>
        <v>Feb-2024</v>
      </c>
    </row>
    <row r="824" spans="1:10">
      <c r="A824">
        <v>823</v>
      </c>
      <c r="B824">
        <v>10683</v>
      </c>
      <c r="C824" t="s">
        <v>18</v>
      </c>
      <c r="D824">
        <v>116425.22</v>
      </c>
      <c r="E824" t="s">
        <v>16</v>
      </c>
      <c r="F824">
        <v>26</v>
      </c>
      <c r="G824" t="s">
        <v>25</v>
      </c>
      <c r="H824" s="1">
        <v>45463</v>
      </c>
      <c r="I824" s="1">
        <v>45489</v>
      </c>
      <c r="J824" t="str">
        <f t="shared" si="12"/>
        <v>Jun-2024</v>
      </c>
    </row>
    <row r="825" spans="1:10">
      <c r="A825">
        <v>824</v>
      </c>
      <c r="B825">
        <v>19067</v>
      </c>
      <c r="C825" t="s">
        <v>18</v>
      </c>
      <c r="D825">
        <v>92239.07</v>
      </c>
      <c r="E825" t="s">
        <v>16</v>
      </c>
      <c r="F825">
        <v>23</v>
      </c>
      <c r="G825" t="s">
        <v>17</v>
      </c>
      <c r="H825" s="1">
        <v>45432</v>
      </c>
      <c r="I825" s="1">
        <v>45455</v>
      </c>
      <c r="J825" t="str">
        <f t="shared" si="12"/>
        <v>May-2024</v>
      </c>
    </row>
    <row r="826" spans="1:10">
      <c r="A826">
        <v>825</v>
      </c>
      <c r="B826">
        <v>11054</v>
      </c>
      <c r="C826" t="s">
        <v>18</v>
      </c>
      <c r="D826">
        <v>133530.32999999999</v>
      </c>
      <c r="E826" t="s">
        <v>16</v>
      </c>
      <c r="F826">
        <v>44</v>
      </c>
      <c r="G826" t="s">
        <v>20</v>
      </c>
      <c r="H826" s="1">
        <v>45423</v>
      </c>
      <c r="I826" s="1">
        <v>45467</v>
      </c>
      <c r="J826" t="str">
        <f t="shared" si="12"/>
        <v>May-2024</v>
      </c>
    </row>
    <row r="827" spans="1:10">
      <c r="A827">
        <v>826</v>
      </c>
      <c r="B827">
        <v>17211</v>
      </c>
      <c r="C827" t="s">
        <v>18</v>
      </c>
      <c r="D827">
        <v>14862.24</v>
      </c>
      <c r="E827" t="s">
        <v>19</v>
      </c>
      <c r="F827">
        <v>11</v>
      </c>
      <c r="G827" t="s">
        <v>20</v>
      </c>
      <c r="H827" s="1">
        <v>45492</v>
      </c>
      <c r="I827" s="1">
        <v>45503</v>
      </c>
      <c r="J827" t="str">
        <f t="shared" si="12"/>
        <v>Jul-2024</v>
      </c>
    </row>
    <row r="828" spans="1:10">
      <c r="A828">
        <v>827</v>
      </c>
      <c r="B828">
        <v>12602</v>
      </c>
      <c r="C828" t="s">
        <v>15</v>
      </c>
      <c r="D828">
        <v>101193.54</v>
      </c>
      <c r="E828" t="s">
        <v>16</v>
      </c>
      <c r="F828">
        <v>34</v>
      </c>
      <c r="G828" t="s">
        <v>17</v>
      </c>
      <c r="H828" s="1">
        <v>45580</v>
      </c>
      <c r="I828" s="1">
        <v>45614</v>
      </c>
      <c r="J828" t="str">
        <f t="shared" si="12"/>
        <v>Oct-2024</v>
      </c>
    </row>
    <row r="829" spans="1:10">
      <c r="A829">
        <v>828</v>
      </c>
      <c r="B829">
        <v>14014</v>
      </c>
      <c r="C829" t="s">
        <v>18</v>
      </c>
      <c r="D829">
        <v>62718.559999999998</v>
      </c>
      <c r="E829" t="s">
        <v>24</v>
      </c>
      <c r="G829" t="s">
        <v>25</v>
      </c>
      <c r="H829" s="1">
        <v>45600</v>
      </c>
      <c r="J829" t="str">
        <f t="shared" si="12"/>
        <v>Nov-2024</v>
      </c>
    </row>
    <row r="830" spans="1:10">
      <c r="A830">
        <v>829</v>
      </c>
      <c r="B830">
        <v>17301</v>
      </c>
      <c r="C830" t="s">
        <v>23</v>
      </c>
      <c r="D830">
        <v>68606.09</v>
      </c>
      <c r="E830" t="s">
        <v>19</v>
      </c>
      <c r="F830">
        <v>31</v>
      </c>
      <c r="G830" t="s">
        <v>17</v>
      </c>
      <c r="H830" s="1">
        <v>45648</v>
      </c>
      <c r="I830" s="1">
        <v>45679</v>
      </c>
      <c r="J830" t="str">
        <f t="shared" si="12"/>
        <v>Dec-2024</v>
      </c>
    </row>
    <row r="831" spans="1:10">
      <c r="A831">
        <v>830</v>
      </c>
      <c r="B831">
        <v>10348</v>
      </c>
      <c r="C831" t="s">
        <v>18</v>
      </c>
      <c r="D831">
        <v>192378.9</v>
      </c>
      <c r="E831" t="s">
        <v>16</v>
      </c>
      <c r="F831">
        <v>17</v>
      </c>
      <c r="G831" t="s">
        <v>20</v>
      </c>
      <c r="H831" s="1">
        <v>45636</v>
      </c>
      <c r="I831" s="1">
        <v>45653</v>
      </c>
      <c r="J831" t="str">
        <f t="shared" si="12"/>
        <v>Dec-2024</v>
      </c>
    </row>
    <row r="832" spans="1:10">
      <c r="A832">
        <v>831</v>
      </c>
      <c r="B832">
        <v>11022</v>
      </c>
      <c r="C832" t="s">
        <v>18</v>
      </c>
      <c r="D832">
        <v>40625.49</v>
      </c>
      <c r="E832" t="s">
        <v>19</v>
      </c>
      <c r="F832">
        <v>10</v>
      </c>
      <c r="G832" t="s">
        <v>21</v>
      </c>
      <c r="H832" s="1">
        <v>45470</v>
      </c>
      <c r="I832" s="1">
        <v>45480</v>
      </c>
      <c r="J832" t="str">
        <f t="shared" si="12"/>
        <v>Jun-2024</v>
      </c>
    </row>
    <row r="833" spans="1:10">
      <c r="A833">
        <v>832</v>
      </c>
      <c r="B833">
        <v>18641</v>
      </c>
      <c r="C833" t="s">
        <v>18</v>
      </c>
      <c r="D833">
        <v>65692.820000000007</v>
      </c>
      <c r="E833" t="s">
        <v>16</v>
      </c>
      <c r="F833">
        <v>18</v>
      </c>
      <c r="G833" t="s">
        <v>21</v>
      </c>
      <c r="H833" s="1">
        <v>45320</v>
      </c>
      <c r="I833" s="1">
        <v>45338</v>
      </c>
      <c r="J833" t="str">
        <f t="shared" si="12"/>
        <v>Jan-2024</v>
      </c>
    </row>
    <row r="834" spans="1:10">
      <c r="A834">
        <v>833</v>
      </c>
      <c r="B834">
        <v>10503</v>
      </c>
      <c r="C834" t="s">
        <v>23</v>
      </c>
      <c r="D834">
        <v>104429.05</v>
      </c>
      <c r="E834" t="s">
        <v>19</v>
      </c>
      <c r="F834">
        <v>36</v>
      </c>
      <c r="G834" t="s">
        <v>17</v>
      </c>
      <c r="H834" s="1">
        <v>45598</v>
      </c>
      <c r="I834" s="1">
        <v>45634</v>
      </c>
      <c r="J834" t="str">
        <f t="shared" si="12"/>
        <v>Nov-2024</v>
      </c>
    </row>
    <row r="835" spans="1:10">
      <c r="A835">
        <v>834</v>
      </c>
      <c r="B835">
        <v>18277</v>
      </c>
      <c r="C835" t="s">
        <v>23</v>
      </c>
      <c r="D835">
        <v>173290.25</v>
      </c>
      <c r="E835" t="s">
        <v>16</v>
      </c>
      <c r="F835">
        <v>16</v>
      </c>
      <c r="G835" t="s">
        <v>20</v>
      </c>
      <c r="H835" s="1">
        <v>45597</v>
      </c>
      <c r="I835" s="1">
        <v>45613</v>
      </c>
      <c r="J835" t="str">
        <f t="shared" ref="J835:J898" si="13">TEXT(H835,"mmm-yyyy")</f>
        <v>Nov-2024</v>
      </c>
    </row>
    <row r="836" spans="1:10">
      <c r="A836">
        <v>835</v>
      </c>
      <c r="B836">
        <v>10522</v>
      </c>
      <c r="C836" t="s">
        <v>15</v>
      </c>
      <c r="D836">
        <v>86250.67</v>
      </c>
      <c r="E836" t="s">
        <v>19</v>
      </c>
      <c r="F836">
        <v>29</v>
      </c>
      <c r="G836" t="s">
        <v>21</v>
      </c>
      <c r="H836" s="1">
        <v>45327</v>
      </c>
      <c r="I836" s="1">
        <v>45356</v>
      </c>
      <c r="J836" t="str">
        <f t="shared" si="13"/>
        <v>Feb-2024</v>
      </c>
    </row>
    <row r="837" spans="1:10">
      <c r="A837">
        <v>836</v>
      </c>
      <c r="B837">
        <v>12508</v>
      </c>
      <c r="C837" t="s">
        <v>18</v>
      </c>
      <c r="D837">
        <v>150053.73000000001</v>
      </c>
      <c r="E837" t="s">
        <v>16</v>
      </c>
      <c r="F837">
        <v>21</v>
      </c>
      <c r="G837" t="s">
        <v>20</v>
      </c>
      <c r="H837" s="1">
        <v>45400</v>
      </c>
      <c r="I837" s="1">
        <v>45421</v>
      </c>
      <c r="J837" t="str">
        <f t="shared" si="13"/>
        <v>Apr-2024</v>
      </c>
    </row>
    <row r="838" spans="1:10">
      <c r="A838">
        <v>837</v>
      </c>
      <c r="B838">
        <v>18821</v>
      </c>
      <c r="C838" t="s">
        <v>22</v>
      </c>
      <c r="D838">
        <v>171992.95</v>
      </c>
      <c r="E838" t="s">
        <v>24</v>
      </c>
      <c r="G838" t="s">
        <v>17</v>
      </c>
      <c r="H838" s="1">
        <v>45607</v>
      </c>
      <c r="J838" t="str">
        <f t="shared" si="13"/>
        <v>Nov-2024</v>
      </c>
    </row>
    <row r="839" spans="1:10">
      <c r="A839">
        <v>838</v>
      </c>
      <c r="B839">
        <v>10017</v>
      </c>
      <c r="C839" t="s">
        <v>18</v>
      </c>
      <c r="D839">
        <v>65453.19</v>
      </c>
      <c r="E839" t="s">
        <v>16</v>
      </c>
      <c r="F839">
        <v>34</v>
      </c>
      <c r="G839" t="s">
        <v>21</v>
      </c>
      <c r="H839" s="1">
        <v>45437</v>
      </c>
      <c r="I839" s="1">
        <v>45471</v>
      </c>
      <c r="J839" t="str">
        <f t="shared" si="13"/>
        <v>May-2024</v>
      </c>
    </row>
    <row r="840" spans="1:10">
      <c r="A840">
        <v>839</v>
      </c>
      <c r="B840">
        <v>17423</v>
      </c>
      <c r="C840" t="s">
        <v>18</v>
      </c>
      <c r="D840">
        <v>81586.289999999994</v>
      </c>
      <c r="E840" t="s">
        <v>16</v>
      </c>
      <c r="F840">
        <v>37</v>
      </c>
      <c r="G840" t="s">
        <v>20</v>
      </c>
      <c r="H840" s="1">
        <v>45567</v>
      </c>
      <c r="I840" s="1">
        <v>45604</v>
      </c>
      <c r="J840" t="str">
        <f t="shared" si="13"/>
        <v>Oct-2024</v>
      </c>
    </row>
    <row r="841" spans="1:10">
      <c r="A841">
        <v>840</v>
      </c>
      <c r="B841">
        <v>11268</v>
      </c>
      <c r="C841" t="s">
        <v>18</v>
      </c>
      <c r="D841">
        <v>74528.460000000006</v>
      </c>
      <c r="E841" t="s">
        <v>19</v>
      </c>
      <c r="F841">
        <v>14</v>
      </c>
      <c r="G841" t="s">
        <v>21</v>
      </c>
      <c r="H841" s="1">
        <v>45437</v>
      </c>
      <c r="I841" s="1">
        <v>45451</v>
      </c>
      <c r="J841" t="str">
        <f t="shared" si="13"/>
        <v>May-2024</v>
      </c>
    </row>
    <row r="842" spans="1:10">
      <c r="A842">
        <v>841</v>
      </c>
      <c r="B842">
        <v>11176</v>
      </c>
      <c r="C842" t="s">
        <v>15</v>
      </c>
      <c r="D842">
        <v>167406.88</v>
      </c>
      <c r="E842" t="s">
        <v>19</v>
      </c>
      <c r="F842">
        <v>5</v>
      </c>
      <c r="G842" t="s">
        <v>17</v>
      </c>
      <c r="H842" s="1">
        <v>45459</v>
      </c>
      <c r="I842" s="1">
        <v>45464</v>
      </c>
      <c r="J842" t="str">
        <f t="shared" si="13"/>
        <v>Jun-2024</v>
      </c>
    </row>
    <row r="843" spans="1:10">
      <c r="A843">
        <v>842</v>
      </c>
      <c r="B843">
        <v>11632</v>
      </c>
      <c r="C843" t="s">
        <v>18</v>
      </c>
      <c r="D843">
        <v>13647.64</v>
      </c>
      <c r="E843" t="s">
        <v>16</v>
      </c>
      <c r="F843">
        <v>24</v>
      </c>
      <c r="G843" t="s">
        <v>20</v>
      </c>
      <c r="H843" s="1">
        <v>45548</v>
      </c>
      <c r="I843" s="1">
        <v>45572</v>
      </c>
      <c r="J843" t="str">
        <f t="shared" si="13"/>
        <v>Sep-2024</v>
      </c>
    </row>
    <row r="844" spans="1:10">
      <c r="A844">
        <v>843</v>
      </c>
      <c r="B844">
        <v>13613</v>
      </c>
      <c r="C844" t="s">
        <v>18</v>
      </c>
      <c r="D844">
        <v>65142.11</v>
      </c>
      <c r="E844" t="s">
        <v>16</v>
      </c>
      <c r="F844">
        <v>9</v>
      </c>
      <c r="G844" t="s">
        <v>21</v>
      </c>
      <c r="H844" s="1">
        <v>45566</v>
      </c>
      <c r="I844" s="1">
        <v>45575</v>
      </c>
      <c r="J844" t="str">
        <f t="shared" si="13"/>
        <v>Oct-2024</v>
      </c>
    </row>
    <row r="845" spans="1:10">
      <c r="A845">
        <v>844</v>
      </c>
      <c r="B845">
        <v>10114</v>
      </c>
      <c r="C845" t="s">
        <v>23</v>
      </c>
      <c r="D845">
        <v>137484.67000000001</v>
      </c>
      <c r="E845" t="s">
        <v>16</v>
      </c>
      <c r="F845">
        <v>14</v>
      </c>
      <c r="G845" t="s">
        <v>17</v>
      </c>
      <c r="H845" s="1">
        <v>45378</v>
      </c>
      <c r="I845" s="1">
        <v>45392</v>
      </c>
      <c r="J845" t="str">
        <f t="shared" si="13"/>
        <v>Mar-2024</v>
      </c>
    </row>
    <row r="846" spans="1:10">
      <c r="A846">
        <v>845</v>
      </c>
      <c r="B846">
        <v>18944</v>
      </c>
      <c r="C846" t="s">
        <v>23</v>
      </c>
      <c r="D846">
        <v>115261.48</v>
      </c>
      <c r="E846" t="s">
        <v>24</v>
      </c>
      <c r="G846" t="s">
        <v>21</v>
      </c>
      <c r="H846" s="1">
        <v>45445</v>
      </c>
      <c r="J846" t="str">
        <f t="shared" si="13"/>
        <v>Jun-2024</v>
      </c>
    </row>
    <row r="847" spans="1:10">
      <c r="A847">
        <v>846</v>
      </c>
      <c r="B847">
        <v>16590</v>
      </c>
      <c r="C847" t="s">
        <v>18</v>
      </c>
      <c r="D847">
        <v>90076.43</v>
      </c>
      <c r="E847" t="s">
        <v>19</v>
      </c>
      <c r="F847">
        <v>41</v>
      </c>
      <c r="G847" t="s">
        <v>21</v>
      </c>
      <c r="H847" s="1">
        <v>45576</v>
      </c>
      <c r="I847" s="1">
        <v>45617</v>
      </c>
      <c r="J847" t="str">
        <f t="shared" si="13"/>
        <v>Oct-2024</v>
      </c>
    </row>
    <row r="848" spans="1:10">
      <c r="A848">
        <v>847</v>
      </c>
      <c r="B848">
        <v>12400</v>
      </c>
      <c r="C848" t="s">
        <v>23</v>
      </c>
      <c r="D848">
        <v>110289.9</v>
      </c>
      <c r="E848" t="s">
        <v>19</v>
      </c>
      <c r="F848">
        <v>31</v>
      </c>
      <c r="G848" t="s">
        <v>25</v>
      </c>
      <c r="H848" s="1">
        <v>45606</v>
      </c>
      <c r="I848" s="1">
        <v>45637</v>
      </c>
      <c r="J848" t="str">
        <f t="shared" si="13"/>
        <v>Nov-2024</v>
      </c>
    </row>
    <row r="849" spans="1:10">
      <c r="A849">
        <v>848</v>
      </c>
      <c r="B849">
        <v>16768</v>
      </c>
      <c r="C849" t="s">
        <v>23</v>
      </c>
      <c r="D849">
        <v>43528.99</v>
      </c>
      <c r="E849" t="s">
        <v>16</v>
      </c>
      <c r="F849">
        <v>31</v>
      </c>
      <c r="G849" t="s">
        <v>25</v>
      </c>
      <c r="H849" s="1">
        <v>45610</v>
      </c>
      <c r="I849" s="1">
        <v>45641</v>
      </c>
      <c r="J849" t="str">
        <f t="shared" si="13"/>
        <v>Nov-2024</v>
      </c>
    </row>
    <row r="850" spans="1:10">
      <c r="A850">
        <v>849</v>
      </c>
      <c r="B850">
        <v>12588</v>
      </c>
      <c r="C850" t="s">
        <v>23</v>
      </c>
      <c r="D850">
        <v>88989.74</v>
      </c>
      <c r="E850" t="s">
        <v>16</v>
      </c>
      <c r="F850">
        <v>26</v>
      </c>
      <c r="G850" t="s">
        <v>17</v>
      </c>
      <c r="H850" s="1">
        <v>45389</v>
      </c>
      <c r="I850" s="1">
        <v>45415</v>
      </c>
      <c r="J850" t="str">
        <f t="shared" si="13"/>
        <v>Apr-2024</v>
      </c>
    </row>
    <row r="851" spans="1:10">
      <c r="A851">
        <v>850</v>
      </c>
      <c r="B851">
        <v>10321</v>
      </c>
      <c r="C851" t="s">
        <v>23</v>
      </c>
      <c r="D851">
        <v>102832.08</v>
      </c>
      <c r="E851" t="s">
        <v>16</v>
      </c>
      <c r="F851">
        <v>34</v>
      </c>
      <c r="G851" t="s">
        <v>25</v>
      </c>
      <c r="H851" s="1">
        <v>45502</v>
      </c>
      <c r="I851" s="1">
        <v>45536</v>
      </c>
      <c r="J851" t="str">
        <f t="shared" si="13"/>
        <v>Jul-2024</v>
      </c>
    </row>
    <row r="852" spans="1:10">
      <c r="A852">
        <v>851</v>
      </c>
      <c r="B852">
        <v>17626</v>
      </c>
      <c r="C852" t="s">
        <v>23</v>
      </c>
      <c r="D852">
        <v>180731.88</v>
      </c>
      <c r="E852" t="s">
        <v>19</v>
      </c>
      <c r="F852">
        <v>10</v>
      </c>
      <c r="G852" t="s">
        <v>17</v>
      </c>
      <c r="H852" s="1">
        <v>45339</v>
      </c>
      <c r="I852" s="1">
        <v>45349</v>
      </c>
      <c r="J852" t="str">
        <f t="shared" si="13"/>
        <v>Feb-2024</v>
      </c>
    </row>
    <row r="853" spans="1:10">
      <c r="A853">
        <v>852</v>
      </c>
      <c r="B853">
        <v>10833</v>
      </c>
      <c r="C853" t="s">
        <v>23</v>
      </c>
      <c r="D853">
        <v>55862.86</v>
      </c>
      <c r="E853" t="s">
        <v>16</v>
      </c>
      <c r="F853">
        <v>27</v>
      </c>
      <c r="G853" t="s">
        <v>25</v>
      </c>
      <c r="H853" s="1">
        <v>45609</v>
      </c>
      <c r="I853" s="1">
        <v>45636</v>
      </c>
      <c r="J853" t="str">
        <f t="shared" si="13"/>
        <v>Nov-2024</v>
      </c>
    </row>
    <row r="854" spans="1:10">
      <c r="A854">
        <v>853</v>
      </c>
      <c r="B854">
        <v>18403</v>
      </c>
      <c r="C854" t="s">
        <v>22</v>
      </c>
      <c r="D854">
        <v>174226.56</v>
      </c>
      <c r="E854" t="s">
        <v>19</v>
      </c>
      <c r="F854">
        <v>25</v>
      </c>
      <c r="G854" t="s">
        <v>21</v>
      </c>
      <c r="H854" s="1">
        <v>45565</v>
      </c>
      <c r="I854" s="1">
        <v>45590</v>
      </c>
      <c r="J854" t="str">
        <f t="shared" si="13"/>
        <v>Sep-2024</v>
      </c>
    </row>
    <row r="855" spans="1:10">
      <c r="A855">
        <v>854</v>
      </c>
      <c r="B855">
        <v>19448</v>
      </c>
      <c r="C855" t="s">
        <v>18</v>
      </c>
      <c r="D855">
        <v>130627.07</v>
      </c>
      <c r="E855" t="s">
        <v>16</v>
      </c>
      <c r="F855">
        <v>34</v>
      </c>
      <c r="G855" t="s">
        <v>17</v>
      </c>
      <c r="H855" s="1">
        <v>45485</v>
      </c>
      <c r="I855" s="1">
        <v>45519</v>
      </c>
      <c r="J855" t="str">
        <f t="shared" si="13"/>
        <v>Jul-2024</v>
      </c>
    </row>
    <row r="856" spans="1:10">
      <c r="A856">
        <v>855</v>
      </c>
      <c r="B856">
        <v>10158</v>
      </c>
      <c r="C856" t="s">
        <v>23</v>
      </c>
      <c r="D856">
        <v>8966.4599999999991</v>
      </c>
      <c r="E856" t="s">
        <v>16</v>
      </c>
      <c r="F856">
        <v>40</v>
      </c>
      <c r="G856" t="s">
        <v>17</v>
      </c>
      <c r="H856" s="1">
        <v>45543</v>
      </c>
      <c r="I856" s="1">
        <v>45583</v>
      </c>
      <c r="J856" t="str">
        <f t="shared" si="13"/>
        <v>Sep-2024</v>
      </c>
    </row>
    <row r="857" spans="1:10">
      <c r="A857">
        <v>856</v>
      </c>
      <c r="B857">
        <v>12619</v>
      </c>
      <c r="C857" t="s">
        <v>23</v>
      </c>
      <c r="D857">
        <v>146303.10999999999</v>
      </c>
      <c r="E857" t="s">
        <v>16</v>
      </c>
      <c r="F857">
        <v>26</v>
      </c>
      <c r="G857" t="s">
        <v>21</v>
      </c>
      <c r="H857" s="1">
        <v>45574</v>
      </c>
      <c r="I857" s="1">
        <v>45600</v>
      </c>
      <c r="J857" t="str">
        <f t="shared" si="13"/>
        <v>Oct-2024</v>
      </c>
    </row>
    <row r="858" spans="1:10">
      <c r="A858">
        <v>857</v>
      </c>
      <c r="B858">
        <v>11347</v>
      </c>
      <c r="C858" t="s">
        <v>18</v>
      </c>
      <c r="D858">
        <v>11932.62</v>
      </c>
      <c r="E858" t="s">
        <v>16</v>
      </c>
      <c r="F858">
        <v>16</v>
      </c>
      <c r="G858" t="s">
        <v>17</v>
      </c>
      <c r="H858" s="1">
        <v>45553</v>
      </c>
      <c r="I858" s="1">
        <v>45569</v>
      </c>
      <c r="J858" t="str">
        <f t="shared" si="13"/>
        <v>Sep-2024</v>
      </c>
    </row>
    <row r="859" spans="1:10">
      <c r="A859">
        <v>858</v>
      </c>
      <c r="B859">
        <v>13164</v>
      </c>
      <c r="C859" t="s">
        <v>23</v>
      </c>
      <c r="D859">
        <v>199489.32</v>
      </c>
      <c r="E859" t="s">
        <v>16</v>
      </c>
      <c r="F859">
        <v>42</v>
      </c>
      <c r="G859" t="s">
        <v>17</v>
      </c>
      <c r="H859" s="1">
        <v>45553</v>
      </c>
      <c r="I859" s="1">
        <v>45595</v>
      </c>
      <c r="J859" t="str">
        <f t="shared" si="13"/>
        <v>Sep-2024</v>
      </c>
    </row>
    <row r="860" spans="1:10">
      <c r="A860">
        <v>859</v>
      </c>
      <c r="B860">
        <v>16813</v>
      </c>
      <c r="C860" t="s">
        <v>15</v>
      </c>
      <c r="D860">
        <v>175164.15</v>
      </c>
      <c r="E860" t="s">
        <v>16</v>
      </c>
      <c r="F860">
        <v>42</v>
      </c>
      <c r="G860" t="s">
        <v>25</v>
      </c>
      <c r="H860" s="1">
        <v>45322</v>
      </c>
      <c r="I860" s="1">
        <v>45364</v>
      </c>
      <c r="J860" t="str">
        <f t="shared" si="13"/>
        <v>Jan-2024</v>
      </c>
    </row>
    <row r="861" spans="1:10">
      <c r="A861">
        <v>860</v>
      </c>
      <c r="B861">
        <v>10910</v>
      </c>
      <c r="C861" t="s">
        <v>18</v>
      </c>
      <c r="D861">
        <v>62982.03</v>
      </c>
      <c r="E861" t="s">
        <v>16</v>
      </c>
      <c r="F861">
        <v>7</v>
      </c>
      <c r="G861" t="s">
        <v>17</v>
      </c>
      <c r="H861" s="1">
        <v>45396</v>
      </c>
      <c r="I861" s="1">
        <v>45403</v>
      </c>
      <c r="J861" t="str">
        <f t="shared" si="13"/>
        <v>Apr-2024</v>
      </c>
    </row>
    <row r="862" spans="1:10">
      <c r="A862">
        <v>861</v>
      </c>
      <c r="B862">
        <v>17166</v>
      </c>
      <c r="C862" t="s">
        <v>18</v>
      </c>
      <c r="D862">
        <v>55195.19</v>
      </c>
      <c r="E862" t="s">
        <v>19</v>
      </c>
      <c r="F862">
        <v>21</v>
      </c>
      <c r="G862" t="s">
        <v>20</v>
      </c>
      <c r="H862" s="1">
        <v>45641</v>
      </c>
      <c r="I862" s="1">
        <v>45662</v>
      </c>
      <c r="J862" t="str">
        <f t="shared" si="13"/>
        <v>Dec-2024</v>
      </c>
    </row>
    <row r="863" spans="1:10">
      <c r="A863">
        <v>862</v>
      </c>
      <c r="B863">
        <v>12451</v>
      </c>
      <c r="C863" t="s">
        <v>23</v>
      </c>
      <c r="D863">
        <v>79381.009999999995</v>
      </c>
      <c r="E863" t="s">
        <v>16</v>
      </c>
      <c r="F863">
        <v>17</v>
      </c>
      <c r="G863" t="s">
        <v>21</v>
      </c>
      <c r="H863" s="1">
        <v>45603</v>
      </c>
      <c r="I863" s="1">
        <v>45620</v>
      </c>
      <c r="J863" t="str">
        <f t="shared" si="13"/>
        <v>Nov-2024</v>
      </c>
    </row>
    <row r="864" spans="1:10">
      <c r="A864">
        <v>863</v>
      </c>
      <c r="B864">
        <v>10403</v>
      </c>
      <c r="C864" t="s">
        <v>18</v>
      </c>
      <c r="D864">
        <v>74452.56</v>
      </c>
      <c r="E864" t="s">
        <v>16</v>
      </c>
      <c r="F864">
        <v>22</v>
      </c>
      <c r="G864" t="s">
        <v>25</v>
      </c>
      <c r="H864" s="1">
        <v>45460</v>
      </c>
      <c r="I864" s="1">
        <v>45482</v>
      </c>
      <c r="J864" t="str">
        <f t="shared" si="13"/>
        <v>Jun-2024</v>
      </c>
    </row>
    <row r="865" spans="1:10">
      <c r="A865">
        <v>864</v>
      </c>
      <c r="B865">
        <v>11690</v>
      </c>
      <c r="C865" t="s">
        <v>23</v>
      </c>
      <c r="D865">
        <v>77605.87</v>
      </c>
      <c r="E865" t="s">
        <v>16</v>
      </c>
      <c r="F865">
        <v>16</v>
      </c>
      <c r="G865" t="s">
        <v>25</v>
      </c>
      <c r="H865" s="1">
        <v>45527</v>
      </c>
      <c r="I865" s="1">
        <v>45543</v>
      </c>
      <c r="J865" t="str">
        <f t="shared" si="13"/>
        <v>Aug-2024</v>
      </c>
    </row>
    <row r="866" spans="1:10">
      <c r="A866">
        <v>865</v>
      </c>
      <c r="B866">
        <v>13485</v>
      </c>
      <c r="C866" t="s">
        <v>22</v>
      </c>
      <c r="D866">
        <v>67063.929999999993</v>
      </c>
      <c r="E866" t="s">
        <v>16</v>
      </c>
      <c r="F866">
        <v>40</v>
      </c>
      <c r="G866" t="s">
        <v>20</v>
      </c>
      <c r="H866" s="1">
        <v>45565</v>
      </c>
      <c r="I866" s="1">
        <v>45605</v>
      </c>
      <c r="J866" t="str">
        <f t="shared" si="13"/>
        <v>Sep-2024</v>
      </c>
    </row>
    <row r="867" spans="1:10">
      <c r="A867">
        <v>866</v>
      </c>
      <c r="B867">
        <v>19448</v>
      </c>
      <c r="C867" t="s">
        <v>18</v>
      </c>
      <c r="D867">
        <v>126121.01</v>
      </c>
      <c r="E867" t="s">
        <v>19</v>
      </c>
      <c r="F867">
        <v>43</v>
      </c>
      <c r="G867" t="s">
        <v>21</v>
      </c>
      <c r="H867" s="1">
        <v>45634</v>
      </c>
      <c r="I867" s="1">
        <v>45677</v>
      </c>
      <c r="J867" t="str">
        <f t="shared" si="13"/>
        <v>Dec-2024</v>
      </c>
    </row>
    <row r="868" spans="1:10">
      <c r="A868">
        <v>867</v>
      </c>
      <c r="B868">
        <v>14288</v>
      </c>
      <c r="C868" t="s">
        <v>23</v>
      </c>
      <c r="D868">
        <v>37031.410000000003</v>
      </c>
      <c r="E868" t="s">
        <v>16</v>
      </c>
      <c r="F868">
        <v>5</v>
      </c>
      <c r="G868" t="s">
        <v>21</v>
      </c>
      <c r="H868" s="1">
        <v>45521</v>
      </c>
      <c r="I868" s="1">
        <v>45526</v>
      </c>
      <c r="J868" t="str">
        <f t="shared" si="13"/>
        <v>Aug-2024</v>
      </c>
    </row>
    <row r="869" spans="1:10">
      <c r="A869">
        <v>868</v>
      </c>
      <c r="B869">
        <v>19834</v>
      </c>
      <c r="C869" t="s">
        <v>23</v>
      </c>
      <c r="D869">
        <v>169966.35</v>
      </c>
      <c r="E869" t="s">
        <v>19</v>
      </c>
      <c r="F869">
        <v>25</v>
      </c>
      <c r="G869" t="s">
        <v>25</v>
      </c>
      <c r="H869" s="1">
        <v>45314</v>
      </c>
      <c r="I869" s="1">
        <v>45339</v>
      </c>
      <c r="J869" t="str">
        <f t="shared" si="13"/>
        <v>Jan-2024</v>
      </c>
    </row>
    <row r="870" spans="1:10">
      <c r="A870">
        <v>869</v>
      </c>
      <c r="B870">
        <v>18116</v>
      </c>
      <c r="C870" t="s">
        <v>23</v>
      </c>
      <c r="D870">
        <v>163418.48000000001</v>
      </c>
      <c r="E870" t="s">
        <v>16</v>
      </c>
      <c r="F870">
        <v>4</v>
      </c>
      <c r="G870" t="s">
        <v>17</v>
      </c>
      <c r="H870" s="1">
        <v>45455</v>
      </c>
      <c r="I870" s="1">
        <v>45459</v>
      </c>
      <c r="J870" t="str">
        <f t="shared" si="13"/>
        <v>Jun-2024</v>
      </c>
    </row>
    <row r="871" spans="1:10">
      <c r="A871">
        <v>870</v>
      </c>
      <c r="B871">
        <v>10522</v>
      </c>
      <c r="C871" t="s">
        <v>18</v>
      </c>
      <c r="D871">
        <v>97914.23</v>
      </c>
      <c r="E871" t="s">
        <v>16</v>
      </c>
      <c r="F871">
        <v>2</v>
      </c>
      <c r="G871" t="s">
        <v>25</v>
      </c>
      <c r="H871" s="1">
        <v>45572</v>
      </c>
      <c r="I871" s="1">
        <v>45574</v>
      </c>
      <c r="J871" t="str">
        <f t="shared" si="13"/>
        <v>Oct-2024</v>
      </c>
    </row>
    <row r="872" spans="1:10">
      <c r="A872">
        <v>871</v>
      </c>
      <c r="B872">
        <v>14445</v>
      </c>
      <c r="C872" t="s">
        <v>23</v>
      </c>
      <c r="D872">
        <v>171282.34</v>
      </c>
      <c r="E872" t="s">
        <v>16</v>
      </c>
      <c r="F872">
        <v>31</v>
      </c>
      <c r="G872" t="s">
        <v>21</v>
      </c>
      <c r="H872" s="1">
        <v>45298</v>
      </c>
      <c r="I872" s="1">
        <v>45329</v>
      </c>
      <c r="J872" t="str">
        <f t="shared" si="13"/>
        <v>Jan-2024</v>
      </c>
    </row>
    <row r="873" spans="1:10">
      <c r="A873">
        <v>872</v>
      </c>
      <c r="B873">
        <v>16459</v>
      </c>
      <c r="C873" t="s">
        <v>18</v>
      </c>
      <c r="D873">
        <v>53193.29</v>
      </c>
      <c r="E873" t="s">
        <v>16</v>
      </c>
      <c r="F873">
        <v>14</v>
      </c>
      <c r="G873" t="s">
        <v>20</v>
      </c>
      <c r="H873" s="1">
        <v>45501</v>
      </c>
      <c r="I873" s="1">
        <v>45515</v>
      </c>
      <c r="J873" t="str">
        <f t="shared" si="13"/>
        <v>Jul-2024</v>
      </c>
    </row>
    <row r="874" spans="1:10">
      <c r="A874">
        <v>873</v>
      </c>
      <c r="B874">
        <v>17086</v>
      </c>
      <c r="C874" t="s">
        <v>23</v>
      </c>
      <c r="D874">
        <v>8425.26</v>
      </c>
      <c r="E874" t="s">
        <v>16</v>
      </c>
      <c r="F874">
        <v>19</v>
      </c>
      <c r="G874" t="s">
        <v>25</v>
      </c>
      <c r="H874" s="1">
        <v>45544</v>
      </c>
      <c r="I874" s="1">
        <v>45563</v>
      </c>
      <c r="J874" t="str">
        <f t="shared" si="13"/>
        <v>Sep-2024</v>
      </c>
    </row>
    <row r="875" spans="1:10">
      <c r="A875">
        <v>874</v>
      </c>
      <c r="B875">
        <v>11944</v>
      </c>
      <c r="C875" t="s">
        <v>18</v>
      </c>
      <c r="D875">
        <v>125745.55</v>
      </c>
      <c r="E875" t="s">
        <v>19</v>
      </c>
      <c r="F875">
        <v>41</v>
      </c>
      <c r="G875" t="s">
        <v>21</v>
      </c>
      <c r="H875" s="1">
        <v>45424</v>
      </c>
      <c r="I875" s="1">
        <v>45465</v>
      </c>
      <c r="J875" t="str">
        <f t="shared" si="13"/>
        <v>May-2024</v>
      </c>
    </row>
    <row r="876" spans="1:10">
      <c r="A876">
        <v>875</v>
      </c>
      <c r="B876">
        <v>13571</v>
      </c>
      <c r="C876" t="s">
        <v>15</v>
      </c>
      <c r="D876">
        <v>94292.33</v>
      </c>
      <c r="E876" t="s">
        <v>16</v>
      </c>
      <c r="F876">
        <v>12</v>
      </c>
      <c r="G876" t="s">
        <v>25</v>
      </c>
      <c r="H876" s="1">
        <v>45565</v>
      </c>
      <c r="I876" s="1">
        <v>45577</v>
      </c>
      <c r="J876" t="str">
        <f t="shared" si="13"/>
        <v>Sep-2024</v>
      </c>
    </row>
    <row r="877" spans="1:10">
      <c r="A877">
        <v>876</v>
      </c>
      <c r="B877">
        <v>11560</v>
      </c>
      <c r="C877" t="s">
        <v>18</v>
      </c>
      <c r="D877">
        <v>115597.09</v>
      </c>
      <c r="E877" t="s">
        <v>16</v>
      </c>
      <c r="F877">
        <v>43</v>
      </c>
      <c r="G877" t="s">
        <v>17</v>
      </c>
      <c r="H877" s="1">
        <v>45397</v>
      </c>
      <c r="I877" s="1">
        <v>45440</v>
      </c>
      <c r="J877" t="str">
        <f t="shared" si="13"/>
        <v>Apr-2024</v>
      </c>
    </row>
    <row r="878" spans="1:10">
      <c r="A878">
        <v>877</v>
      </c>
      <c r="B878">
        <v>14747</v>
      </c>
      <c r="C878" t="s">
        <v>18</v>
      </c>
      <c r="D878">
        <v>180371.18</v>
      </c>
      <c r="E878" t="s">
        <v>16</v>
      </c>
      <c r="F878">
        <v>30</v>
      </c>
      <c r="G878" t="s">
        <v>25</v>
      </c>
      <c r="H878" s="1">
        <v>45523</v>
      </c>
      <c r="I878" s="1">
        <v>45553</v>
      </c>
      <c r="J878" t="str">
        <f t="shared" si="13"/>
        <v>Aug-2024</v>
      </c>
    </row>
    <row r="879" spans="1:10">
      <c r="A879">
        <v>878</v>
      </c>
      <c r="B879">
        <v>17154</v>
      </c>
      <c r="C879" t="s">
        <v>23</v>
      </c>
      <c r="D879">
        <v>194135.49</v>
      </c>
      <c r="E879" t="s">
        <v>16</v>
      </c>
      <c r="F879">
        <v>5</v>
      </c>
      <c r="G879" t="s">
        <v>25</v>
      </c>
      <c r="H879" s="1">
        <v>45324</v>
      </c>
      <c r="I879" s="1">
        <v>45329</v>
      </c>
      <c r="J879" t="str">
        <f t="shared" si="13"/>
        <v>Feb-2024</v>
      </c>
    </row>
    <row r="880" spans="1:10">
      <c r="A880">
        <v>879</v>
      </c>
      <c r="B880">
        <v>10592</v>
      </c>
      <c r="C880" t="s">
        <v>23</v>
      </c>
      <c r="D880">
        <v>128718.36</v>
      </c>
      <c r="E880" t="s">
        <v>16</v>
      </c>
      <c r="F880">
        <v>26</v>
      </c>
      <c r="G880" t="s">
        <v>21</v>
      </c>
      <c r="H880" s="1">
        <v>45370</v>
      </c>
      <c r="I880" s="1">
        <v>45396</v>
      </c>
      <c r="J880" t="str">
        <f t="shared" si="13"/>
        <v>Mar-2024</v>
      </c>
    </row>
    <row r="881" spans="1:10">
      <c r="A881">
        <v>880</v>
      </c>
      <c r="B881">
        <v>15327</v>
      </c>
      <c r="C881" t="s">
        <v>18</v>
      </c>
      <c r="D881">
        <v>153990.84</v>
      </c>
      <c r="E881" t="s">
        <v>16</v>
      </c>
      <c r="F881">
        <v>37</v>
      </c>
      <c r="G881" t="s">
        <v>21</v>
      </c>
      <c r="H881" s="1">
        <v>45326</v>
      </c>
      <c r="I881" s="1">
        <v>45363</v>
      </c>
      <c r="J881" t="str">
        <f t="shared" si="13"/>
        <v>Feb-2024</v>
      </c>
    </row>
    <row r="882" spans="1:10">
      <c r="A882">
        <v>881</v>
      </c>
      <c r="B882">
        <v>10755</v>
      </c>
      <c r="C882" t="s">
        <v>23</v>
      </c>
      <c r="D882">
        <v>21342.639999999999</v>
      </c>
      <c r="E882" t="s">
        <v>16</v>
      </c>
      <c r="F882">
        <v>37</v>
      </c>
      <c r="G882" t="s">
        <v>21</v>
      </c>
      <c r="H882" s="1">
        <v>45401</v>
      </c>
      <c r="I882" s="1">
        <v>45438</v>
      </c>
      <c r="J882" t="str">
        <f t="shared" si="13"/>
        <v>Apr-2024</v>
      </c>
    </row>
    <row r="883" spans="1:10">
      <c r="A883">
        <v>882</v>
      </c>
      <c r="B883">
        <v>19491</v>
      </c>
      <c r="C883" t="s">
        <v>23</v>
      </c>
      <c r="D883">
        <v>36339.54</v>
      </c>
      <c r="E883" t="s">
        <v>16</v>
      </c>
      <c r="F883">
        <v>41</v>
      </c>
      <c r="G883" t="s">
        <v>25</v>
      </c>
      <c r="H883" s="1">
        <v>45612</v>
      </c>
      <c r="I883" s="1">
        <v>45653</v>
      </c>
      <c r="J883" t="str">
        <f t="shared" si="13"/>
        <v>Nov-2024</v>
      </c>
    </row>
    <row r="884" spans="1:10">
      <c r="A884">
        <v>883</v>
      </c>
      <c r="B884">
        <v>10496</v>
      </c>
      <c r="C884" t="s">
        <v>23</v>
      </c>
      <c r="D884">
        <v>147974.94</v>
      </c>
      <c r="E884" t="s">
        <v>16</v>
      </c>
      <c r="F884">
        <v>29</v>
      </c>
      <c r="G884" t="s">
        <v>17</v>
      </c>
      <c r="H884" s="1">
        <v>45354</v>
      </c>
      <c r="I884" s="1">
        <v>45383</v>
      </c>
      <c r="J884" t="str">
        <f t="shared" si="13"/>
        <v>Mar-2024</v>
      </c>
    </row>
    <row r="885" spans="1:10">
      <c r="A885">
        <v>884</v>
      </c>
      <c r="B885">
        <v>12421</v>
      </c>
      <c r="C885" t="s">
        <v>23</v>
      </c>
      <c r="D885">
        <v>89116.26</v>
      </c>
      <c r="E885" t="s">
        <v>19</v>
      </c>
      <c r="F885">
        <v>9</v>
      </c>
      <c r="G885" t="s">
        <v>20</v>
      </c>
      <c r="H885" s="1">
        <v>45619</v>
      </c>
      <c r="I885" s="1">
        <v>45628</v>
      </c>
      <c r="J885" t="str">
        <f t="shared" si="13"/>
        <v>Nov-2024</v>
      </c>
    </row>
    <row r="886" spans="1:10">
      <c r="A886">
        <v>885</v>
      </c>
      <c r="B886">
        <v>11598</v>
      </c>
      <c r="C886" t="s">
        <v>23</v>
      </c>
      <c r="D886">
        <v>91963.23</v>
      </c>
      <c r="E886" t="s">
        <v>16</v>
      </c>
      <c r="F886">
        <v>22</v>
      </c>
      <c r="G886" t="s">
        <v>20</v>
      </c>
      <c r="H886" s="1">
        <v>45588</v>
      </c>
      <c r="I886" s="1">
        <v>45610</v>
      </c>
      <c r="J886" t="str">
        <f t="shared" si="13"/>
        <v>Oct-2024</v>
      </c>
    </row>
    <row r="887" spans="1:10">
      <c r="A887">
        <v>886</v>
      </c>
      <c r="B887">
        <v>14127</v>
      </c>
      <c r="C887" t="s">
        <v>15</v>
      </c>
      <c r="D887">
        <v>65178.5</v>
      </c>
      <c r="E887" t="s">
        <v>16</v>
      </c>
      <c r="F887">
        <v>36</v>
      </c>
      <c r="G887" t="s">
        <v>21</v>
      </c>
      <c r="H887" s="1">
        <v>45469</v>
      </c>
      <c r="I887" s="1">
        <v>45505</v>
      </c>
      <c r="J887" t="str">
        <f t="shared" si="13"/>
        <v>Jun-2024</v>
      </c>
    </row>
    <row r="888" spans="1:10">
      <c r="A888">
        <v>887</v>
      </c>
      <c r="B888">
        <v>17016</v>
      </c>
      <c r="C888" t="s">
        <v>23</v>
      </c>
      <c r="D888">
        <v>123434.49</v>
      </c>
      <c r="E888" t="s">
        <v>24</v>
      </c>
      <c r="G888" t="s">
        <v>21</v>
      </c>
      <c r="H888" s="1">
        <v>45655</v>
      </c>
      <c r="J888" t="str">
        <f t="shared" si="13"/>
        <v>Dec-2024</v>
      </c>
    </row>
    <row r="889" spans="1:10">
      <c r="A889">
        <v>888</v>
      </c>
      <c r="B889">
        <v>15551</v>
      </c>
      <c r="C889" t="s">
        <v>18</v>
      </c>
      <c r="D889">
        <v>41107.18</v>
      </c>
      <c r="E889" t="s">
        <v>16</v>
      </c>
      <c r="F889">
        <v>26</v>
      </c>
      <c r="G889" t="s">
        <v>25</v>
      </c>
      <c r="H889" s="1">
        <v>45523</v>
      </c>
      <c r="I889" s="1">
        <v>45549</v>
      </c>
      <c r="J889" t="str">
        <f t="shared" si="13"/>
        <v>Aug-2024</v>
      </c>
    </row>
    <row r="890" spans="1:10">
      <c r="A890">
        <v>889</v>
      </c>
      <c r="B890">
        <v>13590</v>
      </c>
      <c r="C890" t="s">
        <v>23</v>
      </c>
      <c r="D890">
        <v>127248.67</v>
      </c>
      <c r="E890" t="s">
        <v>16</v>
      </c>
      <c r="F890">
        <v>42</v>
      </c>
      <c r="G890" t="s">
        <v>20</v>
      </c>
      <c r="H890" s="1">
        <v>45395</v>
      </c>
      <c r="I890" s="1">
        <v>45437</v>
      </c>
      <c r="J890" t="str">
        <f t="shared" si="13"/>
        <v>Apr-2024</v>
      </c>
    </row>
    <row r="891" spans="1:10">
      <c r="A891">
        <v>890</v>
      </c>
      <c r="B891">
        <v>10461</v>
      </c>
      <c r="C891" t="s">
        <v>18</v>
      </c>
      <c r="D891">
        <v>38890.78</v>
      </c>
      <c r="E891" t="s">
        <v>16</v>
      </c>
      <c r="F891">
        <v>6</v>
      </c>
      <c r="G891" t="s">
        <v>21</v>
      </c>
      <c r="H891" s="1">
        <v>45585</v>
      </c>
      <c r="I891" s="1">
        <v>45591</v>
      </c>
      <c r="J891" t="str">
        <f t="shared" si="13"/>
        <v>Oct-2024</v>
      </c>
    </row>
    <row r="892" spans="1:10">
      <c r="A892">
        <v>891</v>
      </c>
      <c r="B892">
        <v>14966</v>
      </c>
      <c r="C892" t="s">
        <v>23</v>
      </c>
      <c r="D892">
        <v>17446.080000000002</v>
      </c>
      <c r="E892" t="s">
        <v>16</v>
      </c>
      <c r="F892">
        <v>9</v>
      </c>
      <c r="G892" t="s">
        <v>17</v>
      </c>
      <c r="H892" s="1">
        <v>45326</v>
      </c>
      <c r="I892" s="1">
        <v>45335</v>
      </c>
      <c r="J892" t="str">
        <f t="shared" si="13"/>
        <v>Feb-2024</v>
      </c>
    </row>
    <row r="893" spans="1:10">
      <c r="A893">
        <v>892</v>
      </c>
      <c r="B893">
        <v>18559</v>
      </c>
      <c r="C893" t="s">
        <v>15</v>
      </c>
      <c r="D893">
        <v>69419.75</v>
      </c>
      <c r="E893" t="s">
        <v>16</v>
      </c>
      <c r="F893">
        <v>24</v>
      </c>
      <c r="G893" t="s">
        <v>17</v>
      </c>
      <c r="H893" s="1">
        <v>45485</v>
      </c>
      <c r="I893" s="1">
        <v>45509</v>
      </c>
      <c r="J893" t="str">
        <f t="shared" si="13"/>
        <v>Jul-2024</v>
      </c>
    </row>
    <row r="894" spans="1:10">
      <c r="A894">
        <v>893</v>
      </c>
      <c r="B894">
        <v>10165</v>
      </c>
      <c r="C894" t="s">
        <v>15</v>
      </c>
      <c r="D894">
        <v>50072.37</v>
      </c>
      <c r="E894" t="s">
        <v>24</v>
      </c>
      <c r="G894" t="s">
        <v>21</v>
      </c>
      <c r="H894" s="1">
        <v>45465</v>
      </c>
      <c r="J894" t="str">
        <f t="shared" si="13"/>
        <v>Jun-2024</v>
      </c>
    </row>
    <row r="895" spans="1:10">
      <c r="A895">
        <v>894</v>
      </c>
      <c r="B895">
        <v>11728</v>
      </c>
      <c r="C895" t="s">
        <v>23</v>
      </c>
      <c r="D895">
        <v>178353.37</v>
      </c>
      <c r="E895" t="s">
        <v>19</v>
      </c>
      <c r="F895">
        <v>38</v>
      </c>
      <c r="G895" t="s">
        <v>21</v>
      </c>
      <c r="H895" s="1">
        <v>45393</v>
      </c>
      <c r="I895" s="1">
        <v>45431</v>
      </c>
      <c r="J895" t="str">
        <f t="shared" si="13"/>
        <v>Apr-2024</v>
      </c>
    </row>
    <row r="896" spans="1:10">
      <c r="A896">
        <v>895</v>
      </c>
      <c r="B896">
        <v>17696</v>
      </c>
      <c r="C896" t="s">
        <v>22</v>
      </c>
      <c r="D896">
        <v>15715.92</v>
      </c>
      <c r="E896" t="s">
        <v>19</v>
      </c>
      <c r="F896">
        <v>32</v>
      </c>
      <c r="G896" t="s">
        <v>20</v>
      </c>
      <c r="H896" s="1">
        <v>45615</v>
      </c>
      <c r="I896" s="1">
        <v>45647</v>
      </c>
      <c r="J896" t="str">
        <f t="shared" si="13"/>
        <v>Nov-2024</v>
      </c>
    </row>
    <row r="897" spans="1:10">
      <c r="A897">
        <v>896</v>
      </c>
      <c r="B897">
        <v>14697</v>
      </c>
      <c r="C897" t="s">
        <v>22</v>
      </c>
      <c r="D897">
        <v>39439.67</v>
      </c>
      <c r="E897" t="s">
        <v>19</v>
      </c>
      <c r="F897">
        <v>30</v>
      </c>
      <c r="G897" t="s">
        <v>20</v>
      </c>
      <c r="H897" s="1">
        <v>45584</v>
      </c>
      <c r="I897" s="1">
        <v>45614</v>
      </c>
      <c r="J897" t="str">
        <f t="shared" si="13"/>
        <v>Oct-2024</v>
      </c>
    </row>
    <row r="898" spans="1:10">
      <c r="A898">
        <v>897</v>
      </c>
      <c r="B898">
        <v>12173</v>
      </c>
      <c r="C898" t="s">
        <v>15</v>
      </c>
      <c r="D898">
        <v>112000.32000000001</v>
      </c>
      <c r="E898" t="s">
        <v>16</v>
      </c>
      <c r="F898">
        <v>42</v>
      </c>
      <c r="G898" t="s">
        <v>25</v>
      </c>
      <c r="H898" s="1">
        <v>45376</v>
      </c>
      <c r="I898" s="1">
        <v>45418</v>
      </c>
      <c r="J898" t="str">
        <f t="shared" si="13"/>
        <v>Mar-2024</v>
      </c>
    </row>
    <row r="899" spans="1:10">
      <c r="A899">
        <v>898</v>
      </c>
      <c r="B899">
        <v>10037</v>
      </c>
      <c r="C899" t="s">
        <v>15</v>
      </c>
      <c r="D899">
        <v>98808.1</v>
      </c>
      <c r="E899" t="s">
        <v>16</v>
      </c>
      <c r="F899">
        <v>21</v>
      </c>
      <c r="G899" t="s">
        <v>20</v>
      </c>
      <c r="H899" s="1">
        <v>45492</v>
      </c>
      <c r="I899" s="1">
        <v>45513</v>
      </c>
      <c r="J899" t="str">
        <f t="shared" ref="J899:J962" si="14">TEXT(H899,"mmm-yyyy")</f>
        <v>Jul-2024</v>
      </c>
    </row>
    <row r="900" spans="1:10">
      <c r="A900">
        <v>899</v>
      </c>
      <c r="B900">
        <v>14443</v>
      </c>
      <c r="C900" t="s">
        <v>23</v>
      </c>
      <c r="D900">
        <v>13941.14</v>
      </c>
      <c r="E900" t="s">
        <v>19</v>
      </c>
      <c r="F900">
        <v>4</v>
      </c>
      <c r="G900" t="s">
        <v>17</v>
      </c>
      <c r="H900" s="1">
        <v>45464</v>
      </c>
      <c r="I900" s="1">
        <v>45468</v>
      </c>
      <c r="J900" t="str">
        <f t="shared" si="14"/>
        <v>Jun-2024</v>
      </c>
    </row>
    <row r="901" spans="1:10">
      <c r="A901">
        <v>900</v>
      </c>
      <c r="B901">
        <v>17486</v>
      </c>
      <c r="C901" t="s">
        <v>18</v>
      </c>
      <c r="D901">
        <v>6414.22</v>
      </c>
      <c r="E901" t="s">
        <v>24</v>
      </c>
      <c r="G901" t="s">
        <v>17</v>
      </c>
      <c r="H901" s="1">
        <v>45320</v>
      </c>
      <c r="J901" t="str">
        <f t="shared" si="14"/>
        <v>Jan-2024</v>
      </c>
    </row>
    <row r="902" spans="1:10">
      <c r="A902">
        <v>901</v>
      </c>
      <c r="B902">
        <v>12021</v>
      </c>
      <c r="C902" t="s">
        <v>23</v>
      </c>
      <c r="D902">
        <v>197673.25</v>
      </c>
      <c r="E902" t="s">
        <v>16</v>
      </c>
      <c r="F902">
        <v>41</v>
      </c>
      <c r="G902" t="s">
        <v>21</v>
      </c>
      <c r="H902" s="1">
        <v>45588</v>
      </c>
      <c r="I902" s="1">
        <v>45629</v>
      </c>
      <c r="J902" t="str">
        <f t="shared" si="14"/>
        <v>Oct-2024</v>
      </c>
    </row>
    <row r="903" spans="1:10">
      <c r="A903">
        <v>902</v>
      </c>
      <c r="B903">
        <v>16880</v>
      </c>
      <c r="C903" t="s">
        <v>23</v>
      </c>
      <c r="D903">
        <v>133472.76999999999</v>
      </c>
      <c r="E903" t="s">
        <v>24</v>
      </c>
      <c r="G903" t="s">
        <v>20</v>
      </c>
      <c r="H903" s="1">
        <v>45347</v>
      </c>
      <c r="J903" t="str">
        <f t="shared" si="14"/>
        <v>Feb-2024</v>
      </c>
    </row>
    <row r="904" spans="1:10">
      <c r="A904">
        <v>903</v>
      </c>
      <c r="B904">
        <v>18925</v>
      </c>
      <c r="C904" t="s">
        <v>22</v>
      </c>
      <c r="D904">
        <v>76254.2</v>
      </c>
      <c r="E904" t="s">
        <v>16</v>
      </c>
      <c r="F904">
        <v>14</v>
      </c>
      <c r="G904" t="s">
        <v>25</v>
      </c>
      <c r="H904" s="1">
        <v>45307</v>
      </c>
      <c r="I904" s="1">
        <v>45321</v>
      </c>
      <c r="J904" t="str">
        <f t="shared" si="14"/>
        <v>Jan-2024</v>
      </c>
    </row>
    <row r="905" spans="1:10">
      <c r="A905">
        <v>904</v>
      </c>
      <c r="B905">
        <v>14521</v>
      </c>
      <c r="C905" t="s">
        <v>23</v>
      </c>
      <c r="D905">
        <v>96734.29</v>
      </c>
      <c r="E905" t="s">
        <v>16</v>
      </c>
      <c r="F905">
        <v>9</v>
      </c>
      <c r="G905" t="s">
        <v>17</v>
      </c>
      <c r="H905" s="1">
        <v>45431</v>
      </c>
      <c r="I905" s="1">
        <v>45440</v>
      </c>
      <c r="J905" t="str">
        <f t="shared" si="14"/>
        <v>May-2024</v>
      </c>
    </row>
    <row r="906" spans="1:10">
      <c r="A906">
        <v>905</v>
      </c>
      <c r="B906">
        <v>18839</v>
      </c>
      <c r="C906" t="s">
        <v>18</v>
      </c>
      <c r="D906">
        <v>56977.27</v>
      </c>
      <c r="E906" t="s">
        <v>16</v>
      </c>
      <c r="F906">
        <v>6</v>
      </c>
      <c r="G906" t="s">
        <v>17</v>
      </c>
      <c r="H906" s="1">
        <v>45357</v>
      </c>
      <c r="I906" s="1">
        <v>45363</v>
      </c>
      <c r="J906" t="str">
        <f t="shared" si="14"/>
        <v>Mar-2024</v>
      </c>
    </row>
    <row r="907" spans="1:10">
      <c r="A907">
        <v>906</v>
      </c>
      <c r="B907">
        <v>13302</v>
      </c>
      <c r="C907" t="s">
        <v>15</v>
      </c>
      <c r="D907">
        <v>72250.39</v>
      </c>
      <c r="E907" t="s">
        <v>16</v>
      </c>
      <c r="F907">
        <v>26</v>
      </c>
      <c r="G907" t="s">
        <v>25</v>
      </c>
      <c r="H907" s="1">
        <v>45438</v>
      </c>
      <c r="I907" s="1">
        <v>45464</v>
      </c>
      <c r="J907" t="str">
        <f t="shared" si="14"/>
        <v>May-2024</v>
      </c>
    </row>
    <row r="908" spans="1:10">
      <c r="A908">
        <v>907</v>
      </c>
      <c r="B908">
        <v>18511</v>
      </c>
      <c r="C908" t="s">
        <v>15</v>
      </c>
      <c r="D908">
        <v>131563.67000000001</v>
      </c>
      <c r="E908" t="s">
        <v>16</v>
      </c>
      <c r="F908">
        <v>40</v>
      </c>
      <c r="G908" t="s">
        <v>25</v>
      </c>
      <c r="H908" s="1">
        <v>45449</v>
      </c>
      <c r="I908" s="1">
        <v>45489</v>
      </c>
      <c r="J908" t="str">
        <f t="shared" si="14"/>
        <v>Jun-2024</v>
      </c>
    </row>
    <row r="909" spans="1:10">
      <c r="A909">
        <v>908</v>
      </c>
      <c r="B909">
        <v>14607</v>
      </c>
      <c r="C909" t="s">
        <v>22</v>
      </c>
      <c r="D909">
        <v>177148.3</v>
      </c>
      <c r="E909" t="s">
        <v>16</v>
      </c>
      <c r="F909">
        <v>38</v>
      </c>
      <c r="G909" t="s">
        <v>17</v>
      </c>
      <c r="H909" s="1">
        <v>45360</v>
      </c>
      <c r="I909" s="1">
        <v>45398</v>
      </c>
      <c r="J909" t="str">
        <f t="shared" si="14"/>
        <v>Mar-2024</v>
      </c>
    </row>
    <row r="910" spans="1:10">
      <c r="A910">
        <v>909</v>
      </c>
      <c r="B910">
        <v>16368</v>
      </c>
      <c r="C910" t="s">
        <v>23</v>
      </c>
      <c r="D910">
        <v>40905.35</v>
      </c>
      <c r="E910" t="s">
        <v>16</v>
      </c>
      <c r="F910">
        <v>42</v>
      </c>
      <c r="G910" t="s">
        <v>17</v>
      </c>
      <c r="H910" s="1">
        <v>45314</v>
      </c>
      <c r="I910" s="1">
        <v>45356</v>
      </c>
      <c r="J910" t="str">
        <f t="shared" si="14"/>
        <v>Jan-2024</v>
      </c>
    </row>
    <row r="911" spans="1:10">
      <c r="A911">
        <v>910</v>
      </c>
      <c r="B911">
        <v>19914</v>
      </c>
      <c r="C911" t="s">
        <v>23</v>
      </c>
      <c r="D911">
        <v>168870.49</v>
      </c>
      <c r="E911" t="s">
        <v>16</v>
      </c>
      <c r="F911">
        <v>6</v>
      </c>
      <c r="G911" t="s">
        <v>25</v>
      </c>
      <c r="H911" s="1">
        <v>45481</v>
      </c>
      <c r="I911" s="1">
        <v>45487</v>
      </c>
      <c r="J911" t="str">
        <f t="shared" si="14"/>
        <v>Jul-2024</v>
      </c>
    </row>
    <row r="912" spans="1:10">
      <c r="A912">
        <v>911</v>
      </c>
      <c r="B912">
        <v>19948</v>
      </c>
      <c r="C912" t="s">
        <v>23</v>
      </c>
      <c r="D912">
        <v>28703.54</v>
      </c>
      <c r="E912" t="s">
        <v>16</v>
      </c>
      <c r="F912">
        <v>9</v>
      </c>
      <c r="G912" t="s">
        <v>17</v>
      </c>
      <c r="H912" s="1">
        <v>45539</v>
      </c>
      <c r="I912" s="1">
        <v>45548</v>
      </c>
      <c r="J912" t="str">
        <f t="shared" si="14"/>
        <v>Sep-2024</v>
      </c>
    </row>
    <row r="913" spans="1:10">
      <c r="A913">
        <v>912</v>
      </c>
      <c r="B913">
        <v>15873</v>
      </c>
      <c r="C913" t="s">
        <v>23</v>
      </c>
      <c r="D913">
        <v>46923.48</v>
      </c>
      <c r="E913" t="s">
        <v>24</v>
      </c>
      <c r="G913" t="s">
        <v>21</v>
      </c>
      <c r="H913" s="1">
        <v>45600</v>
      </c>
      <c r="J913" t="str">
        <f t="shared" si="14"/>
        <v>Nov-2024</v>
      </c>
    </row>
    <row r="914" spans="1:10">
      <c r="A914">
        <v>913</v>
      </c>
      <c r="B914">
        <v>17498</v>
      </c>
      <c r="C914" t="s">
        <v>23</v>
      </c>
      <c r="D914">
        <v>12249.18</v>
      </c>
      <c r="E914" t="s">
        <v>16</v>
      </c>
      <c r="F914">
        <v>42</v>
      </c>
      <c r="G914" t="s">
        <v>21</v>
      </c>
      <c r="H914" s="1">
        <v>45436</v>
      </c>
      <c r="I914" s="1">
        <v>45478</v>
      </c>
      <c r="J914" t="str">
        <f t="shared" si="14"/>
        <v>May-2024</v>
      </c>
    </row>
    <row r="915" spans="1:10">
      <c r="A915">
        <v>914</v>
      </c>
      <c r="B915">
        <v>17172</v>
      </c>
      <c r="C915" t="s">
        <v>23</v>
      </c>
      <c r="D915">
        <v>32458.31</v>
      </c>
      <c r="E915" t="s">
        <v>16</v>
      </c>
      <c r="F915">
        <v>23</v>
      </c>
      <c r="G915" t="s">
        <v>25</v>
      </c>
      <c r="H915" s="1">
        <v>45596</v>
      </c>
      <c r="I915" s="1">
        <v>45619</v>
      </c>
      <c r="J915" t="str">
        <f t="shared" si="14"/>
        <v>Oct-2024</v>
      </c>
    </row>
    <row r="916" spans="1:10">
      <c r="A916">
        <v>915</v>
      </c>
      <c r="B916">
        <v>15635</v>
      </c>
      <c r="C916" t="s">
        <v>18</v>
      </c>
      <c r="D916">
        <v>183874.11</v>
      </c>
      <c r="E916" t="s">
        <v>16</v>
      </c>
      <c r="F916">
        <v>15</v>
      </c>
      <c r="G916" t="s">
        <v>20</v>
      </c>
      <c r="H916" s="1">
        <v>45468</v>
      </c>
      <c r="I916" s="1">
        <v>45483</v>
      </c>
      <c r="J916" t="str">
        <f t="shared" si="14"/>
        <v>Jun-2024</v>
      </c>
    </row>
    <row r="917" spans="1:10">
      <c r="A917">
        <v>916</v>
      </c>
      <c r="B917">
        <v>13847</v>
      </c>
      <c r="C917" t="s">
        <v>18</v>
      </c>
      <c r="D917">
        <v>94590.56</v>
      </c>
      <c r="E917" t="s">
        <v>16</v>
      </c>
      <c r="F917">
        <v>20</v>
      </c>
      <c r="G917" t="s">
        <v>25</v>
      </c>
      <c r="H917" s="1">
        <v>45486</v>
      </c>
      <c r="I917" s="1">
        <v>45506</v>
      </c>
      <c r="J917" t="str">
        <f t="shared" si="14"/>
        <v>Jul-2024</v>
      </c>
    </row>
    <row r="918" spans="1:10">
      <c r="A918">
        <v>917</v>
      </c>
      <c r="B918">
        <v>19129</v>
      </c>
      <c r="C918" t="s">
        <v>23</v>
      </c>
      <c r="D918">
        <v>20144.84</v>
      </c>
      <c r="E918" t="s">
        <v>19</v>
      </c>
      <c r="F918">
        <v>14</v>
      </c>
      <c r="G918" t="s">
        <v>25</v>
      </c>
      <c r="H918" s="1">
        <v>45304</v>
      </c>
      <c r="I918" s="1">
        <v>45318</v>
      </c>
      <c r="J918" t="str">
        <f t="shared" si="14"/>
        <v>Jan-2024</v>
      </c>
    </row>
    <row r="919" spans="1:10">
      <c r="A919">
        <v>918</v>
      </c>
      <c r="B919">
        <v>10764</v>
      </c>
      <c r="C919" t="s">
        <v>18</v>
      </c>
      <c r="D919">
        <v>192146.73</v>
      </c>
      <c r="E919" t="s">
        <v>16</v>
      </c>
      <c r="F919">
        <v>36</v>
      </c>
      <c r="G919" t="s">
        <v>20</v>
      </c>
      <c r="H919" s="1">
        <v>45655</v>
      </c>
      <c r="I919" s="1">
        <v>45691</v>
      </c>
      <c r="J919" t="str">
        <f t="shared" si="14"/>
        <v>Dec-2024</v>
      </c>
    </row>
    <row r="920" spans="1:10">
      <c r="A920">
        <v>919</v>
      </c>
      <c r="B920">
        <v>16306</v>
      </c>
      <c r="C920" t="s">
        <v>23</v>
      </c>
      <c r="D920">
        <v>176403.5</v>
      </c>
      <c r="E920" t="s">
        <v>19</v>
      </c>
      <c r="F920">
        <v>5</v>
      </c>
      <c r="G920" t="s">
        <v>20</v>
      </c>
      <c r="H920" s="1">
        <v>45457</v>
      </c>
      <c r="I920" s="1">
        <v>45462</v>
      </c>
      <c r="J920" t="str">
        <f t="shared" si="14"/>
        <v>Jun-2024</v>
      </c>
    </row>
    <row r="921" spans="1:10">
      <c r="A921">
        <v>920</v>
      </c>
      <c r="B921">
        <v>10652</v>
      </c>
      <c r="C921" t="s">
        <v>23</v>
      </c>
      <c r="D921">
        <v>152163.09</v>
      </c>
      <c r="E921" t="s">
        <v>16</v>
      </c>
      <c r="F921">
        <v>34</v>
      </c>
      <c r="G921" t="s">
        <v>20</v>
      </c>
      <c r="H921" s="1">
        <v>45441</v>
      </c>
      <c r="I921" s="1">
        <v>45475</v>
      </c>
      <c r="J921" t="str">
        <f t="shared" si="14"/>
        <v>May-2024</v>
      </c>
    </row>
    <row r="922" spans="1:10">
      <c r="A922">
        <v>921</v>
      </c>
      <c r="B922">
        <v>17044</v>
      </c>
      <c r="C922" t="s">
        <v>18</v>
      </c>
      <c r="D922">
        <v>187027.19</v>
      </c>
      <c r="E922" t="s">
        <v>16</v>
      </c>
      <c r="F922">
        <v>23</v>
      </c>
      <c r="G922" t="s">
        <v>21</v>
      </c>
      <c r="H922" s="1">
        <v>45632</v>
      </c>
      <c r="I922" s="1">
        <v>45655</v>
      </c>
      <c r="J922" t="str">
        <f t="shared" si="14"/>
        <v>Dec-2024</v>
      </c>
    </row>
    <row r="923" spans="1:10">
      <c r="A923">
        <v>922</v>
      </c>
      <c r="B923">
        <v>13964</v>
      </c>
      <c r="C923" t="s">
        <v>18</v>
      </c>
      <c r="D923">
        <v>47925.24</v>
      </c>
      <c r="E923" t="s">
        <v>16</v>
      </c>
      <c r="F923">
        <v>2</v>
      </c>
      <c r="G923" t="s">
        <v>17</v>
      </c>
      <c r="H923" s="1">
        <v>45336</v>
      </c>
      <c r="I923" s="1">
        <v>45338</v>
      </c>
      <c r="J923" t="str">
        <f t="shared" si="14"/>
        <v>Feb-2024</v>
      </c>
    </row>
    <row r="924" spans="1:10">
      <c r="A924">
        <v>923</v>
      </c>
      <c r="B924">
        <v>14611</v>
      </c>
      <c r="C924" t="s">
        <v>18</v>
      </c>
      <c r="D924">
        <v>168092.01</v>
      </c>
      <c r="E924" t="s">
        <v>16</v>
      </c>
      <c r="F924">
        <v>12</v>
      </c>
      <c r="G924" t="s">
        <v>21</v>
      </c>
      <c r="H924" s="1">
        <v>45465</v>
      </c>
      <c r="I924" s="1">
        <v>45477</v>
      </c>
      <c r="J924" t="str">
        <f t="shared" si="14"/>
        <v>Jun-2024</v>
      </c>
    </row>
    <row r="925" spans="1:10">
      <c r="A925">
        <v>924</v>
      </c>
      <c r="B925">
        <v>15759</v>
      </c>
      <c r="C925" t="s">
        <v>23</v>
      </c>
      <c r="D925">
        <v>139548.28</v>
      </c>
      <c r="E925" t="s">
        <v>16</v>
      </c>
      <c r="F925">
        <v>17</v>
      </c>
      <c r="G925" t="s">
        <v>17</v>
      </c>
      <c r="H925" s="1">
        <v>45458</v>
      </c>
      <c r="I925" s="1">
        <v>45475</v>
      </c>
      <c r="J925" t="str">
        <f t="shared" si="14"/>
        <v>Jun-2024</v>
      </c>
    </row>
    <row r="926" spans="1:10">
      <c r="A926">
        <v>925</v>
      </c>
      <c r="B926">
        <v>18378</v>
      </c>
      <c r="C926" t="s">
        <v>15</v>
      </c>
      <c r="D926">
        <v>174603.05</v>
      </c>
      <c r="E926" t="s">
        <v>16</v>
      </c>
      <c r="F926">
        <v>5</v>
      </c>
      <c r="G926" t="s">
        <v>21</v>
      </c>
      <c r="H926" s="1">
        <v>45488</v>
      </c>
      <c r="I926" s="1">
        <v>45493</v>
      </c>
      <c r="J926" t="str">
        <f t="shared" si="14"/>
        <v>Jul-2024</v>
      </c>
    </row>
    <row r="927" spans="1:10">
      <c r="A927">
        <v>926</v>
      </c>
      <c r="B927">
        <v>10145</v>
      </c>
      <c r="C927" t="s">
        <v>18</v>
      </c>
      <c r="D927">
        <v>160397.76000000001</v>
      </c>
      <c r="E927" t="s">
        <v>16</v>
      </c>
      <c r="F927">
        <v>30</v>
      </c>
      <c r="G927" t="s">
        <v>17</v>
      </c>
      <c r="H927" s="1">
        <v>45497</v>
      </c>
      <c r="I927" s="1">
        <v>45527</v>
      </c>
      <c r="J927" t="str">
        <f t="shared" si="14"/>
        <v>Jul-2024</v>
      </c>
    </row>
    <row r="928" spans="1:10">
      <c r="A928">
        <v>927</v>
      </c>
      <c r="B928">
        <v>15101</v>
      </c>
      <c r="C928" t="s">
        <v>18</v>
      </c>
      <c r="D928">
        <v>72566.539999999994</v>
      </c>
      <c r="E928" t="s">
        <v>16</v>
      </c>
      <c r="F928">
        <v>40</v>
      </c>
      <c r="G928" t="s">
        <v>21</v>
      </c>
      <c r="H928" s="1">
        <v>45373</v>
      </c>
      <c r="I928" s="1">
        <v>45413</v>
      </c>
      <c r="J928" t="str">
        <f t="shared" si="14"/>
        <v>Mar-2024</v>
      </c>
    </row>
    <row r="929" spans="1:10">
      <c r="A929">
        <v>928</v>
      </c>
      <c r="B929">
        <v>14247</v>
      </c>
      <c r="C929" t="s">
        <v>18</v>
      </c>
      <c r="D929">
        <v>156007.71</v>
      </c>
      <c r="E929" t="s">
        <v>24</v>
      </c>
      <c r="G929" t="s">
        <v>20</v>
      </c>
      <c r="H929" s="1">
        <v>45359</v>
      </c>
      <c r="J929" t="str">
        <f t="shared" si="14"/>
        <v>Mar-2024</v>
      </c>
    </row>
    <row r="930" spans="1:10">
      <c r="A930">
        <v>929</v>
      </c>
      <c r="B930">
        <v>19578</v>
      </c>
      <c r="C930" t="s">
        <v>15</v>
      </c>
      <c r="D930">
        <v>56178.98</v>
      </c>
      <c r="E930" t="s">
        <v>16</v>
      </c>
      <c r="F930">
        <v>25</v>
      </c>
      <c r="G930" t="s">
        <v>25</v>
      </c>
      <c r="H930" s="1">
        <v>45388</v>
      </c>
      <c r="I930" s="1">
        <v>45413</v>
      </c>
      <c r="J930" t="str">
        <f t="shared" si="14"/>
        <v>Apr-2024</v>
      </c>
    </row>
    <row r="931" spans="1:10">
      <c r="A931">
        <v>930</v>
      </c>
      <c r="B931">
        <v>14188</v>
      </c>
      <c r="C931" t="s">
        <v>18</v>
      </c>
      <c r="D931">
        <v>69075.47</v>
      </c>
      <c r="E931" t="s">
        <v>16</v>
      </c>
      <c r="F931">
        <v>10</v>
      </c>
      <c r="G931" t="s">
        <v>21</v>
      </c>
      <c r="H931" s="1">
        <v>45458</v>
      </c>
      <c r="I931" s="1">
        <v>45468</v>
      </c>
      <c r="J931" t="str">
        <f t="shared" si="14"/>
        <v>Jun-2024</v>
      </c>
    </row>
    <row r="932" spans="1:10">
      <c r="A932">
        <v>931</v>
      </c>
      <c r="B932">
        <v>12696</v>
      </c>
      <c r="C932" t="s">
        <v>18</v>
      </c>
      <c r="D932">
        <v>26041.61</v>
      </c>
      <c r="E932" t="s">
        <v>16</v>
      </c>
      <c r="F932">
        <v>9</v>
      </c>
      <c r="G932" t="s">
        <v>17</v>
      </c>
      <c r="H932" s="1">
        <v>45368</v>
      </c>
      <c r="I932" s="1">
        <v>45377</v>
      </c>
      <c r="J932" t="str">
        <f t="shared" si="14"/>
        <v>Mar-2024</v>
      </c>
    </row>
    <row r="933" spans="1:10">
      <c r="A933">
        <v>932</v>
      </c>
      <c r="B933">
        <v>18240</v>
      </c>
      <c r="C933" t="s">
        <v>22</v>
      </c>
      <c r="D933">
        <v>187339.94</v>
      </c>
      <c r="E933" t="s">
        <v>16</v>
      </c>
      <c r="F933">
        <v>15</v>
      </c>
      <c r="G933" t="s">
        <v>20</v>
      </c>
      <c r="H933" s="1">
        <v>45528</v>
      </c>
      <c r="I933" s="1">
        <v>45543</v>
      </c>
      <c r="J933" t="str">
        <f t="shared" si="14"/>
        <v>Aug-2024</v>
      </c>
    </row>
    <row r="934" spans="1:10">
      <c r="A934">
        <v>933</v>
      </c>
      <c r="B934">
        <v>13329</v>
      </c>
      <c r="C934" t="s">
        <v>18</v>
      </c>
      <c r="D934">
        <v>61745.66</v>
      </c>
      <c r="E934" t="s">
        <v>16</v>
      </c>
      <c r="F934">
        <v>16</v>
      </c>
      <c r="G934" t="s">
        <v>21</v>
      </c>
      <c r="H934" s="1">
        <v>45487</v>
      </c>
      <c r="I934" s="1">
        <v>45503</v>
      </c>
      <c r="J934" t="str">
        <f t="shared" si="14"/>
        <v>Jul-2024</v>
      </c>
    </row>
    <row r="935" spans="1:10">
      <c r="A935">
        <v>934</v>
      </c>
      <c r="B935">
        <v>13481</v>
      </c>
      <c r="C935" t="s">
        <v>23</v>
      </c>
      <c r="D935">
        <v>106521.38</v>
      </c>
      <c r="E935" t="s">
        <v>19</v>
      </c>
      <c r="F935">
        <v>23</v>
      </c>
      <c r="G935" t="s">
        <v>21</v>
      </c>
      <c r="H935" s="1">
        <v>45582</v>
      </c>
      <c r="I935" s="1">
        <v>45605</v>
      </c>
      <c r="J935" t="str">
        <f t="shared" si="14"/>
        <v>Oct-2024</v>
      </c>
    </row>
    <row r="936" spans="1:10">
      <c r="A936">
        <v>935</v>
      </c>
      <c r="B936">
        <v>18966</v>
      </c>
      <c r="C936" t="s">
        <v>18</v>
      </c>
      <c r="D936">
        <v>81309.899999999994</v>
      </c>
      <c r="E936" t="s">
        <v>24</v>
      </c>
      <c r="G936" t="s">
        <v>20</v>
      </c>
      <c r="H936" s="1">
        <v>45427</v>
      </c>
      <c r="J936" t="str">
        <f t="shared" si="14"/>
        <v>May-2024</v>
      </c>
    </row>
    <row r="937" spans="1:10">
      <c r="A937">
        <v>936</v>
      </c>
      <c r="B937">
        <v>14641</v>
      </c>
      <c r="C937" t="s">
        <v>23</v>
      </c>
      <c r="D937">
        <v>192185.98</v>
      </c>
      <c r="E937" t="s">
        <v>16</v>
      </c>
      <c r="F937">
        <v>16</v>
      </c>
      <c r="G937" t="s">
        <v>21</v>
      </c>
      <c r="H937" s="1">
        <v>45599</v>
      </c>
      <c r="I937" s="1">
        <v>45615</v>
      </c>
      <c r="J937" t="str">
        <f t="shared" si="14"/>
        <v>Nov-2024</v>
      </c>
    </row>
    <row r="938" spans="1:10">
      <c r="A938">
        <v>937</v>
      </c>
      <c r="B938">
        <v>15559</v>
      </c>
      <c r="C938" t="s">
        <v>23</v>
      </c>
      <c r="D938">
        <v>70334.59</v>
      </c>
      <c r="E938" t="s">
        <v>16</v>
      </c>
      <c r="F938">
        <v>7</v>
      </c>
      <c r="G938" t="s">
        <v>25</v>
      </c>
      <c r="H938" s="1">
        <v>45587</v>
      </c>
      <c r="I938" s="1">
        <v>45594</v>
      </c>
      <c r="J938" t="str">
        <f t="shared" si="14"/>
        <v>Oct-2024</v>
      </c>
    </row>
    <row r="939" spans="1:10">
      <c r="A939">
        <v>938</v>
      </c>
      <c r="B939">
        <v>11260</v>
      </c>
      <c r="C939" t="s">
        <v>18</v>
      </c>
      <c r="D939">
        <v>156816.44</v>
      </c>
      <c r="E939" t="s">
        <v>16</v>
      </c>
      <c r="F939">
        <v>2</v>
      </c>
      <c r="G939" t="s">
        <v>21</v>
      </c>
      <c r="H939" s="1">
        <v>45327</v>
      </c>
      <c r="I939" s="1">
        <v>45329</v>
      </c>
      <c r="J939" t="str">
        <f t="shared" si="14"/>
        <v>Feb-2024</v>
      </c>
    </row>
    <row r="940" spans="1:10">
      <c r="A940">
        <v>939</v>
      </c>
      <c r="B940">
        <v>10649</v>
      </c>
      <c r="C940" t="s">
        <v>22</v>
      </c>
      <c r="D940">
        <v>171806.15</v>
      </c>
      <c r="E940" t="s">
        <v>16</v>
      </c>
      <c r="F940">
        <v>21</v>
      </c>
      <c r="G940" t="s">
        <v>25</v>
      </c>
      <c r="H940" s="1">
        <v>45539</v>
      </c>
      <c r="I940" s="1">
        <v>45560</v>
      </c>
      <c r="J940" t="str">
        <f t="shared" si="14"/>
        <v>Sep-2024</v>
      </c>
    </row>
    <row r="941" spans="1:10">
      <c r="A941">
        <v>940</v>
      </c>
      <c r="B941">
        <v>13048</v>
      </c>
      <c r="C941" t="s">
        <v>22</v>
      </c>
      <c r="D941">
        <v>89943.27</v>
      </c>
      <c r="E941" t="s">
        <v>16</v>
      </c>
      <c r="F941">
        <v>42</v>
      </c>
      <c r="G941" t="s">
        <v>25</v>
      </c>
      <c r="H941" s="1">
        <v>45545</v>
      </c>
      <c r="I941" s="1">
        <v>45587</v>
      </c>
      <c r="J941" t="str">
        <f t="shared" si="14"/>
        <v>Sep-2024</v>
      </c>
    </row>
    <row r="942" spans="1:10">
      <c r="A942">
        <v>941</v>
      </c>
      <c r="B942">
        <v>12023</v>
      </c>
      <c r="C942" t="s">
        <v>23</v>
      </c>
      <c r="D942">
        <v>78743.5</v>
      </c>
      <c r="E942" t="s">
        <v>16</v>
      </c>
      <c r="F942">
        <v>37</v>
      </c>
      <c r="G942" t="s">
        <v>20</v>
      </c>
      <c r="H942" s="1">
        <v>45505</v>
      </c>
      <c r="I942" s="1">
        <v>45542</v>
      </c>
      <c r="J942" t="str">
        <f t="shared" si="14"/>
        <v>Aug-2024</v>
      </c>
    </row>
    <row r="943" spans="1:10">
      <c r="A943">
        <v>942</v>
      </c>
      <c r="B943">
        <v>19272</v>
      </c>
      <c r="C943" t="s">
        <v>18</v>
      </c>
      <c r="D943">
        <v>150810.44</v>
      </c>
      <c r="E943" t="s">
        <v>16</v>
      </c>
      <c r="F943">
        <v>3</v>
      </c>
      <c r="G943" t="s">
        <v>21</v>
      </c>
      <c r="H943" s="1">
        <v>45543</v>
      </c>
      <c r="I943" s="1">
        <v>45546</v>
      </c>
      <c r="J943" t="str">
        <f t="shared" si="14"/>
        <v>Sep-2024</v>
      </c>
    </row>
    <row r="944" spans="1:10">
      <c r="A944">
        <v>943</v>
      </c>
      <c r="B944">
        <v>14270</v>
      </c>
      <c r="C944" t="s">
        <v>23</v>
      </c>
      <c r="D944">
        <v>183014.72</v>
      </c>
      <c r="E944" t="s">
        <v>16</v>
      </c>
      <c r="F944">
        <v>7</v>
      </c>
      <c r="G944" t="s">
        <v>20</v>
      </c>
      <c r="H944" s="1">
        <v>45361</v>
      </c>
      <c r="I944" s="1">
        <v>45368</v>
      </c>
      <c r="J944" t="str">
        <f t="shared" si="14"/>
        <v>Mar-2024</v>
      </c>
    </row>
    <row r="945" spans="1:10">
      <c r="A945">
        <v>944</v>
      </c>
      <c r="B945">
        <v>15333</v>
      </c>
      <c r="C945" t="s">
        <v>22</v>
      </c>
      <c r="D945">
        <v>152211.69</v>
      </c>
      <c r="E945" t="s">
        <v>16</v>
      </c>
      <c r="F945">
        <v>3</v>
      </c>
      <c r="G945" t="s">
        <v>21</v>
      </c>
      <c r="H945" s="1">
        <v>45525</v>
      </c>
      <c r="I945" s="1">
        <v>45528</v>
      </c>
      <c r="J945" t="str">
        <f t="shared" si="14"/>
        <v>Aug-2024</v>
      </c>
    </row>
    <row r="946" spans="1:10">
      <c r="A946">
        <v>945</v>
      </c>
      <c r="B946">
        <v>12074</v>
      </c>
      <c r="C946" t="s">
        <v>22</v>
      </c>
      <c r="D946">
        <v>49289.64</v>
      </c>
      <c r="E946" t="s">
        <v>16</v>
      </c>
      <c r="F946">
        <v>4</v>
      </c>
      <c r="G946" t="s">
        <v>21</v>
      </c>
      <c r="H946" s="1">
        <v>45620</v>
      </c>
      <c r="I946" s="1">
        <v>45624</v>
      </c>
      <c r="J946" t="str">
        <f t="shared" si="14"/>
        <v>Nov-2024</v>
      </c>
    </row>
    <row r="947" spans="1:10">
      <c r="A947">
        <v>946</v>
      </c>
      <c r="B947">
        <v>16037</v>
      </c>
      <c r="C947" t="s">
        <v>18</v>
      </c>
      <c r="D947">
        <v>178220.01</v>
      </c>
      <c r="E947" t="s">
        <v>16</v>
      </c>
      <c r="F947">
        <v>8</v>
      </c>
      <c r="G947" t="s">
        <v>17</v>
      </c>
      <c r="H947" s="1">
        <v>45307</v>
      </c>
      <c r="I947" s="1">
        <v>45315</v>
      </c>
      <c r="J947" t="str">
        <f t="shared" si="14"/>
        <v>Jan-2024</v>
      </c>
    </row>
    <row r="948" spans="1:10">
      <c r="A948">
        <v>947</v>
      </c>
      <c r="B948">
        <v>12312</v>
      </c>
      <c r="C948" t="s">
        <v>15</v>
      </c>
      <c r="D948">
        <v>80578.429999999993</v>
      </c>
      <c r="E948" t="s">
        <v>16</v>
      </c>
      <c r="F948">
        <v>21</v>
      </c>
      <c r="G948" t="s">
        <v>21</v>
      </c>
      <c r="H948" s="1">
        <v>45465</v>
      </c>
      <c r="I948" s="1">
        <v>45486</v>
      </c>
      <c r="J948" t="str">
        <f t="shared" si="14"/>
        <v>Jun-2024</v>
      </c>
    </row>
    <row r="949" spans="1:10">
      <c r="A949">
        <v>948</v>
      </c>
      <c r="B949">
        <v>13474</v>
      </c>
      <c r="C949" t="s">
        <v>18</v>
      </c>
      <c r="D949">
        <v>117364.74</v>
      </c>
      <c r="E949" t="s">
        <v>19</v>
      </c>
      <c r="F949">
        <v>42</v>
      </c>
      <c r="G949" t="s">
        <v>20</v>
      </c>
      <c r="H949" s="1">
        <v>45478</v>
      </c>
      <c r="I949" s="1">
        <v>45520</v>
      </c>
      <c r="J949" t="str">
        <f t="shared" si="14"/>
        <v>Jul-2024</v>
      </c>
    </row>
    <row r="950" spans="1:10">
      <c r="A950">
        <v>949</v>
      </c>
      <c r="B950">
        <v>13260</v>
      </c>
      <c r="C950" t="s">
        <v>18</v>
      </c>
      <c r="D950">
        <v>167129.95000000001</v>
      </c>
      <c r="E950" t="s">
        <v>16</v>
      </c>
      <c r="F950">
        <v>42</v>
      </c>
      <c r="G950" t="s">
        <v>25</v>
      </c>
      <c r="H950" s="1">
        <v>45585</v>
      </c>
      <c r="I950" s="1">
        <v>45627</v>
      </c>
      <c r="J950" t="str">
        <f t="shared" si="14"/>
        <v>Oct-2024</v>
      </c>
    </row>
    <row r="951" spans="1:10">
      <c r="A951">
        <v>950</v>
      </c>
      <c r="B951">
        <v>14838</v>
      </c>
      <c r="C951" t="s">
        <v>23</v>
      </c>
      <c r="D951">
        <v>41736.980000000003</v>
      </c>
      <c r="E951" t="s">
        <v>19</v>
      </c>
      <c r="F951">
        <v>6</v>
      </c>
      <c r="G951" t="s">
        <v>21</v>
      </c>
      <c r="H951" s="1">
        <v>45516</v>
      </c>
      <c r="I951" s="1">
        <v>45522</v>
      </c>
      <c r="J951" t="str">
        <f t="shared" si="14"/>
        <v>Aug-2024</v>
      </c>
    </row>
    <row r="952" spans="1:10">
      <c r="A952">
        <v>951</v>
      </c>
      <c r="B952">
        <v>15618</v>
      </c>
      <c r="C952" t="s">
        <v>23</v>
      </c>
      <c r="D952">
        <v>157979.48000000001</v>
      </c>
      <c r="E952" t="s">
        <v>16</v>
      </c>
      <c r="F952">
        <v>26</v>
      </c>
      <c r="G952" t="s">
        <v>17</v>
      </c>
      <c r="H952" s="1">
        <v>45565</v>
      </c>
      <c r="I952" s="1">
        <v>45591</v>
      </c>
      <c r="J952" t="str">
        <f t="shared" si="14"/>
        <v>Sep-2024</v>
      </c>
    </row>
    <row r="953" spans="1:10">
      <c r="A953">
        <v>952</v>
      </c>
      <c r="B953">
        <v>11350</v>
      </c>
      <c r="C953" t="s">
        <v>18</v>
      </c>
      <c r="D953">
        <v>121251.75</v>
      </c>
      <c r="E953" t="s">
        <v>16</v>
      </c>
      <c r="F953">
        <v>39</v>
      </c>
      <c r="G953" t="s">
        <v>20</v>
      </c>
      <c r="H953" s="1">
        <v>45303</v>
      </c>
      <c r="I953" s="1">
        <v>45342</v>
      </c>
      <c r="J953" t="str">
        <f t="shared" si="14"/>
        <v>Jan-2024</v>
      </c>
    </row>
    <row r="954" spans="1:10">
      <c r="A954">
        <v>953</v>
      </c>
      <c r="B954">
        <v>19285</v>
      </c>
      <c r="C954" t="s">
        <v>18</v>
      </c>
      <c r="D954">
        <v>179201.62</v>
      </c>
      <c r="E954" t="s">
        <v>16</v>
      </c>
      <c r="F954">
        <v>19</v>
      </c>
      <c r="G954" t="s">
        <v>21</v>
      </c>
      <c r="H954" s="1">
        <v>45601</v>
      </c>
      <c r="I954" s="1">
        <v>45620</v>
      </c>
      <c r="J954" t="str">
        <f t="shared" si="14"/>
        <v>Nov-2024</v>
      </c>
    </row>
    <row r="955" spans="1:10">
      <c r="A955">
        <v>954</v>
      </c>
      <c r="B955">
        <v>16048</v>
      </c>
      <c r="C955" t="s">
        <v>23</v>
      </c>
      <c r="D955">
        <v>38534.230000000003</v>
      </c>
      <c r="E955" t="s">
        <v>16</v>
      </c>
      <c r="F955">
        <v>2</v>
      </c>
      <c r="G955" t="s">
        <v>20</v>
      </c>
      <c r="H955" s="1">
        <v>45510</v>
      </c>
      <c r="I955" s="1">
        <v>45512</v>
      </c>
      <c r="J955" t="str">
        <f t="shared" si="14"/>
        <v>Aug-2024</v>
      </c>
    </row>
    <row r="956" spans="1:10">
      <c r="A956">
        <v>955</v>
      </c>
      <c r="B956">
        <v>17931</v>
      </c>
      <c r="C956" t="s">
        <v>22</v>
      </c>
      <c r="D956">
        <v>87033.04</v>
      </c>
      <c r="E956" t="s">
        <v>24</v>
      </c>
      <c r="G956" t="s">
        <v>17</v>
      </c>
      <c r="H956" s="1">
        <v>45292</v>
      </c>
      <c r="J956" t="str">
        <f t="shared" si="14"/>
        <v>Jan-2024</v>
      </c>
    </row>
    <row r="957" spans="1:10">
      <c r="A957">
        <v>956</v>
      </c>
      <c r="B957">
        <v>18141</v>
      </c>
      <c r="C957" t="s">
        <v>23</v>
      </c>
      <c r="D957">
        <v>167404.4</v>
      </c>
      <c r="E957" t="s">
        <v>16</v>
      </c>
      <c r="F957">
        <v>18</v>
      </c>
      <c r="G957" t="s">
        <v>17</v>
      </c>
      <c r="H957" s="1">
        <v>45402</v>
      </c>
      <c r="I957" s="1">
        <v>45420</v>
      </c>
      <c r="J957" t="str">
        <f t="shared" si="14"/>
        <v>Apr-2024</v>
      </c>
    </row>
    <row r="958" spans="1:10">
      <c r="A958">
        <v>957</v>
      </c>
      <c r="B958">
        <v>17323</v>
      </c>
      <c r="C958" t="s">
        <v>18</v>
      </c>
      <c r="D958">
        <v>8750.18</v>
      </c>
      <c r="E958" t="s">
        <v>16</v>
      </c>
      <c r="F958">
        <v>16</v>
      </c>
      <c r="G958" t="s">
        <v>20</v>
      </c>
      <c r="H958" s="1">
        <v>45568</v>
      </c>
      <c r="I958" s="1">
        <v>45584</v>
      </c>
      <c r="J958" t="str">
        <f t="shared" si="14"/>
        <v>Oct-2024</v>
      </c>
    </row>
    <row r="959" spans="1:10">
      <c r="A959">
        <v>958</v>
      </c>
      <c r="B959">
        <v>15777</v>
      </c>
      <c r="C959" t="s">
        <v>18</v>
      </c>
      <c r="D959">
        <v>26879.27</v>
      </c>
      <c r="E959" t="s">
        <v>16</v>
      </c>
      <c r="F959">
        <v>6</v>
      </c>
      <c r="G959" t="s">
        <v>21</v>
      </c>
      <c r="H959" s="1">
        <v>45420</v>
      </c>
      <c r="I959" s="1">
        <v>45426</v>
      </c>
      <c r="J959" t="str">
        <f t="shared" si="14"/>
        <v>May-2024</v>
      </c>
    </row>
    <row r="960" spans="1:10">
      <c r="A960">
        <v>959</v>
      </c>
      <c r="B960">
        <v>11854</v>
      </c>
      <c r="C960" t="s">
        <v>18</v>
      </c>
      <c r="D960">
        <v>198160.22</v>
      </c>
      <c r="E960" t="s">
        <v>24</v>
      </c>
      <c r="G960" t="s">
        <v>25</v>
      </c>
      <c r="H960" s="1">
        <v>45384</v>
      </c>
      <c r="J960" t="str">
        <f t="shared" si="14"/>
        <v>Apr-2024</v>
      </c>
    </row>
    <row r="961" spans="1:10">
      <c r="A961">
        <v>960</v>
      </c>
      <c r="B961">
        <v>12266</v>
      </c>
      <c r="C961" t="s">
        <v>18</v>
      </c>
      <c r="D961">
        <v>59676.86</v>
      </c>
      <c r="E961" t="s">
        <v>16</v>
      </c>
      <c r="F961">
        <v>22</v>
      </c>
      <c r="G961" t="s">
        <v>17</v>
      </c>
      <c r="H961" s="1">
        <v>45330</v>
      </c>
      <c r="I961" s="1">
        <v>45352</v>
      </c>
      <c r="J961" t="str">
        <f t="shared" si="14"/>
        <v>Feb-2024</v>
      </c>
    </row>
    <row r="962" spans="1:10">
      <c r="A962">
        <v>961</v>
      </c>
      <c r="B962">
        <v>10560</v>
      </c>
      <c r="C962" t="s">
        <v>23</v>
      </c>
      <c r="D962">
        <v>195230.92</v>
      </c>
      <c r="E962" t="s">
        <v>24</v>
      </c>
      <c r="G962" t="s">
        <v>21</v>
      </c>
      <c r="H962" s="1">
        <v>45607</v>
      </c>
      <c r="J962" t="str">
        <f t="shared" si="14"/>
        <v>Nov-2024</v>
      </c>
    </row>
    <row r="963" spans="1:10">
      <c r="A963">
        <v>962</v>
      </c>
      <c r="B963">
        <v>17546</v>
      </c>
      <c r="C963" t="s">
        <v>23</v>
      </c>
      <c r="D963">
        <v>40593.65</v>
      </c>
      <c r="E963" t="s">
        <v>24</v>
      </c>
      <c r="G963" t="s">
        <v>21</v>
      </c>
      <c r="H963" s="1">
        <v>45450</v>
      </c>
      <c r="J963" t="str">
        <f t="shared" ref="J963:J1026" si="15">TEXT(H963,"mmm-yyyy")</f>
        <v>Jun-2024</v>
      </c>
    </row>
    <row r="964" spans="1:10">
      <c r="A964">
        <v>963</v>
      </c>
      <c r="B964">
        <v>14987</v>
      </c>
      <c r="C964" t="s">
        <v>18</v>
      </c>
      <c r="D964">
        <v>75413.42</v>
      </c>
      <c r="E964" t="s">
        <v>16</v>
      </c>
      <c r="F964">
        <v>11</v>
      </c>
      <c r="G964" t="s">
        <v>25</v>
      </c>
      <c r="H964" s="1">
        <v>45477</v>
      </c>
      <c r="I964" s="1">
        <v>45488</v>
      </c>
      <c r="J964" t="str">
        <f t="shared" si="15"/>
        <v>Jul-2024</v>
      </c>
    </row>
    <row r="965" spans="1:10">
      <c r="A965">
        <v>964</v>
      </c>
      <c r="B965">
        <v>17207</v>
      </c>
      <c r="C965" t="s">
        <v>18</v>
      </c>
      <c r="D965">
        <v>151809.54</v>
      </c>
      <c r="E965" t="s">
        <v>19</v>
      </c>
      <c r="F965">
        <v>18</v>
      </c>
      <c r="G965" t="s">
        <v>17</v>
      </c>
      <c r="H965" s="1">
        <v>45644</v>
      </c>
      <c r="I965" s="1">
        <v>45662</v>
      </c>
      <c r="J965" t="str">
        <f t="shared" si="15"/>
        <v>Dec-2024</v>
      </c>
    </row>
    <row r="966" spans="1:10">
      <c r="A966">
        <v>965</v>
      </c>
      <c r="B966">
        <v>16486</v>
      </c>
      <c r="C966" t="s">
        <v>23</v>
      </c>
      <c r="D966">
        <v>133266.79</v>
      </c>
      <c r="E966" t="s">
        <v>24</v>
      </c>
      <c r="G966" t="s">
        <v>17</v>
      </c>
      <c r="H966" s="1">
        <v>45547</v>
      </c>
      <c r="J966" t="str">
        <f t="shared" si="15"/>
        <v>Sep-2024</v>
      </c>
    </row>
    <row r="967" spans="1:10">
      <c r="A967">
        <v>966</v>
      </c>
      <c r="B967">
        <v>12383</v>
      </c>
      <c r="C967" t="s">
        <v>18</v>
      </c>
      <c r="D967">
        <v>118318.87</v>
      </c>
      <c r="E967" t="s">
        <v>16</v>
      </c>
      <c r="F967">
        <v>38</v>
      </c>
      <c r="G967" t="s">
        <v>21</v>
      </c>
      <c r="H967" s="1">
        <v>45530</v>
      </c>
      <c r="I967" s="1">
        <v>45568</v>
      </c>
      <c r="J967" t="str">
        <f t="shared" si="15"/>
        <v>Aug-2024</v>
      </c>
    </row>
    <row r="968" spans="1:10">
      <c r="A968">
        <v>967</v>
      </c>
      <c r="B968">
        <v>16147</v>
      </c>
      <c r="C968" t="s">
        <v>23</v>
      </c>
      <c r="D968">
        <v>108330.34</v>
      </c>
      <c r="E968" t="s">
        <v>16</v>
      </c>
      <c r="F968">
        <v>8</v>
      </c>
      <c r="G968" t="s">
        <v>21</v>
      </c>
      <c r="H968" s="1">
        <v>45395</v>
      </c>
      <c r="I968" s="1">
        <v>45403</v>
      </c>
      <c r="J968" t="str">
        <f t="shared" si="15"/>
        <v>Apr-2024</v>
      </c>
    </row>
    <row r="969" spans="1:10">
      <c r="A969">
        <v>968</v>
      </c>
      <c r="B969">
        <v>17664</v>
      </c>
      <c r="C969" t="s">
        <v>18</v>
      </c>
      <c r="D969">
        <v>169470.89</v>
      </c>
      <c r="E969" t="s">
        <v>16</v>
      </c>
      <c r="F969">
        <v>13</v>
      </c>
      <c r="G969" t="s">
        <v>25</v>
      </c>
      <c r="H969" s="1">
        <v>45320</v>
      </c>
      <c r="I969" s="1">
        <v>45333</v>
      </c>
      <c r="J969" t="str">
        <f t="shared" si="15"/>
        <v>Jan-2024</v>
      </c>
    </row>
    <row r="970" spans="1:10">
      <c r="A970">
        <v>969</v>
      </c>
      <c r="B970">
        <v>11683</v>
      </c>
      <c r="C970" t="s">
        <v>15</v>
      </c>
      <c r="D970">
        <v>50814.97</v>
      </c>
      <c r="E970" t="s">
        <v>16</v>
      </c>
      <c r="F970">
        <v>41</v>
      </c>
      <c r="G970" t="s">
        <v>25</v>
      </c>
      <c r="H970" s="1">
        <v>45380</v>
      </c>
      <c r="I970" s="1">
        <v>45421</v>
      </c>
      <c r="J970" t="str">
        <f t="shared" si="15"/>
        <v>Mar-2024</v>
      </c>
    </row>
    <row r="971" spans="1:10">
      <c r="A971">
        <v>970</v>
      </c>
      <c r="B971">
        <v>19390</v>
      </c>
      <c r="C971" t="s">
        <v>23</v>
      </c>
      <c r="D971">
        <v>91281.83</v>
      </c>
      <c r="E971" t="s">
        <v>16</v>
      </c>
      <c r="F971">
        <v>2</v>
      </c>
      <c r="G971" t="s">
        <v>17</v>
      </c>
      <c r="H971" s="1">
        <v>45342</v>
      </c>
      <c r="I971" s="1">
        <v>45344</v>
      </c>
      <c r="J971" t="str">
        <f t="shared" si="15"/>
        <v>Feb-2024</v>
      </c>
    </row>
    <row r="972" spans="1:10">
      <c r="A972">
        <v>971</v>
      </c>
      <c r="B972">
        <v>11009</v>
      </c>
      <c r="C972" t="s">
        <v>23</v>
      </c>
      <c r="D972">
        <v>35313.199999999997</v>
      </c>
      <c r="E972" t="s">
        <v>16</v>
      </c>
      <c r="F972">
        <v>21</v>
      </c>
      <c r="G972" t="s">
        <v>20</v>
      </c>
      <c r="H972" s="1">
        <v>45655</v>
      </c>
      <c r="I972" s="1">
        <v>45676</v>
      </c>
      <c r="J972" t="str">
        <f t="shared" si="15"/>
        <v>Dec-2024</v>
      </c>
    </row>
    <row r="973" spans="1:10">
      <c r="A973">
        <v>972</v>
      </c>
      <c r="B973">
        <v>19963</v>
      </c>
      <c r="C973" t="s">
        <v>18</v>
      </c>
      <c r="D973">
        <v>121208.61</v>
      </c>
      <c r="E973" t="s">
        <v>16</v>
      </c>
      <c r="F973">
        <v>32</v>
      </c>
      <c r="G973" t="s">
        <v>17</v>
      </c>
      <c r="H973" s="1">
        <v>45438</v>
      </c>
      <c r="I973" s="1">
        <v>45470</v>
      </c>
      <c r="J973" t="str">
        <f t="shared" si="15"/>
        <v>May-2024</v>
      </c>
    </row>
    <row r="974" spans="1:10">
      <c r="A974">
        <v>973</v>
      </c>
      <c r="B974">
        <v>19899</v>
      </c>
      <c r="C974" t="s">
        <v>18</v>
      </c>
      <c r="D974">
        <v>53856.160000000003</v>
      </c>
      <c r="E974" t="s">
        <v>16</v>
      </c>
      <c r="F974">
        <v>5</v>
      </c>
      <c r="G974" t="s">
        <v>21</v>
      </c>
      <c r="H974" s="1">
        <v>45605</v>
      </c>
      <c r="I974" s="1">
        <v>45610</v>
      </c>
      <c r="J974" t="str">
        <f t="shared" si="15"/>
        <v>Nov-2024</v>
      </c>
    </row>
    <row r="975" spans="1:10">
      <c r="A975">
        <v>974</v>
      </c>
      <c r="B975">
        <v>12272</v>
      </c>
      <c r="C975" t="s">
        <v>18</v>
      </c>
      <c r="D975">
        <v>70099.199999999997</v>
      </c>
      <c r="E975" t="s">
        <v>16</v>
      </c>
      <c r="F975">
        <v>27</v>
      </c>
      <c r="G975" t="s">
        <v>17</v>
      </c>
      <c r="H975" s="1">
        <v>45327</v>
      </c>
      <c r="I975" s="1">
        <v>45354</v>
      </c>
      <c r="J975" t="str">
        <f t="shared" si="15"/>
        <v>Feb-2024</v>
      </c>
    </row>
    <row r="976" spans="1:10">
      <c r="A976">
        <v>975</v>
      </c>
      <c r="B976">
        <v>12612</v>
      </c>
      <c r="C976" t="s">
        <v>15</v>
      </c>
      <c r="D976">
        <v>96893.89</v>
      </c>
      <c r="E976" t="s">
        <v>19</v>
      </c>
      <c r="F976">
        <v>13</v>
      </c>
      <c r="G976" t="s">
        <v>20</v>
      </c>
      <c r="H976" s="1">
        <v>45575</v>
      </c>
      <c r="I976" s="1">
        <v>45588</v>
      </c>
      <c r="J976" t="str">
        <f t="shared" si="15"/>
        <v>Oct-2024</v>
      </c>
    </row>
    <row r="977" spans="1:10">
      <c r="A977">
        <v>976</v>
      </c>
      <c r="B977">
        <v>17424</v>
      </c>
      <c r="C977" t="s">
        <v>15</v>
      </c>
      <c r="D977">
        <v>10220.26</v>
      </c>
      <c r="E977" t="s">
        <v>19</v>
      </c>
      <c r="F977">
        <v>23</v>
      </c>
      <c r="G977" t="s">
        <v>25</v>
      </c>
      <c r="H977" s="1">
        <v>45392</v>
      </c>
      <c r="I977" s="1">
        <v>45415</v>
      </c>
      <c r="J977" t="str">
        <f t="shared" si="15"/>
        <v>Apr-2024</v>
      </c>
    </row>
    <row r="978" spans="1:10">
      <c r="A978">
        <v>977</v>
      </c>
      <c r="B978">
        <v>17226</v>
      </c>
      <c r="C978" t="s">
        <v>22</v>
      </c>
      <c r="D978">
        <v>22927.9</v>
      </c>
      <c r="E978" t="s">
        <v>16</v>
      </c>
      <c r="F978">
        <v>2</v>
      </c>
      <c r="G978" t="s">
        <v>20</v>
      </c>
      <c r="H978" s="1">
        <v>45398</v>
      </c>
      <c r="I978" s="1">
        <v>45400</v>
      </c>
      <c r="J978" t="str">
        <f t="shared" si="15"/>
        <v>Apr-2024</v>
      </c>
    </row>
    <row r="979" spans="1:10">
      <c r="A979">
        <v>978</v>
      </c>
      <c r="B979">
        <v>16063</v>
      </c>
      <c r="C979" t="s">
        <v>18</v>
      </c>
      <c r="D979">
        <v>138756.20000000001</v>
      </c>
      <c r="E979" t="s">
        <v>16</v>
      </c>
      <c r="F979">
        <v>2</v>
      </c>
      <c r="G979" t="s">
        <v>20</v>
      </c>
      <c r="H979" s="1">
        <v>45636</v>
      </c>
      <c r="I979" s="1">
        <v>45638</v>
      </c>
      <c r="J979" t="str">
        <f t="shared" si="15"/>
        <v>Dec-2024</v>
      </c>
    </row>
    <row r="980" spans="1:10">
      <c r="A980">
        <v>979</v>
      </c>
      <c r="B980">
        <v>14341</v>
      </c>
      <c r="C980" t="s">
        <v>23</v>
      </c>
      <c r="D980">
        <v>88649.15</v>
      </c>
      <c r="E980" t="s">
        <v>16</v>
      </c>
      <c r="F980">
        <v>4</v>
      </c>
      <c r="G980" t="s">
        <v>20</v>
      </c>
      <c r="H980" s="1">
        <v>45582</v>
      </c>
      <c r="I980" s="1">
        <v>45586</v>
      </c>
      <c r="J980" t="str">
        <f t="shared" si="15"/>
        <v>Oct-2024</v>
      </c>
    </row>
    <row r="981" spans="1:10">
      <c r="A981">
        <v>980</v>
      </c>
      <c r="B981">
        <v>11542</v>
      </c>
      <c r="C981" t="s">
        <v>23</v>
      </c>
      <c r="D981">
        <v>173634.09</v>
      </c>
      <c r="E981" t="s">
        <v>24</v>
      </c>
      <c r="G981" t="s">
        <v>25</v>
      </c>
      <c r="H981" s="1">
        <v>45640</v>
      </c>
      <c r="J981" t="str">
        <f t="shared" si="15"/>
        <v>Dec-2024</v>
      </c>
    </row>
    <row r="982" spans="1:10">
      <c r="A982">
        <v>981</v>
      </c>
      <c r="B982">
        <v>11237</v>
      </c>
      <c r="C982" t="s">
        <v>23</v>
      </c>
      <c r="D982">
        <v>140461.04</v>
      </c>
      <c r="E982" t="s">
        <v>16</v>
      </c>
      <c r="F982">
        <v>22</v>
      </c>
      <c r="G982" t="s">
        <v>20</v>
      </c>
      <c r="H982" s="1">
        <v>45396</v>
      </c>
      <c r="I982" s="1">
        <v>45418</v>
      </c>
      <c r="J982" t="str">
        <f t="shared" si="15"/>
        <v>Apr-2024</v>
      </c>
    </row>
    <row r="983" spans="1:10">
      <c r="A983">
        <v>982</v>
      </c>
      <c r="B983">
        <v>15709</v>
      </c>
      <c r="C983" t="s">
        <v>18</v>
      </c>
      <c r="D983">
        <v>6579.68</v>
      </c>
      <c r="E983" t="s">
        <v>16</v>
      </c>
      <c r="F983">
        <v>14</v>
      </c>
      <c r="G983" t="s">
        <v>20</v>
      </c>
      <c r="H983" s="1">
        <v>45512</v>
      </c>
      <c r="I983" s="1">
        <v>45526</v>
      </c>
      <c r="J983" t="str">
        <f t="shared" si="15"/>
        <v>Aug-2024</v>
      </c>
    </row>
    <row r="984" spans="1:10">
      <c r="A984">
        <v>983</v>
      </c>
      <c r="B984">
        <v>19916</v>
      </c>
      <c r="C984" t="s">
        <v>23</v>
      </c>
      <c r="D984">
        <v>125258.9</v>
      </c>
      <c r="E984" t="s">
        <v>24</v>
      </c>
      <c r="G984" t="s">
        <v>20</v>
      </c>
      <c r="H984" s="1">
        <v>45367</v>
      </c>
      <c r="J984" t="str">
        <f t="shared" si="15"/>
        <v>Mar-2024</v>
      </c>
    </row>
    <row r="985" spans="1:10">
      <c r="A985">
        <v>984</v>
      </c>
      <c r="B985">
        <v>12263</v>
      </c>
      <c r="C985" t="s">
        <v>22</v>
      </c>
      <c r="D985">
        <v>23276.35</v>
      </c>
      <c r="E985" t="s">
        <v>24</v>
      </c>
      <c r="G985" t="s">
        <v>21</v>
      </c>
      <c r="H985" s="1">
        <v>45518</v>
      </c>
      <c r="J985" t="str">
        <f t="shared" si="15"/>
        <v>Aug-2024</v>
      </c>
    </row>
    <row r="986" spans="1:10">
      <c r="A986">
        <v>985</v>
      </c>
      <c r="B986">
        <v>10282</v>
      </c>
      <c r="C986" t="s">
        <v>18</v>
      </c>
      <c r="D986">
        <v>157281.97</v>
      </c>
      <c r="E986" t="s">
        <v>19</v>
      </c>
      <c r="F986">
        <v>19</v>
      </c>
      <c r="G986" t="s">
        <v>20</v>
      </c>
      <c r="H986" s="1">
        <v>45375</v>
      </c>
      <c r="I986" s="1">
        <v>45394</v>
      </c>
      <c r="J986" t="str">
        <f t="shared" si="15"/>
        <v>Mar-2024</v>
      </c>
    </row>
    <row r="987" spans="1:10">
      <c r="A987">
        <v>986</v>
      </c>
      <c r="B987">
        <v>17998</v>
      </c>
      <c r="C987" t="s">
        <v>18</v>
      </c>
      <c r="D987">
        <v>198344</v>
      </c>
      <c r="E987" t="s">
        <v>19</v>
      </c>
      <c r="F987">
        <v>34</v>
      </c>
      <c r="G987" t="s">
        <v>25</v>
      </c>
      <c r="H987" s="1">
        <v>45367</v>
      </c>
      <c r="I987" s="1">
        <v>45401</v>
      </c>
      <c r="J987" t="str">
        <f t="shared" si="15"/>
        <v>Mar-2024</v>
      </c>
    </row>
    <row r="988" spans="1:10">
      <c r="A988">
        <v>987</v>
      </c>
      <c r="B988">
        <v>17740</v>
      </c>
      <c r="C988" t="s">
        <v>23</v>
      </c>
      <c r="D988">
        <v>108583.76</v>
      </c>
      <c r="E988" t="s">
        <v>16</v>
      </c>
      <c r="F988">
        <v>7</v>
      </c>
      <c r="G988" t="s">
        <v>20</v>
      </c>
      <c r="H988" s="1">
        <v>45540</v>
      </c>
      <c r="I988" s="1">
        <v>45547</v>
      </c>
      <c r="J988" t="str">
        <f t="shared" si="15"/>
        <v>Sep-2024</v>
      </c>
    </row>
    <row r="989" spans="1:10">
      <c r="A989">
        <v>988</v>
      </c>
      <c r="B989">
        <v>13286</v>
      </c>
      <c r="C989" t="s">
        <v>23</v>
      </c>
      <c r="D989">
        <v>138142</v>
      </c>
      <c r="E989" t="s">
        <v>16</v>
      </c>
      <c r="F989">
        <v>26</v>
      </c>
      <c r="G989" t="s">
        <v>20</v>
      </c>
      <c r="H989" s="1">
        <v>45546</v>
      </c>
      <c r="I989" s="1">
        <v>45572</v>
      </c>
      <c r="J989" t="str">
        <f t="shared" si="15"/>
        <v>Sep-2024</v>
      </c>
    </row>
    <row r="990" spans="1:10">
      <c r="A990">
        <v>989</v>
      </c>
      <c r="B990">
        <v>18363</v>
      </c>
      <c r="C990" t="s">
        <v>23</v>
      </c>
      <c r="D990">
        <v>51276.26</v>
      </c>
      <c r="E990" t="s">
        <v>16</v>
      </c>
      <c r="F990">
        <v>24</v>
      </c>
      <c r="G990" t="s">
        <v>25</v>
      </c>
      <c r="H990" s="1">
        <v>45341</v>
      </c>
      <c r="I990" s="1">
        <v>45365</v>
      </c>
      <c r="J990" t="str">
        <f t="shared" si="15"/>
        <v>Feb-2024</v>
      </c>
    </row>
    <row r="991" spans="1:10">
      <c r="A991">
        <v>990</v>
      </c>
      <c r="B991">
        <v>11882</v>
      </c>
      <c r="C991" t="s">
        <v>23</v>
      </c>
      <c r="D991">
        <v>90331.56</v>
      </c>
      <c r="E991" t="s">
        <v>16</v>
      </c>
      <c r="F991">
        <v>25</v>
      </c>
      <c r="G991" t="s">
        <v>20</v>
      </c>
      <c r="H991" s="1">
        <v>45647</v>
      </c>
      <c r="I991" s="1">
        <v>45672</v>
      </c>
      <c r="J991" t="str">
        <f t="shared" si="15"/>
        <v>Dec-2024</v>
      </c>
    </row>
    <row r="992" spans="1:10">
      <c r="A992">
        <v>991</v>
      </c>
      <c r="B992">
        <v>16187</v>
      </c>
      <c r="C992" t="s">
        <v>23</v>
      </c>
      <c r="D992">
        <v>171938.59</v>
      </c>
      <c r="E992" t="s">
        <v>19</v>
      </c>
      <c r="F992">
        <v>38</v>
      </c>
      <c r="G992" t="s">
        <v>25</v>
      </c>
      <c r="H992" s="1">
        <v>45501</v>
      </c>
      <c r="I992" s="1">
        <v>45539</v>
      </c>
      <c r="J992" t="str">
        <f t="shared" si="15"/>
        <v>Jul-2024</v>
      </c>
    </row>
    <row r="993" spans="1:10">
      <c r="A993">
        <v>992</v>
      </c>
      <c r="B993">
        <v>12275</v>
      </c>
      <c r="C993" t="s">
        <v>18</v>
      </c>
      <c r="D993">
        <v>37647.47</v>
      </c>
      <c r="E993" t="s">
        <v>16</v>
      </c>
      <c r="F993">
        <v>27</v>
      </c>
      <c r="G993" t="s">
        <v>20</v>
      </c>
      <c r="H993" s="1">
        <v>45449</v>
      </c>
      <c r="I993" s="1">
        <v>45476</v>
      </c>
      <c r="J993" t="str">
        <f t="shared" si="15"/>
        <v>Jun-2024</v>
      </c>
    </row>
    <row r="994" spans="1:10">
      <c r="A994">
        <v>993</v>
      </c>
      <c r="B994">
        <v>16874</v>
      </c>
      <c r="C994" t="s">
        <v>15</v>
      </c>
      <c r="D994">
        <v>56779.44</v>
      </c>
      <c r="E994" t="s">
        <v>16</v>
      </c>
      <c r="F994">
        <v>5</v>
      </c>
      <c r="G994" t="s">
        <v>25</v>
      </c>
      <c r="H994" s="1">
        <v>45619</v>
      </c>
      <c r="I994" s="1">
        <v>45624</v>
      </c>
      <c r="J994" t="str">
        <f t="shared" si="15"/>
        <v>Nov-2024</v>
      </c>
    </row>
    <row r="995" spans="1:10">
      <c r="A995">
        <v>994</v>
      </c>
      <c r="B995">
        <v>17502</v>
      </c>
      <c r="C995" t="s">
        <v>15</v>
      </c>
      <c r="D995">
        <v>91859.57</v>
      </c>
      <c r="E995" t="s">
        <v>24</v>
      </c>
      <c r="G995" t="s">
        <v>20</v>
      </c>
      <c r="H995" s="1">
        <v>45524</v>
      </c>
      <c r="J995" t="str">
        <f t="shared" si="15"/>
        <v>Aug-2024</v>
      </c>
    </row>
    <row r="996" spans="1:10">
      <c r="A996">
        <v>995</v>
      </c>
      <c r="B996">
        <v>18792</v>
      </c>
      <c r="C996" t="s">
        <v>18</v>
      </c>
      <c r="D996">
        <v>143888.53</v>
      </c>
      <c r="E996" t="s">
        <v>16</v>
      </c>
      <c r="F996">
        <v>36</v>
      </c>
      <c r="G996" t="s">
        <v>20</v>
      </c>
      <c r="H996" s="1">
        <v>45368</v>
      </c>
      <c r="I996" s="1">
        <v>45404</v>
      </c>
      <c r="J996" t="str">
        <f t="shared" si="15"/>
        <v>Mar-2024</v>
      </c>
    </row>
    <row r="997" spans="1:10">
      <c r="A997">
        <v>996</v>
      </c>
      <c r="B997">
        <v>13790</v>
      </c>
      <c r="C997" t="s">
        <v>23</v>
      </c>
      <c r="D997">
        <v>78297.37</v>
      </c>
      <c r="E997" t="s">
        <v>24</v>
      </c>
      <c r="G997" t="s">
        <v>21</v>
      </c>
      <c r="H997" s="1">
        <v>45514</v>
      </c>
      <c r="J997" t="str">
        <f t="shared" si="15"/>
        <v>Aug-2024</v>
      </c>
    </row>
    <row r="998" spans="1:10">
      <c r="A998">
        <v>997</v>
      </c>
      <c r="B998">
        <v>12023</v>
      </c>
      <c r="C998" t="s">
        <v>15</v>
      </c>
      <c r="D998">
        <v>185907.79</v>
      </c>
      <c r="E998" t="s">
        <v>24</v>
      </c>
      <c r="G998" t="s">
        <v>21</v>
      </c>
      <c r="H998" s="1">
        <v>45412</v>
      </c>
      <c r="J998" t="str">
        <f t="shared" si="15"/>
        <v>Apr-2024</v>
      </c>
    </row>
    <row r="999" spans="1:10">
      <c r="A999">
        <v>998</v>
      </c>
      <c r="B999">
        <v>10466</v>
      </c>
      <c r="C999" t="s">
        <v>15</v>
      </c>
      <c r="D999">
        <v>23419.119999999999</v>
      </c>
      <c r="E999" t="s">
        <v>16</v>
      </c>
      <c r="F999">
        <v>26</v>
      </c>
      <c r="G999" t="s">
        <v>20</v>
      </c>
      <c r="H999" s="1">
        <v>45601</v>
      </c>
      <c r="I999" s="1">
        <v>45627</v>
      </c>
      <c r="J999" t="str">
        <f t="shared" si="15"/>
        <v>Nov-2024</v>
      </c>
    </row>
    <row r="1000" spans="1:10">
      <c r="A1000">
        <v>999</v>
      </c>
      <c r="B1000">
        <v>13950</v>
      </c>
      <c r="C1000" t="s">
        <v>23</v>
      </c>
      <c r="D1000">
        <v>77306.820000000007</v>
      </c>
      <c r="E1000" t="s">
        <v>16</v>
      </c>
      <c r="F1000">
        <v>21</v>
      </c>
      <c r="G1000" t="s">
        <v>20</v>
      </c>
      <c r="H1000" s="1">
        <v>45618</v>
      </c>
      <c r="I1000" s="1">
        <v>45639</v>
      </c>
      <c r="J1000" t="str">
        <f t="shared" si="15"/>
        <v>Nov-2024</v>
      </c>
    </row>
    <row r="1001" spans="1:10">
      <c r="A1001">
        <v>1000</v>
      </c>
      <c r="B1001">
        <v>13889</v>
      </c>
      <c r="C1001" t="s">
        <v>18</v>
      </c>
      <c r="D1001">
        <v>143246.04999999999</v>
      </c>
      <c r="E1001" t="s">
        <v>16</v>
      </c>
      <c r="F1001">
        <v>2</v>
      </c>
      <c r="G1001" t="s">
        <v>17</v>
      </c>
      <c r="H1001" s="1">
        <v>45632</v>
      </c>
      <c r="I1001" s="1">
        <v>45634</v>
      </c>
      <c r="J1001" t="str">
        <f t="shared" si="15"/>
        <v>Dec-2024</v>
      </c>
    </row>
    <row r="1002" spans="1:10">
      <c r="A1002">
        <v>1001</v>
      </c>
      <c r="B1002">
        <v>12592</v>
      </c>
      <c r="C1002" t="s">
        <v>23</v>
      </c>
      <c r="D1002">
        <v>49067.42</v>
      </c>
      <c r="E1002" t="s">
        <v>16</v>
      </c>
      <c r="F1002">
        <v>31</v>
      </c>
      <c r="G1002" t="s">
        <v>25</v>
      </c>
      <c r="H1002" s="1">
        <v>45649</v>
      </c>
      <c r="I1002" s="1">
        <v>45680</v>
      </c>
      <c r="J1002" t="str">
        <f t="shared" si="15"/>
        <v>Dec-2024</v>
      </c>
    </row>
    <row r="1003" spans="1:10">
      <c r="A1003">
        <v>1002</v>
      </c>
      <c r="B1003">
        <v>16632</v>
      </c>
      <c r="C1003" t="s">
        <v>15</v>
      </c>
      <c r="D1003">
        <v>133000.56</v>
      </c>
      <c r="E1003" t="s">
        <v>16</v>
      </c>
      <c r="F1003">
        <v>5</v>
      </c>
      <c r="G1003" t="s">
        <v>17</v>
      </c>
      <c r="H1003" s="1">
        <v>45398</v>
      </c>
      <c r="I1003" s="1">
        <v>45403</v>
      </c>
      <c r="J1003" t="str">
        <f t="shared" si="15"/>
        <v>Apr-2024</v>
      </c>
    </row>
    <row r="1004" spans="1:10">
      <c r="A1004">
        <v>1003</v>
      </c>
      <c r="B1004">
        <v>19211</v>
      </c>
      <c r="C1004" t="s">
        <v>22</v>
      </c>
      <c r="D1004">
        <v>37022.31</v>
      </c>
      <c r="E1004" t="s">
        <v>16</v>
      </c>
      <c r="F1004">
        <v>24</v>
      </c>
      <c r="G1004" t="s">
        <v>21</v>
      </c>
      <c r="H1004" s="1">
        <v>45532</v>
      </c>
      <c r="I1004" s="1">
        <v>45556</v>
      </c>
      <c r="J1004" t="str">
        <f t="shared" si="15"/>
        <v>Aug-2024</v>
      </c>
    </row>
    <row r="1005" spans="1:10">
      <c r="A1005">
        <v>1004</v>
      </c>
      <c r="B1005">
        <v>16358</v>
      </c>
      <c r="C1005" t="s">
        <v>23</v>
      </c>
      <c r="D1005">
        <v>15916.16</v>
      </c>
      <c r="E1005" t="s">
        <v>24</v>
      </c>
      <c r="G1005" t="s">
        <v>21</v>
      </c>
      <c r="H1005" s="1">
        <v>45319</v>
      </c>
      <c r="J1005" t="str">
        <f t="shared" si="15"/>
        <v>Jan-2024</v>
      </c>
    </row>
    <row r="1006" spans="1:10">
      <c r="A1006">
        <v>1005</v>
      </c>
      <c r="B1006">
        <v>11547</v>
      </c>
      <c r="C1006" t="s">
        <v>15</v>
      </c>
      <c r="D1006">
        <v>28598.06</v>
      </c>
      <c r="E1006" t="s">
        <v>16</v>
      </c>
      <c r="F1006">
        <v>43</v>
      </c>
      <c r="G1006" t="s">
        <v>21</v>
      </c>
      <c r="H1006" s="1">
        <v>45483</v>
      </c>
      <c r="I1006" s="1">
        <v>45526</v>
      </c>
      <c r="J1006" t="str">
        <f t="shared" si="15"/>
        <v>Jul-2024</v>
      </c>
    </row>
    <row r="1007" spans="1:10">
      <c r="A1007">
        <v>1006</v>
      </c>
      <c r="B1007">
        <v>17169</v>
      </c>
      <c r="C1007" t="s">
        <v>18</v>
      </c>
      <c r="D1007">
        <v>186347.03</v>
      </c>
      <c r="E1007" t="s">
        <v>19</v>
      </c>
      <c r="F1007">
        <v>23</v>
      </c>
      <c r="G1007" t="s">
        <v>21</v>
      </c>
      <c r="H1007" s="1">
        <v>45540</v>
      </c>
      <c r="I1007" s="1">
        <v>45563</v>
      </c>
      <c r="J1007" t="str">
        <f t="shared" si="15"/>
        <v>Sep-2024</v>
      </c>
    </row>
    <row r="1008" spans="1:10">
      <c r="A1008">
        <v>1007</v>
      </c>
      <c r="B1008">
        <v>14749</v>
      </c>
      <c r="C1008" t="s">
        <v>22</v>
      </c>
      <c r="D1008">
        <v>112591.42</v>
      </c>
      <c r="E1008" t="s">
        <v>16</v>
      </c>
      <c r="F1008">
        <v>32</v>
      </c>
      <c r="G1008" t="s">
        <v>20</v>
      </c>
      <c r="H1008" s="1">
        <v>45655</v>
      </c>
      <c r="I1008" s="1">
        <v>45687</v>
      </c>
      <c r="J1008" t="str">
        <f t="shared" si="15"/>
        <v>Dec-2024</v>
      </c>
    </row>
    <row r="1009" spans="1:10">
      <c r="A1009">
        <v>1008</v>
      </c>
      <c r="B1009">
        <v>14436</v>
      </c>
      <c r="C1009" t="s">
        <v>23</v>
      </c>
      <c r="D1009">
        <v>160287.43</v>
      </c>
      <c r="E1009" t="s">
        <v>16</v>
      </c>
      <c r="F1009">
        <v>2</v>
      </c>
      <c r="G1009" t="s">
        <v>21</v>
      </c>
      <c r="H1009" s="1">
        <v>45504</v>
      </c>
      <c r="I1009" s="1">
        <v>45506</v>
      </c>
      <c r="J1009" t="str">
        <f t="shared" si="15"/>
        <v>Jul-2024</v>
      </c>
    </row>
    <row r="1010" spans="1:10">
      <c r="A1010">
        <v>1009</v>
      </c>
      <c r="B1010">
        <v>10703</v>
      </c>
      <c r="C1010" t="s">
        <v>15</v>
      </c>
      <c r="D1010">
        <v>69867.63</v>
      </c>
      <c r="E1010" t="s">
        <v>24</v>
      </c>
      <c r="G1010" t="s">
        <v>20</v>
      </c>
      <c r="H1010" s="1">
        <v>45312</v>
      </c>
      <c r="J1010" t="str">
        <f t="shared" si="15"/>
        <v>Jan-2024</v>
      </c>
    </row>
    <row r="1011" spans="1:10">
      <c r="A1011">
        <v>1010</v>
      </c>
      <c r="B1011">
        <v>16550</v>
      </c>
      <c r="C1011" t="s">
        <v>23</v>
      </c>
      <c r="D1011">
        <v>120568.44</v>
      </c>
      <c r="E1011" t="s">
        <v>16</v>
      </c>
      <c r="F1011">
        <v>20</v>
      </c>
      <c r="G1011" t="s">
        <v>20</v>
      </c>
      <c r="H1011" s="1">
        <v>45446</v>
      </c>
      <c r="I1011" s="1">
        <v>45466</v>
      </c>
      <c r="J1011" t="str">
        <f t="shared" si="15"/>
        <v>Jun-2024</v>
      </c>
    </row>
    <row r="1012" spans="1:10">
      <c r="A1012">
        <v>1011</v>
      </c>
      <c r="B1012">
        <v>19044</v>
      </c>
      <c r="C1012" t="s">
        <v>23</v>
      </c>
      <c r="D1012">
        <v>101515.67</v>
      </c>
      <c r="E1012" t="s">
        <v>16</v>
      </c>
      <c r="F1012">
        <v>31</v>
      </c>
      <c r="G1012" t="s">
        <v>21</v>
      </c>
      <c r="H1012" s="1">
        <v>45318</v>
      </c>
      <c r="I1012" s="1">
        <v>45349</v>
      </c>
      <c r="J1012" t="str">
        <f t="shared" si="15"/>
        <v>Jan-2024</v>
      </c>
    </row>
    <row r="1013" spans="1:10">
      <c r="A1013">
        <v>1012</v>
      </c>
      <c r="B1013">
        <v>18497</v>
      </c>
      <c r="C1013" t="s">
        <v>23</v>
      </c>
      <c r="D1013">
        <v>189418.9</v>
      </c>
      <c r="E1013" t="s">
        <v>16</v>
      </c>
      <c r="F1013">
        <v>2</v>
      </c>
      <c r="G1013" t="s">
        <v>21</v>
      </c>
      <c r="H1013" s="1">
        <v>45368</v>
      </c>
      <c r="I1013" s="1">
        <v>45370</v>
      </c>
      <c r="J1013" t="str">
        <f t="shared" si="15"/>
        <v>Mar-2024</v>
      </c>
    </row>
    <row r="1014" spans="1:10">
      <c r="A1014">
        <v>1013</v>
      </c>
      <c r="B1014">
        <v>17636</v>
      </c>
      <c r="C1014" t="s">
        <v>22</v>
      </c>
      <c r="D1014">
        <v>150777.04999999999</v>
      </c>
      <c r="E1014" t="s">
        <v>19</v>
      </c>
      <c r="F1014">
        <v>20</v>
      </c>
      <c r="G1014" t="s">
        <v>25</v>
      </c>
      <c r="H1014" s="1">
        <v>45597</v>
      </c>
      <c r="I1014" s="1">
        <v>45617</v>
      </c>
      <c r="J1014" t="str">
        <f t="shared" si="15"/>
        <v>Nov-2024</v>
      </c>
    </row>
    <row r="1015" spans="1:10">
      <c r="A1015">
        <v>1014</v>
      </c>
      <c r="B1015">
        <v>19979</v>
      </c>
      <c r="C1015" t="s">
        <v>15</v>
      </c>
      <c r="D1015">
        <v>147455.81</v>
      </c>
      <c r="E1015" t="s">
        <v>16</v>
      </c>
      <c r="F1015">
        <v>22</v>
      </c>
      <c r="G1015" t="s">
        <v>17</v>
      </c>
      <c r="H1015" s="1">
        <v>45348</v>
      </c>
      <c r="I1015" s="1">
        <v>45370</v>
      </c>
      <c r="J1015" t="str">
        <f t="shared" si="15"/>
        <v>Feb-2024</v>
      </c>
    </row>
    <row r="1016" spans="1:10">
      <c r="A1016">
        <v>1015</v>
      </c>
      <c r="B1016">
        <v>19065</v>
      </c>
      <c r="C1016" t="s">
        <v>15</v>
      </c>
      <c r="D1016">
        <v>14038.89</v>
      </c>
      <c r="E1016" t="s">
        <v>16</v>
      </c>
      <c r="F1016">
        <v>23</v>
      </c>
      <c r="G1016" t="s">
        <v>21</v>
      </c>
      <c r="H1016" s="1">
        <v>45410</v>
      </c>
      <c r="I1016" s="1">
        <v>45433</v>
      </c>
      <c r="J1016" t="str">
        <f t="shared" si="15"/>
        <v>Apr-2024</v>
      </c>
    </row>
    <row r="1017" spans="1:10">
      <c r="A1017">
        <v>1016</v>
      </c>
      <c r="B1017">
        <v>11581</v>
      </c>
      <c r="C1017" t="s">
        <v>22</v>
      </c>
      <c r="D1017">
        <v>112185.59</v>
      </c>
      <c r="E1017" t="s">
        <v>16</v>
      </c>
      <c r="F1017">
        <v>3</v>
      </c>
      <c r="G1017" t="s">
        <v>25</v>
      </c>
      <c r="H1017" s="1">
        <v>45456</v>
      </c>
      <c r="I1017" s="1">
        <v>45459</v>
      </c>
      <c r="J1017" t="str">
        <f t="shared" si="15"/>
        <v>Jun-2024</v>
      </c>
    </row>
    <row r="1018" spans="1:10">
      <c r="A1018">
        <v>1017</v>
      </c>
      <c r="B1018">
        <v>13957</v>
      </c>
      <c r="C1018" t="s">
        <v>23</v>
      </c>
      <c r="D1018">
        <v>96063.33</v>
      </c>
      <c r="E1018" t="s">
        <v>24</v>
      </c>
      <c r="G1018" t="s">
        <v>25</v>
      </c>
      <c r="H1018" s="1">
        <v>45355</v>
      </c>
      <c r="J1018" t="str">
        <f t="shared" si="15"/>
        <v>Mar-2024</v>
      </c>
    </row>
    <row r="1019" spans="1:10">
      <c r="A1019">
        <v>1018</v>
      </c>
      <c r="B1019">
        <v>14590</v>
      </c>
      <c r="C1019" t="s">
        <v>23</v>
      </c>
      <c r="D1019">
        <v>185929.24</v>
      </c>
      <c r="E1019" t="s">
        <v>24</v>
      </c>
      <c r="G1019" t="s">
        <v>17</v>
      </c>
      <c r="H1019" s="1">
        <v>45339</v>
      </c>
      <c r="J1019" t="str">
        <f t="shared" si="15"/>
        <v>Feb-2024</v>
      </c>
    </row>
    <row r="1020" spans="1:10">
      <c r="A1020">
        <v>1019</v>
      </c>
      <c r="B1020">
        <v>13332</v>
      </c>
      <c r="C1020" t="s">
        <v>23</v>
      </c>
      <c r="D1020">
        <v>55181.69</v>
      </c>
      <c r="E1020" t="s">
        <v>16</v>
      </c>
      <c r="F1020">
        <v>34</v>
      </c>
      <c r="G1020" t="s">
        <v>20</v>
      </c>
      <c r="H1020" s="1">
        <v>45441</v>
      </c>
      <c r="I1020" s="1">
        <v>45475</v>
      </c>
      <c r="J1020" t="str">
        <f t="shared" si="15"/>
        <v>May-2024</v>
      </c>
    </row>
    <row r="1021" spans="1:10">
      <c r="A1021">
        <v>1020</v>
      </c>
      <c r="B1021">
        <v>11685</v>
      </c>
      <c r="C1021" t="s">
        <v>23</v>
      </c>
      <c r="D1021">
        <v>57617.52</v>
      </c>
      <c r="E1021" t="s">
        <v>19</v>
      </c>
      <c r="F1021">
        <v>20</v>
      </c>
      <c r="G1021" t="s">
        <v>21</v>
      </c>
      <c r="H1021" s="1">
        <v>45449</v>
      </c>
      <c r="I1021" s="1">
        <v>45469</v>
      </c>
      <c r="J1021" t="str">
        <f t="shared" si="15"/>
        <v>Jun-2024</v>
      </c>
    </row>
    <row r="1022" spans="1:10">
      <c r="A1022">
        <v>1021</v>
      </c>
      <c r="B1022">
        <v>19797</v>
      </c>
      <c r="C1022" t="s">
        <v>23</v>
      </c>
      <c r="D1022">
        <v>85212.52</v>
      </c>
      <c r="E1022" t="s">
        <v>16</v>
      </c>
      <c r="F1022">
        <v>28</v>
      </c>
      <c r="G1022" t="s">
        <v>17</v>
      </c>
      <c r="H1022" s="1">
        <v>45447</v>
      </c>
      <c r="I1022" s="1">
        <v>45475</v>
      </c>
      <c r="J1022" t="str">
        <f t="shared" si="15"/>
        <v>Jun-2024</v>
      </c>
    </row>
    <row r="1023" spans="1:10">
      <c r="A1023">
        <v>1022</v>
      </c>
      <c r="B1023">
        <v>17531</v>
      </c>
      <c r="C1023" t="s">
        <v>23</v>
      </c>
      <c r="D1023">
        <v>52457.09</v>
      </c>
      <c r="E1023" t="s">
        <v>16</v>
      </c>
      <c r="F1023">
        <v>38</v>
      </c>
      <c r="G1023" t="s">
        <v>21</v>
      </c>
      <c r="H1023" s="1">
        <v>45442</v>
      </c>
      <c r="I1023" s="1">
        <v>45480</v>
      </c>
      <c r="J1023" t="str">
        <f t="shared" si="15"/>
        <v>May-2024</v>
      </c>
    </row>
    <row r="1024" spans="1:10">
      <c r="A1024">
        <v>1023</v>
      </c>
      <c r="B1024">
        <v>16911</v>
      </c>
      <c r="C1024" t="s">
        <v>23</v>
      </c>
      <c r="D1024">
        <v>30190.86</v>
      </c>
      <c r="E1024" t="s">
        <v>16</v>
      </c>
      <c r="F1024">
        <v>30</v>
      </c>
      <c r="G1024" t="s">
        <v>25</v>
      </c>
      <c r="H1024" s="1">
        <v>45516</v>
      </c>
      <c r="I1024" s="1">
        <v>45546</v>
      </c>
      <c r="J1024" t="str">
        <f t="shared" si="15"/>
        <v>Aug-2024</v>
      </c>
    </row>
    <row r="1025" spans="1:10">
      <c r="A1025">
        <v>1024</v>
      </c>
      <c r="B1025">
        <v>15731</v>
      </c>
      <c r="C1025" t="s">
        <v>23</v>
      </c>
      <c r="D1025">
        <v>172195.9</v>
      </c>
      <c r="E1025" t="s">
        <v>16</v>
      </c>
      <c r="F1025">
        <v>29</v>
      </c>
      <c r="G1025" t="s">
        <v>25</v>
      </c>
      <c r="H1025" s="1">
        <v>45551</v>
      </c>
      <c r="I1025" s="1">
        <v>45580</v>
      </c>
      <c r="J1025" t="str">
        <f t="shared" si="15"/>
        <v>Sep-2024</v>
      </c>
    </row>
    <row r="1026" spans="1:10">
      <c r="A1026">
        <v>1025</v>
      </c>
      <c r="B1026">
        <v>10895</v>
      </c>
      <c r="C1026" t="s">
        <v>23</v>
      </c>
      <c r="D1026">
        <v>113863.92</v>
      </c>
      <c r="E1026" t="s">
        <v>16</v>
      </c>
      <c r="F1026">
        <v>35</v>
      </c>
      <c r="G1026" t="s">
        <v>20</v>
      </c>
      <c r="H1026" s="1">
        <v>45547</v>
      </c>
      <c r="I1026" s="1">
        <v>45582</v>
      </c>
      <c r="J1026" t="str">
        <f t="shared" si="15"/>
        <v>Sep-2024</v>
      </c>
    </row>
    <row r="1027" spans="1:10">
      <c r="A1027">
        <v>1026</v>
      </c>
      <c r="B1027">
        <v>18032</v>
      </c>
      <c r="C1027" t="s">
        <v>23</v>
      </c>
      <c r="D1027">
        <v>172965.73</v>
      </c>
      <c r="E1027" t="s">
        <v>16</v>
      </c>
      <c r="F1027">
        <v>2</v>
      </c>
      <c r="G1027" t="s">
        <v>25</v>
      </c>
      <c r="H1027" s="1">
        <v>45352</v>
      </c>
      <c r="I1027" s="1">
        <v>45354</v>
      </c>
      <c r="J1027" t="str">
        <f t="shared" ref="J1027:J1090" si="16">TEXT(H1027,"mmm-yyyy")</f>
        <v>Mar-2024</v>
      </c>
    </row>
    <row r="1028" spans="1:10">
      <c r="A1028">
        <v>1027</v>
      </c>
      <c r="B1028">
        <v>12346</v>
      </c>
      <c r="C1028" t="s">
        <v>22</v>
      </c>
      <c r="D1028">
        <v>167071.28</v>
      </c>
      <c r="E1028" t="s">
        <v>16</v>
      </c>
      <c r="F1028">
        <v>26</v>
      </c>
      <c r="G1028" t="s">
        <v>25</v>
      </c>
      <c r="H1028" s="1">
        <v>45643</v>
      </c>
      <c r="I1028" s="1">
        <v>45669</v>
      </c>
      <c r="J1028" t="str">
        <f t="shared" si="16"/>
        <v>Dec-2024</v>
      </c>
    </row>
    <row r="1029" spans="1:10">
      <c r="A1029">
        <v>1028</v>
      </c>
      <c r="B1029">
        <v>13531</v>
      </c>
      <c r="C1029" t="s">
        <v>18</v>
      </c>
      <c r="D1029">
        <v>59998.26</v>
      </c>
      <c r="E1029" t="s">
        <v>19</v>
      </c>
      <c r="F1029">
        <v>22</v>
      </c>
      <c r="G1029" t="s">
        <v>17</v>
      </c>
      <c r="H1029" s="1">
        <v>45551</v>
      </c>
      <c r="I1029" s="1">
        <v>45573</v>
      </c>
      <c r="J1029" t="str">
        <f t="shared" si="16"/>
        <v>Sep-2024</v>
      </c>
    </row>
    <row r="1030" spans="1:10">
      <c r="A1030">
        <v>1029</v>
      </c>
      <c r="B1030">
        <v>11861</v>
      </c>
      <c r="C1030" t="s">
        <v>22</v>
      </c>
      <c r="D1030">
        <v>111808.8</v>
      </c>
      <c r="E1030" t="s">
        <v>16</v>
      </c>
      <c r="F1030">
        <v>35</v>
      </c>
      <c r="G1030" t="s">
        <v>21</v>
      </c>
      <c r="H1030" s="1">
        <v>45612</v>
      </c>
      <c r="I1030" s="1">
        <v>45647</v>
      </c>
      <c r="J1030" t="str">
        <f t="shared" si="16"/>
        <v>Nov-2024</v>
      </c>
    </row>
    <row r="1031" spans="1:10">
      <c r="A1031">
        <v>1030</v>
      </c>
      <c r="B1031">
        <v>14852</v>
      </c>
      <c r="C1031" t="s">
        <v>23</v>
      </c>
      <c r="D1031">
        <v>21227.45</v>
      </c>
      <c r="E1031" t="s">
        <v>16</v>
      </c>
      <c r="F1031">
        <v>27</v>
      </c>
      <c r="G1031" t="s">
        <v>21</v>
      </c>
      <c r="H1031" s="1">
        <v>45453</v>
      </c>
      <c r="I1031" s="1">
        <v>45480</v>
      </c>
      <c r="J1031" t="str">
        <f t="shared" si="16"/>
        <v>Jun-2024</v>
      </c>
    </row>
    <row r="1032" spans="1:10">
      <c r="A1032">
        <v>1031</v>
      </c>
      <c r="B1032">
        <v>10030</v>
      </c>
      <c r="C1032" t="s">
        <v>23</v>
      </c>
      <c r="D1032">
        <v>183474.12</v>
      </c>
      <c r="E1032" t="s">
        <v>24</v>
      </c>
      <c r="G1032" t="s">
        <v>17</v>
      </c>
      <c r="H1032" s="1">
        <v>45640</v>
      </c>
      <c r="J1032" t="str">
        <f t="shared" si="16"/>
        <v>Dec-2024</v>
      </c>
    </row>
    <row r="1033" spans="1:10">
      <c r="A1033">
        <v>1032</v>
      </c>
      <c r="B1033">
        <v>10242</v>
      </c>
      <c r="C1033" t="s">
        <v>18</v>
      </c>
      <c r="D1033">
        <v>83831.23</v>
      </c>
      <c r="E1033" t="s">
        <v>16</v>
      </c>
      <c r="F1033">
        <v>36</v>
      </c>
      <c r="G1033" t="s">
        <v>20</v>
      </c>
      <c r="H1033" s="1">
        <v>45322</v>
      </c>
      <c r="I1033" s="1">
        <v>45358</v>
      </c>
      <c r="J1033" t="str">
        <f t="shared" si="16"/>
        <v>Jan-2024</v>
      </c>
    </row>
    <row r="1034" spans="1:10">
      <c r="A1034">
        <v>1033</v>
      </c>
      <c r="B1034">
        <v>16918</v>
      </c>
      <c r="C1034" t="s">
        <v>23</v>
      </c>
      <c r="D1034">
        <v>81766.86</v>
      </c>
      <c r="E1034" t="s">
        <v>16</v>
      </c>
      <c r="F1034">
        <v>24</v>
      </c>
      <c r="G1034" t="s">
        <v>21</v>
      </c>
      <c r="H1034" s="1">
        <v>45362</v>
      </c>
      <c r="I1034" s="1">
        <v>45386</v>
      </c>
      <c r="J1034" t="str">
        <f t="shared" si="16"/>
        <v>Mar-2024</v>
      </c>
    </row>
    <row r="1035" spans="1:10">
      <c r="A1035">
        <v>1034</v>
      </c>
      <c r="B1035">
        <v>19690</v>
      </c>
      <c r="C1035" t="s">
        <v>23</v>
      </c>
      <c r="D1035">
        <v>64037.3</v>
      </c>
      <c r="E1035" t="s">
        <v>19</v>
      </c>
      <c r="F1035">
        <v>18</v>
      </c>
      <c r="G1035" t="s">
        <v>25</v>
      </c>
      <c r="H1035" s="1">
        <v>45293</v>
      </c>
      <c r="I1035" s="1">
        <v>45311</v>
      </c>
      <c r="J1035" t="str">
        <f t="shared" si="16"/>
        <v>Jan-2024</v>
      </c>
    </row>
    <row r="1036" spans="1:10">
      <c r="A1036">
        <v>1035</v>
      </c>
      <c r="B1036">
        <v>15511</v>
      </c>
      <c r="C1036" t="s">
        <v>23</v>
      </c>
      <c r="D1036">
        <v>94829.43</v>
      </c>
      <c r="E1036" t="s">
        <v>16</v>
      </c>
      <c r="F1036">
        <v>43</v>
      </c>
      <c r="G1036" t="s">
        <v>21</v>
      </c>
      <c r="H1036" s="1">
        <v>45341</v>
      </c>
      <c r="I1036" s="1">
        <v>45384</v>
      </c>
      <c r="J1036" t="str">
        <f t="shared" si="16"/>
        <v>Feb-2024</v>
      </c>
    </row>
    <row r="1037" spans="1:10">
      <c r="A1037">
        <v>1036</v>
      </c>
      <c r="B1037">
        <v>15508</v>
      </c>
      <c r="C1037" t="s">
        <v>23</v>
      </c>
      <c r="D1037">
        <v>54093.08</v>
      </c>
      <c r="E1037" t="s">
        <v>16</v>
      </c>
      <c r="F1037">
        <v>13</v>
      </c>
      <c r="G1037" t="s">
        <v>25</v>
      </c>
      <c r="H1037" s="1">
        <v>45426</v>
      </c>
      <c r="I1037" s="1">
        <v>45439</v>
      </c>
      <c r="J1037" t="str">
        <f t="shared" si="16"/>
        <v>May-2024</v>
      </c>
    </row>
    <row r="1038" spans="1:10">
      <c r="A1038">
        <v>1037</v>
      </c>
      <c r="B1038">
        <v>14668</v>
      </c>
      <c r="C1038" t="s">
        <v>23</v>
      </c>
      <c r="D1038">
        <v>78096.19</v>
      </c>
      <c r="E1038" t="s">
        <v>16</v>
      </c>
      <c r="F1038">
        <v>21</v>
      </c>
      <c r="G1038" t="s">
        <v>20</v>
      </c>
      <c r="H1038" s="1">
        <v>45437</v>
      </c>
      <c r="I1038" s="1">
        <v>45458</v>
      </c>
      <c r="J1038" t="str">
        <f t="shared" si="16"/>
        <v>May-2024</v>
      </c>
    </row>
    <row r="1039" spans="1:10">
      <c r="A1039">
        <v>1038</v>
      </c>
      <c r="B1039">
        <v>16087</v>
      </c>
      <c r="C1039" t="s">
        <v>23</v>
      </c>
      <c r="D1039">
        <v>160989.67000000001</v>
      </c>
      <c r="E1039" t="s">
        <v>19</v>
      </c>
      <c r="F1039">
        <v>40</v>
      </c>
      <c r="G1039" t="s">
        <v>17</v>
      </c>
      <c r="H1039" s="1">
        <v>45470</v>
      </c>
      <c r="I1039" s="1">
        <v>45510</v>
      </c>
      <c r="J1039" t="str">
        <f t="shared" si="16"/>
        <v>Jun-2024</v>
      </c>
    </row>
    <row r="1040" spans="1:10">
      <c r="A1040">
        <v>1039</v>
      </c>
      <c r="B1040">
        <v>17015</v>
      </c>
      <c r="C1040" t="s">
        <v>18</v>
      </c>
      <c r="D1040">
        <v>167679.82</v>
      </c>
      <c r="E1040" t="s">
        <v>16</v>
      </c>
      <c r="F1040">
        <v>28</v>
      </c>
      <c r="G1040" t="s">
        <v>21</v>
      </c>
      <c r="H1040" s="1">
        <v>45555</v>
      </c>
      <c r="I1040" s="1">
        <v>45583</v>
      </c>
      <c r="J1040" t="str">
        <f t="shared" si="16"/>
        <v>Sep-2024</v>
      </c>
    </row>
    <row r="1041" spans="1:10">
      <c r="A1041">
        <v>1040</v>
      </c>
      <c r="B1041">
        <v>17636</v>
      </c>
      <c r="C1041" t="s">
        <v>23</v>
      </c>
      <c r="D1041">
        <v>64315.58</v>
      </c>
      <c r="E1041" t="s">
        <v>19</v>
      </c>
      <c r="F1041">
        <v>43</v>
      </c>
      <c r="G1041" t="s">
        <v>17</v>
      </c>
      <c r="H1041" s="1">
        <v>45602</v>
      </c>
      <c r="I1041" s="1">
        <v>45645</v>
      </c>
      <c r="J1041" t="str">
        <f t="shared" si="16"/>
        <v>Nov-2024</v>
      </c>
    </row>
    <row r="1042" spans="1:10">
      <c r="A1042">
        <v>1041</v>
      </c>
      <c r="B1042">
        <v>16662</v>
      </c>
      <c r="C1042" t="s">
        <v>23</v>
      </c>
      <c r="D1042">
        <v>96457.81</v>
      </c>
      <c r="E1042" t="s">
        <v>16</v>
      </c>
      <c r="F1042">
        <v>38</v>
      </c>
      <c r="G1042" t="s">
        <v>21</v>
      </c>
      <c r="H1042" s="1">
        <v>45495</v>
      </c>
      <c r="I1042" s="1">
        <v>45533</v>
      </c>
      <c r="J1042" t="str">
        <f t="shared" si="16"/>
        <v>Jul-2024</v>
      </c>
    </row>
    <row r="1043" spans="1:10">
      <c r="A1043">
        <v>1042</v>
      </c>
      <c r="B1043">
        <v>14003</v>
      </c>
      <c r="C1043" t="s">
        <v>15</v>
      </c>
      <c r="D1043">
        <v>175394.86</v>
      </c>
      <c r="E1043" t="s">
        <v>16</v>
      </c>
      <c r="F1043">
        <v>21</v>
      </c>
      <c r="G1043" t="s">
        <v>25</v>
      </c>
      <c r="H1043" s="1">
        <v>45590</v>
      </c>
      <c r="I1043" s="1">
        <v>45611</v>
      </c>
      <c r="J1043" t="str">
        <f t="shared" si="16"/>
        <v>Oct-2024</v>
      </c>
    </row>
    <row r="1044" spans="1:10">
      <c r="A1044">
        <v>1043</v>
      </c>
      <c r="B1044">
        <v>19851</v>
      </c>
      <c r="C1044" t="s">
        <v>23</v>
      </c>
      <c r="D1044">
        <v>15271.3</v>
      </c>
      <c r="E1044" t="s">
        <v>19</v>
      </c>
      <c r="F1044">
        <v>12</v>
      </c>
      <c r="G1044" t="s">
        <v>17</v>
      </c>
      <c r="H1044" s="1">
        <v>45478</v>
      </c>
      <c r="I1044" s="1">
        <v>45490</v>
      </c>
      <c r="J1044" t="str">
        <f t="shared" si="16"/>
        <v>Jul-2024</v>
      </c>
    </row>
    <row r="1045" spans="1:10">
      <c r="A1045">
        <v>1044</v>
      </c>
      <c r="B1045">
        <v>10598</v>
      </c>
      <c r="C1045" t="s">
        <v>23</v>
      </c>
      <c r="D1045">
        <v>178383.27</v>
      </c>
      <c r="E1045" t="s">
        <v>16</v>
      </c>
      <c r="F1045">
        <v>29</v>
      </c>
      <c r="G1045" t="s">
        <v>21</v>
      </c>
      <c r="H1045" s="1">
        <v>45321</v>
      </c>
      <c r="I1045" s="1">
        <v>45350</v>
      </c>
      <c r="J1045" t="str">
        <f t="shared" si="16"/>
        <v>Jan-2024</v>
      </c>
    </row>
    <row r="1046" spans="1:10">
      <c r="A1046">
        <v>1045</v>
      </c>
      <c r="B1046">
        <v>12195</v>
      </c>
      <c r="C1046" t="s">
        <v>15</v>
      </c>
      <c r="D1046">
        <v>47740.95</v>
      </c>
      <c r="E1046" t="s">
        <v>16</v>
      </c>
      <c r="F1046">
        <v>3</v>
      </c>
      <c r="G1046" t="s">
        <v>25</v>
      </c>
      <c r="H1046" s="1">
        <v>45350</v>
      </c>
      <c r="I1046" s="1">
        <v>45353</v>
      </c>
      <c r="J1046" t="str">
        <f t="shared" si="16"/>
        <v>Feb-2024</v>
      </c>
    </row>
    <row r="1047" spans="1:10">
      <c r="A1047">
        <v>1046</v>
      </c>
      <c r="B1047">
        <v>10069</v>
      </c>
      <c r="C1047" t="s">
        <v>23</v>
      </c>
      <c r="D1047">
        <v>137315.15</v>
      </c>
      <c r="E1047" t="s">
        <v>16</v>
      </c>
      <c r="F1047">
        <v>25</v>
      </c>
      <c r="G1047" t="s">
        <v>17</v>
      </c>
      <c r="H1047" s="1">
        <v>45300</v>
      </c>
      <c r="I1047" s="1">
        <v>45325</v>
      </c>
      <c r="J1047" t="str">
        <f t="shared" si="16"/>
        <v>Jan-2024</v>
      </c>
    </row>
    <row r="1048" spans="1:10">
      <c r="A1048">
        <v>1047</v>
      </c>
      <c r="B1048">
        <v>18139</v>
      </c>
      <c r="C1048" t="s">
        <v>23</v>
      </c>
      <c r="D1048">
        <v>118597.58</v>
      </c>
      <c r="E1048" t="s">
        <v>19</v>
      </c>
      <c r="F1048">
        <v>17</v>
      </c>
      <c r="G1048" t="s">
        <v>17</v>
      </c>
      <c r="H1048" s="1">
        <v>45615</v>
      </c>
      <c r="I1048" s="1">
        <v>45632</v>
      </c>
      <c r="J1048" t="str">
        <f t="shared" si="16"/>
        <v>Nov-2024</v>
      </c>
    </row>
    <row r="1049" spans="1:10">
      <c r="A1049">
        <v>1048</v>
      </c>
      <c r="B1049">
        <v>19585</v>
      </c>
      <c r="C1049" t="s">
        <v>23</v>
      </c>
      <c r="D1049">
        <v>112823.45</v>
      </c>
      <c r="E1049" t="s">
        <v>16</v>
      </c>
      <c r="F1049">
        <v>13</v>
      </c>
      <c r="G1049" t="s">
        <v>21</v>
      </c>
      <c r="H1049" s="1">
        <v>45458</v>
      </c>
      <c r="I1049" s="1">
        <v>45471</v>
      </c>
      <c r="J1049" t="str">
        <f t="shared" si="16"/>
        <v>Jun-2024</v>
      </c>
    </row>
    <row r="1050" spans="1:10">
      <c r="A1050">
        <v>1049</v>
      </c>
      <c r="B1050">
        <v>13659</v>
      </c>
      <c r="C1050" t="s">
        <v>23</v>
      </c>
      <c r="D1050">
        <v>172575.24</v>
      </c>
      <c r="E1050" t="s">
        <v>16</v>
      </c>
      <c r="F1050">
        <v>17</v>
      </c>
      <c r="G1050" t="s">
        <v>21</v>
      </c>
      <c r="H1050" s="1">
        <v>45628</v>
      </c>
      <c r="I1050" s="1">
        <v>45645</v>
      </c>
      <c r="J1050" t="str">
        <f t="shared" si="16"/>
        <v>Dec-2024</v>
      </c>
    </row>
    <row r="1051" spans="1:10">
      <c r="A1051">
        <v>1050</v>
      </c>
      <c r="B1051">
        <v>19841</v>
      </c>
      <c r="C1051" t="s">
        <v>18</v>
      </c>
      <c r="D1051">
        <v>24806.57</v>
      </c>
      <c r="E1051" t="s">
        <v>16</v>
      </c>
      <c r="F1051">
        <v>37</v>
      </c>
      <c r="G1051" t="s">
        <v>21</v>
      </c>
      <c r="H1051" s="1">
        <v>45570</v>
      </c>
      <c r="I1051" s="1">
        <v>45607</v>
      </c>
      <c r="J1051" t="str">
        <f t="shared" si="16"/>
        <v>Oct-2024</v>
      </c>
    </row>
    <row r="1052" spans="1:10">
      <c r="A1052">
        <v>1051</v>
      </c>
      <c r="B1052">
        <v>15634</v>
      </c>
      <c r="C1052" t="s">
        <v>15</v>
      </c>
      <c r="D1052">
        <v>72670.460000000006</v>
      </c>
      <c r="E1052" t="s">
        <v>24</v>
      </c>
      <c r="G1052" t="s">
        <v>25</v>
      </c>
      <c r="H1052" s="1">
        <v>45482</v>
      </c>
      <c r="J1052" t="str">
        <f t="shared" si="16"/>
        <v>Jul-2024</v>
      </c>
    </row>
    <row r="1053" spans="1:10">
      <c r="A1053">
        <v>1052</v>
      </c>
      <c r="B1053">
        <v>12281</v>
      </c>
      <c r="C1053" t="s">
        <v>23</v>
      </c>
      <c r="D1053">
        <v>109959.29</v>
      </c>
      <c r="E1053" t="s">
        <v>16</v>
      </c>
      <c r="F1053">
        <v>26</v>
      </c>
      <c r="G1053" t="s">
        <v>21</v>
      </c>
      <c r="H1053" s="1">
        <v>45533</v>
      </c>
      <c r="I1053" s="1">
        <v>45559</v>
      </c>
      <c r="J1053" t="str">
        <f t="shared" si="16"/>
        <v>Aug-2024</v>
      </c>
    </row>
    <row r="1054" spans="1:10">
      <c r="A1054">
        <v>1053</v>
      </c>
      <c r="B1054">
        <v>16822</v>
      </c>
      <c r="C1054" t="s">
        <v>18</v>
      </c>
      <c r="D1054">
        <v>163201.32999999999</v>
      </c>
      <c r="E1054" t="s">
        <v>16</v>
      </c>
      <c r="F1054">
        <v>30</v>
      </c>
      <c r="G1054" t="s">
        <v>17</v>
      </c>
      <c r="H1054" s="1">
        <v>45569</v>
      </c>
      <c r="I1054" s="1">
        <v>45599</v>
      </c>
      <c r="J1054" t="str">
        <f t="shared" si="16"/>
        <v>Oct-2024</v>
      </c>
    </row>
    <row r="1055" spans="1:10">
      <c r="A1055">
        <v>1054</v>
      </c>
      <c r="B1055">
        <v>13682</v>
      </c>
      <c r="C1055" t="s">
        <v>18</v>
      </c>
      <c r="D1055">
        <v>47206.400000000001</v>
      </c>
      <c r="E1055" t="s">
        <v>16</v>
      </c>
      <c r="F1055">
        <v>29</v>
      </c>
      <c r="G1055" t="s">
        <v>17</v>
      </c>
      <c r="H1055" s="1">
        <v>45445</v>
      </c>
      <c r="I1055" s="1">
        <v>45474</v>
      </c>
      <c r="J1055" t="str">
        <f t="shared" si="16"/>
        <v>Jun-2024</v>
      </c>
    </row>
    <row r="1056" spans="1:10">
      <c r="A1056">
        <v>1055</v>
      </c>
      <c r="B1056">
        <v>12683</v>
      </c>
      <c r="C1056" t="s">
        <v>23</v>
      </c>
      <c r="D1056">
        <v>161571.32</v>
      </c>
      <c r="E1056" t="s">
        <v>16</v>
      </c>
      <c r="F1056">
        <v>11</v>
      </c>
      <c r="G1056" t="s">
        <v>21</v>
      </c>
      <c r="H1056" s="1">
        <v>45451</v>
      </c>
      <c r="I1056" s="1">
        <v>45462</v>
      </c>
      <c r="J1056" t="str">
        <f t="shared" si="16"/>
        <v>Jun-2024</v>
      </c>
    </row>
    <row r="1057" spans="1:10">
      <c r="A1057">
        <v>1056</v>
      </c>
      <c r="B1057">
        <v>14562</v>
      </c>
      <c r="C1057" t="s">
        <v>18</v>
      </c>
      <c r="D1057">
        <v>82929.5</v>
      </c>
      <c r="E1057" t="s">
        <v>16</v>
      </c>
      <c r="F1057">
        <v>24</v>
      </c>
      <c r="G1057" t="s">
        <v>21</v>
      </c>
      <c r="H1057" s="1">
        <v>45556</v>
      </c>
      <c r="I1057" s="1">
        <v>45580</v>
      </c>
      <c r="J1057" t="str">
        <f t="shared" si="16"/>
        <v>Sep-2024</v>
      </c>
    </row>
    <row r="1058" spans="1:10">
      <c r="A1058">
        <v>1057</v>
      </c>
      <c r="B1058">
        <v>14652</v>
      </c>
      <c r="C1058" t="s">
        <v>23</v>
      </c>
      <c r="D1058">
        <v>41838.199999999997</v>
      </c>
      <c r="E1058" t="s">
        <v>16</v>
      </c>
      <c r="F1058">
        <v>33</v>
      </c>
      <c r="G1058" t="s">
        <v>20</v>
      </c>
      <c r="H1058" s="1">
        <v>45526</v>
      </c>
      <c r="I1058" s="1">
        <v>45559</v>
      </c>
      <c r="J1058" t="str">
        <f t="shared" si="16"/>
        <v>Aug-2024</v>
      </c>
    </row>
    <row r="1059" spans="1:10">
      <c r="A1059">
        <v>1058</v>
      </c>
      <c r="B1059">
        <v>14931</v>
      </c>
      <c r="C1059" t="s">
        <v>23</v>
      </c>
      <c r="D1059">
        <v>153002.35999999999</v>
      </c>
      <c r="E1059" t="s">
        <v>16</v>
      </c>
      <c r="F1059">
        <v>32</v>
      </c>
      <c r="G1059" t="s">
        <v>17</v>
      </c>
      <c r="H1059" s="1">
        <v>45637</v>
      </c>
      <c r="I1059" s="1">
        <v>45669</v>
      </c>
      <c r="J1059" t="str">
        <f t="shared" si="16"/>
        <v>Dec-2024</v>
      </c>
    </row>
    <row r="1060" spans="1:10">
      <c r="A1060">
        <v>1059</v>
      </c>
      <c r="B1060">
        <v>19502</v>
      </c>
      <c r="C1060" t="s">
        <v>23</v>
      </c>
      <c r="D1060">
        <v>22725.29</v>
      </c>
      <c r="E1060" t="s">
        <v>19</v>
      </c>
      <c r="F1060">
        <v>20</v>
      </c>
      <c r="G1060" t="s">
        <v>25</v>
      </c>
      <c r="H1060" s="1">
        <v>45490</v>
      </c>
      <c r="I1060" s="1">
        <v>45510</v>
      </c>
      <c r="J1060" t="str">
        <f t="shared" si="16"/>
        <v>Jul-2024</v>
      </c>
    </row>
    <row r="1061" spans="1:10">
      <c r="A1061">
        <v>1060</v>
      </c>
      <c r="B1061">
        <v>14713</v>
      </c>
      <c r="C1061" t="s">
        <v>23</v>
      </c>
      <c r="D1061">
        <v>105379.64</v>
      </c>
      <c r="E1061" t="s">
        <v>19</v>
      </c>
      <c r="F1061">
        <v>16</v>
      </c>
      <c r="G1061" t="s">
        <v>20</v>
      </c>
      <c r="H1061" s="1">
        <v>45324</v>
      </c>
      <c r="I1061" s="1">
        <v>45340</v>
      </c>
      <c r="J1061" t="str">
        <f t="shared" si="16"/>
        <v>Feb-2024</v>
      </c>
    </row>
    <row r="1062" spans="1:10">
      <c r="A1062">
        <v>1061</v>
      </c>
      <c r="B1062">
        <v>15413</v>
      </c>
      <c r="C1062" t="s">
        <v>23</v>
      </c>
      <c r="D1062">
        <v>17455.78</v>
      </c>
      <c r="E1062" t="s">
        <v>16</v>
      </c>
      <c r="F1062">
        <v>34</v>
      </c>
      <c r="G1062" t="s">
        <v>21</v>
      </c>
      <c r="H1062" s="1">
        <v>45380</v>
      </c>
      <c r="I1062" s="1">
        <v>45414</v>
      </c>
      <c r="J1062" t="str">
        <f t="shared" si="16"/>
        <v>Mar-2024</v>
      </c>
    </row>
    <row r="1063" spans="1:10">
      <c r="A1063">
        <v>1062</v>
      </c>
      <c r="B1063">
        <v>15600</v>
      </c>
      <c r="C1063" t="s">
        <v>15</v>
      </c>
      <c r="D1063">
        <v>74501.48</v>
      </c>
      <c r="E1063" t="s">
        <v>19</v>
      </c>
      <c r="F1063">
        <v>18</v>
      </c>
      <c r="G1063" t="s">
        <v>21</v>
      </c>
      <c r="H1063" s="1">
        <v>45386</v>
      </c>
      <c r="I1063" s="1">
        <v>45404</v>
      </c>
      <c r="J1063" t="str">
        <f t="shared" si="16"/>
        <v>Apr-2024</v>
      </c>
    </row>
    <row r="1064" spans="1:10">
      <c r="A1064">
        <v>1063</v>
      </c>
      <c r="B1064">
        <v>14103</v>
      </c>
      <c r="C1064" t="s">
        <v>23</v>
      </c>
      <c r="D1064">
        <v>122209.98</v>
      </c>
      <c r="E1064" t="s">
        <v>16</v>
      </c>
      <c r="F1064">
        <v>37</v>
      </c>
      <c r="G1064" t="s">
        <v>17</v>
      </c>
      <c r="H1064" s="1">
        <v>45512</v>
      </c>
      <c r="I1064" s="1">
        <v>45549</v>
      </c>
      <c r="J1064" t="str">
        <f t="shared" si="16"/>
        <v>Aug-2024</v>
      </c>
    </row>
    <row r="1065" spans="1:10">
      <c r="A1065">
        <v>1064</v>
      </c>
      <c r="B1065">
        <v>12075</v>
      </c>
      <c r="C1065" t="s">
        <v>23</v>
      </c>
      <c r="D1065">
        <v>113442.53</v>
      </c>
      <c r="E1065" t="s">
        <v>19</v>
      </c>
      <c r="F1065">
        <v>21</v>
      </c>
      <c r="G1065" t="s">
        <v>21</v>
      </c>
      <c r="H1065" s="1">
        <v>45360</v>
      </c>
      <c r="I1065" s="1">
        <v>45381</v>
      </c>
      <c r="J1065" t="str">
        <f t="shared" si="16"/>
        <v>Mar-2024</v>
      </c>
    </row>
    <row r="1066" spans="1:10">
      <c r="A1066">
        <v>1065</v>
      </c>
      <c r="B1066">
        <v>10782</v>
      </c>
      <c r="C1066" t="s">
        <v>23</v>
      </c>
      <c r="D1066">
        <v>83907.81</v>
      </c>
      <c r="E1066" t="s">
        <v>16</v>
      </c>
      <c r="F1066">
        <v>10</v>
      </c>
      <c r="G1066" t="s">
        <v>25</v>
      </c>
      <c r="H1066" s="1">
        <v>45585</v>
      </c>
      <c r="I1066" s="1">
        <v>45595</v>
      </c>
      <c r="J1066" t="str">
        <f t="shared" si="16"/>
        <v>Oct-2024</v>
      </c>
    </row>
    <row r="1067" spans="1:10">
      <c r="A1067">
        <v>1066</v>
      </c>
      <c r="B1067">
        <v>13806</v>
      </c>
      <c r="C1067" t="s">
        <v>18</v>
      </c>
      <c r="D1067">
        <v>88664.36</v>
      </c>
      <c r="E1067" t="s">
        <v>16</v>
      </c>
      <c r="F1067">
        <v>39</v>
      </c>
      <c r="G1067" t="s">
        <v>17</v>
      </c>
      <c r="H1067" s="1">
        <v>45528</v>
      </c>
      <c r="I1067" s="1">
        <v>45567</v>
      </c>
      <c r="J1067" t="str">
        <f t="shared" si="16"/>
        <v>Aug-2024</v>
      </c>
    </row>
    <row r="1068" spans="1:10">
      <c r="A1068">
        <v>1067</v>
      </c>
      <c r="B1068">
        <v>19525</v>
      </c>
      <c r="C1068" t="s">
        <v>18</v>
      </c>
      <c r="D1068">
        <v>49220.06</v>
      </c>
      <c r="E1068" t="s">
        <v>24</v>
      </c>
      <c r="G1068" t="s">
        <v>21</v>
      </c>
      <c r="H1068" s="1">
        <v>45451</v>
      </c>
      <c r="J1068" t="str">
        <f t="shared" si="16"/>
        <v>Jun-2024</v>
      </c>
    </row>
    <row r="1069" spans="1:10">
      <c r="A1069">
        <v>1068</v>
      </c>
      <c r="B1069">
        <v>11057</v>
      </c>
      <c r="C1069" t="s">
        <v>18</v>
      </c>
      <c r="D1069">
        <v>93897.1</v>
      </c>
      <c r="E1069" t="s">
        <v>19</v>
      </c>
      <c r="F1069">
        <v>3</v>
      </c>
      <c r="G1069" t="s">
        <v>17</v>
      </c>
      <c r="H1069" s="1">
        <v>45611</v>
      </c>
      <c r="I1069" s="1">
        <v>45614</v>
      </c>
      <c r="J1069" t="str">
        <f t="shared" si="16"/>
        <v>Nov-2024</v>
      </c>
    </row>
    <row r="1070" spans="1:10">
      <c r="A1070">
        <v>1069</v>
      </c>
      <c r="B1070">
        <v>12054</v>
      </c>
      <c r="C1070" t="s">
        <v>18</v>
      </c>
      <c r="D1070">
        <v>190884.7</v>
      </c>
      <c r="E1070" t="s">
        <v>16</v>
      </c>
      <c r="F1070">
        <v>19</v>
      </c>
      <c r="G1070" t="s">
        <v>21</v>
      </c>
      <c r="H1070" s="1">
        <v>45619</v>
      </c>
      <c r="I1070" s="1">
        <v>45638</v>
      </c>
      <c r="J1070" t="str">
        <f t="shared" si="16"/>
        <v>Nov-2024</v>
      </c>
    </row>
    <row r="1071" spans="1:10">
      <c r="A1071">
        <v>1070</v>
      </c>
      <c r="B1071">
        <v>12109</v>
      </c>
      <c r="C1071" t="s">
        <v>15</v>
      </c>
      <c r="D1071">
        <v>170838.32</v>
      </c>
      <c r="E1071" t="s">
        <v>16</v>
      </c>
      <c r="F1071">
        <v>24</v>
      </c>
      <c r="G1071" t="s">
        <v>21</v>
      </c>
      <c r="H1071" s="1">
        <v>45567</v>
      </c>
      <c r="I1071" s="1">
        <v>45591</v>
      </c>
      <c r="J1071" t="str">
        <f t="shared" si="16"/>
        <v>Oct-2024</v>
      </c>
    </row>
    <row r="1072" spans="1:10">
      <c r="A1072">
        <v>1071</v>
      </c>
      <c r="B1072">
        <v>17283</v>
      </c>
      <c r="C1072" t="s">
        <v>23</v>
      </c>
      <c r="D1072">
        <v>33320.410000000003</v>
      </c>
      <c r="E1072" t="s">
        <v>16</v>
      </c>
      <c r="F1072">
        <v>20</v>
      </c>
      <c r="G1072" t="s">
        <v>21</v>
      </c>
      <c r="H1072" s="1">
        <v>45581</v>
      </c>
      <c r="I1072" s="1">
        <v>45601</v>
      </c>
      <c r="J1072" t="str">
        <f t="shared" si="16"/>
        <v>Oct-2024</v>
      </c>
    </row>
    <row r="1073" spans="1:10">
      <c r="A1073">
        <v>1072</v>
      </c>
      <c r="B1073">
        <v>11320</v>
      </c>
      <c r="C1073" t="s">
        <v>18</v>
      </c>
      <c r="D1073">
        <v>10807.25</v>
      </c>
      <c r="E1073" t="s">
        <v>16</v>
      </c>
      <c r="F1073">
        <v>8</v>
      </c>
      <c r="G1073" t="s">
        <v>25</v>
      </c>
      <c r="H1073" s="1">
        <v>45333</v>
      </c>
      <c r="I1073" s="1">
        <v>45341</v>
      </c>
      <c r="J1073" t="str">
        <f t="shared" si="16"/>
        <v>Feb-2024</v>
      </c>
    </row>
    <row r="1074" spans="1:10">
      <c r="A1074">
        <v>1073</v>
      </c>
      <c r="B1074">
        <v>17849</v>
      </c>
      <c r="C1074" t="s">
        <v>15</v>
      </c>
      <c r="D1074">
        <v>187037.24</v>
      </c>
      <c r="E1074" t="s">
        <v>16</v>
      </c>
      <c r="F1074">
        <v>36</v>
      </c>
      <c r="G1074" t="s">
        <v>25</v>
      </c>
      <c r="H1074" s="1">
        <v>45357</v>
      </c>
      <c r="I1074" s="1">
        <v>45393</v>
      </c>
      <c r="J1074" t="str">
        <f t="shared" si="16"/>
        <v>Mar-2024</v>
      </c>
    </row>
    <row r="1075" spans="1:10">
      <c r="A1075">
        <v>1074</v>
      </c>
      <c r="B1075">
        <v>14417</v>
      </c>
      <c r="C1075" t="s">
        <v>22</v>
      </c>
      <c r="D1075">
        <v>107716.2</v>
      </c>
      <c r="E1075" t="s">
        <v>16</v>
      </c>
      <c r="F1075">
        <v>21</v>
      </c>
      <c r="G1075" t="s">
        <v>17</v>
      </c>
      <c r="H1075" s="1">
        <v>45312</v>
      </c>
      <c r="I1075" s="1">
        <v>45333</v>
      </c>
      <c r="J1075" t="str">
        <f t="shared" si="16"/>
        <v>Jan-2024</v>
      </c>
    </row>
    <row r="1076" spans="1:10">
      <c r="A1076">
        <v>1075</v>
      </c>
      <c r="B1076">
        <v>13699</v>
      </c>
      <c r="C1076" t="s">
        <v>15</v>
      </c>
      <c r="D1076">
        <v>109878.38</v>
      </c>
      <c r="E1076" t="s">
        <v>19</v>
      </c>
      <c r="F1076">
        <v>21</v>
      </c>
      <c r="G1076" t="s">
        <v>21</v>
      </c>
      <c r="H1076" s="1">
        <v>45626</v>
      </c>
      <c r="I1076" s="1">
        <v>45647</v>
      </c>
      <c r="J1076" t="str">
        <f t="shared" si="16"/>
        <v>Nov-2024</v>
      </c>
    </row>
    <row r="1077" spans="1:10">
      <c r="A1077">
        <v>1076</v>
      </c>
      <c r="B1077">
        <v>10732</v>
      </c>
      <c r="C1077" t="s">
        <v>23</v>
      </c>
      <c r="D1077">
        <v>157240.01</v>
      </c>
      <c r="E1077" t="s">
        <v>16</v>
      </c>
      <c r="F1077">
        <v>20</v>
      </c>
      <c r="G1077" t="s">
        <v>21</v>
      </c>
      <c r="H1077" s="1">
        <v>45361</v>
      </c>
      <c r="I1077" s="1">
        <v>45381</v>
      </c>
      <c r="J1077" t="str">
        <f t="shared" si="16"/>
        <v>Mar-2024</v>
      </c>
    </row>
    <row r="1078" spans="1:10">
      <c r="A1078">
        <v>1077</v>
      </c>
      <c r="B1078">
        <v>16562</v>
      </c>
      <c r="C1078" t="s">
        <v>23</v>
      </c>
      <c r="D1078">
        <v>66364.350000000006</v>
      </c>
      <c r="E1078" t="s">
        <v>16</v>
      </c>
      <c r="F1078">
        <v>42</v>
      </c>
      <c r="G1078" t="s">
        <v>25</v>
      </c>
      <c r="H1078" s="1">
        <v>45552</v>
      </c>
      <c r="I1078" s="1">
        <v>45594</v>
      </c>
      <c r="J1078" t="str">
        <f t="shared" si="16"/>
        <v>Sep-2024</v>
      </c>
    </row>
    <row r="1079" spans="1:10">
      <c r="A1079">
        <v>1078</v>
      </c>
      <c r="B1079">
        <v>13549</v>
      </c>
      <c r="C1079" t="s">
        <v>23</v>
      </c>
      <c r="D1079">
        <v>98971.98</v>
      </c>
      <c r="E1079" t="s">
        <v>16</v>
      </c>
      <c r="F1079">
        <v>17</v>
      </c>
      <c r="G1079" t="s">
        <v>21</v>
      </c>
      <c r="H1079" s="1">
        <v>45537</v>
      </c>
      <c r="I1079" s="1">
        <v>45554</v>
      </c>
      <c r="J1079" t="str">
        <f t="shared" si="16"/>
        <v>Sep-2024</v>
      </c>
    </row>
    <row r="1080" spans="1:10">
      <c r="A1080">
        <v>1079</v>
      </c>
      <c r="B1080">
        <v>16163</v>
      </c>
      <c r="C1080" t="s">
        <v>18</v>
      </c>
      <c r="D1080">
        <v>193889.27</v>
      </c>
      <c r="E1080" t="s">
        <v>16</v>
      </c>
      <c r="F1080">
        <v>39</v>
      </c>
      <c r="G1080" t="s">
        <v>25</v>
      </c>
      <c r="H1080" s="1">
        <v>45614</v>
      </c>
      <c r="I1080" s="1">
        <v>45653</v>
      </c>
      <c r="J1080" t="str">
        <f t="shared" si="16"/>
        <v>Nov-2024</v>
      </c>
    </row>
    <row r="1081" spans="1:10">
      <c r="A1081">
        <v>1080</v>
      </c>
      <c r="B1081">
        <v>16555</v>
      </c>
      <c r="C1081" t="s">
        <v>23</v>
      </c>
      <c r="D1081">
        <v>136068.99</v>
      </c>
      <c r="E1081" t="s">
        <v>16</v>
      </c>
      <c r="F1081">
        <v>22</v>
      </c>
      <c r="G1081" t="s">
        <v>21</v>
      </c>
      <c r="H1081" s="1">
        <v>45526</v>
      </c>
      <c r="I1081" s="1">
        <v>45548</v>
      </c>
      <c r="J1081" t="str">
        <f t="shared" si="16"/>
        <v>Aug-2024</v>
      </c>
    </row>
    <row r="1082" spans="1:10">
      <c r="A1082">
        <v>1081</v>
      </c>
      <c r="B1082">
        <v>15378</v>
      </c>
      <c r="C1082" t="s">
        <v>23</v>
      </c>
      <c r="D1082">
        <v>34980.28</v>
      </c>
      <c r="E1082" t="s">
        <v>16</v>
      </c>
      <c r="F1082">
        <v>30</v>
      </c>
      <c r="G1082" t="s">
        <v>17</v>
      </c>
      <c r="H1082" s="1">
        <v>45563</v>
      </c>
      <c r="I1082" s="1">
        <v>45593</v>
      </c>
      <c r="J1082" t="str">
        <f t="shared" si="16"/>
        <v>Sep-2024</v>
      </c>
    </row>
    <row r="1083" spans="1:10">
      <c r="A1083">
        <v>1082</v>
      </c>
      <c r="B1083">
        <v>18796</v>
      </c>
      <c r="C1083" t="s">
        <v>15</v>
      </c>
      <c r="D1083">
        <v>30979.22</v>
      </c>
      <c r="E1083" t="s">
        <v>19</v>
      </c>
      <c r="F1083">
        <v>39</v>
      </c>
      <c r="G1083" t="s">
        <v>21</v>
      </c>
      <c r="H1083" s="1">
        <v>45390</v>
      </c>
      <c r="I1083" s="1">
        <v>45429</v>
      </c>
      <c r="J1083" t="str">
        <f t="shared" si="16"/>
        <v>Apr-2024</v>
      </c>
    </row>
    <row r="1084" spans="1:10">
      <c r="A1084">
        <v>1083</v>
      </c>
      <c r="B1084">
        <v>11722</v>
      </c>
      <c r="C1084" t="s">
        <v>23</v>
      </c>
      <c r="D1084">
        <v>44831.63</v>
      </c>
      <c r="E1084" t="s">
        <v>19</v>
      </c>
      <c r="F1084">
        <v>25</v>
      </c>
      <c r="G1084" t="s">
        <v>21</v>
      </c>
      <c r="H1084" s="1">
        <v>45620</v>
      </c>
      <c r="I1084" s="1">
        <v>45645</v>
      </c>
      <c r="J1084" t="str">
        <f t="shared" si="16"/>
        <v>Nov-2024</v>
      </c>
    </row>
    <row r="1085" spans="1:10">
      <c r="A1085">
        <v>1084</v>
      </c>
      <c r="B1085">
        <v>12812</v>
      </c>
      <c r="C1085" t="s">
        <v>15</v>
      </c>
      <c r="D1085">
        <v>154508.78</v>
      </c>
      <c r="E1085" t="s">
        <v>16</v>
      </c>
      <c r="F1085">
        <v>38</v>
      </c>
      <c r="G1085" t="s">
        <v>20</v>
      </c>
      <c r="H1085" s="1">
        <v>45326</v>
      </c>
      <c r="I1085" s="1">
        <v>45364</v>
      </c>
      <c r="J1085" t="str">
        <f t="shared" si="16"/>
        <v>Feb-2024</v>
      </c>
    </row>
    <row r="1086" spans="1:10">
      <c r="A1086">
        <v>1085</v>
      </c>
      <c r="B1086">
        <v>19773</v>
      </c>
      <c r="C1086" t="s">
        <v>23</v>
      </c>
      <c r="D1086">
        <v>62598.52</v>
      </c>
      <c r="E1086" t="s">
        <v>16</v>
      </c>
      <c r="F1086">
        <v>30</v>
      </c>
      <c r="G1086" t="s">
        <v>25</v>
      </c>
      <c r="H1086" s="1">
        <v>45630</v>
      </c>
      <c r="I1086" s="1">
        <v>45660</v>
      </c>
      <c r="J1086" t="str">
        <f t="shared" si="16"/>
        <v>Dec-2024</v>
      </c>
    </row>
    <row r="1087" spans="1:10">
      <c r="A1087">
        <v>1086</v>
      </c>
      <c r="B1087">
        <v>17537</v>
      </c>
      <c r="C1087" t="s">
        <v>23</v>
      </c>
      <c r="D1087">
        <v>9170.83</v>
      </c>
      <c r="E1087" t="s">
        <v>16</v>
      </c>
      <c r="F1087">
        <v>32</v>
      </c>
      <c r="G1087" t="s">
        <v>21</v>
      </c>
      <c r="H1087" s="1">
        <v>45462</v>
      </c>
      <c r="I1087" s="1">
        <v>45494</v>
      </c>
      <c r="J1087" t="str">
        <f t="shared" si="16"/>
        <v>Jun-2024</v>
      </c>
    </row>
    <row r="1088" spans="1:10">
      <c r="A1088">
        <v>1087</v>
      </c>
      <c r="B1088">
        <v>12278</v>
      </c>
      <c r="C1088" t="s">
        <v>23</v>
      </c>
      <c r="D1088">
        <v>189114</v>
      </c>
      <c r="E1088" t="s">
        <v>19</v>
      </c>
      <c r="F1088">
        <v>40</v>
      </c>
      <c r="G1088" t="s">
        <v>21</v>
      </c>
      <c r="H1088" s="1">
        <v>45401</v>
      </c>
      <c r="I1088" s="1">
        <v>45441</v>
      </c>
      <c r="J1088" t="str">
        <f t="shared" si="16"/>
        <v>Apr-2024</v>
      </c>
    </row>
    <row r="1089" spans="1:10">
      <c r="A1089">
        <v>1088</v>
      </c>
      <c r="B1089">
        <v>12350</v>
      </c>
      <c r="C1089" t="s">
        <v>18</v>
      </c>
      <c r="D1089">
        <v>38094.120000000003</v>
      </c>
      <c r="E1089" t="s">
        <v>19</v>
      </c>
      <c r="F1089">
        <v>13</v>
      </c>
      <c r="G1089" t="s">
        <v>20</v>
      </c>
      <c r="H1089" s="1">
        <v>45586</v>
      </c>
      <c r="I1089" s="1">
        <v>45599</v>
      </c>
      <c r="J1089" t="str">
        <f t="shared" si="16"/>
        <v>Oct-2024</v>
      </c>
    </row>
    <row r="1090" spans="1:10">
      <c r="A1090">
        <v>1089</v>
      </c>
      <c r="B1090">
        <v>13623</v>
      </c>
      <c r="C1090" t="s">
        <v>23</v>
      </c>
      <c r="D1090">
        <v>6863.85</v>
      </c>
      <c r="E1090" t="s">
        <v>16</v>
      </c>
      <c r="F1090">
        <v>31</v>
      </c>
      <c r="G1090" t="s">
        <v>20</v>
      </c>
      <c r="H1090" s="1">
        <v>45301</v>
      </c>
      <c r="I1090" s="1">
        <v>45332</v>
      </c>
      <c r="J1090" t="str">
        <f t="shared" si="16"/>
        <v>Jan-2024</v>
      </c>
    </row>
    <row r="1091" spans="1:10">
      <c r="A1091">
        <v>1090</v>
      </c>
      <c r="B1091">
        <v>16530</v>
      </c>
      <c r="C1091" t="s">
        <v>23</v>
      </c>
      <c r="D1091">
        <v>51240.66</v>
      </c>
      <c r="E1091" t="s">
        <v>16</v>
      </c>
      <c r="F1091">
        <v>5</v>
      </c>
      <c r="G1091" t="s">
        <v>25</v>
      </c>
      <c r="H1091" s="1">
        <v>45493</v>
      </c>
      <c r="I1091" s="1">
        <v>45498</v>
      </c>
      <c r="J1091" t="str">
        <f t="shared" ref="J1091:J1154" si="17">TEXT(H1091,"mmm-yyyy")</f>
        <v>Jul-2024</v>
      </c>
    </row>
    <row r="1092" spans="1:10">
      <c r="A1092">
        <v>1091</v>
      </c>
      <c r="B1092">
        <v>10714</v>
      </c>
      <c r="C1092" t="s">
        <v>22</v>
      </c>
      <c r="D1092">
        <v>50830.61</v>
      </c>
      <c r="E1092" t="s">
        <v>19</v>
      </c>
      <c r="F1092">
        <v>31</v>
      </c>
      <c r="G1092" t="s">
        <v>20</v>
      </c>
      <c r="H1092" s="1">
        <v>45548</v>
      </c>
      <c r="I1092" s="1">
        <v>45579</v>
      </c>
      <c r="J1092" t="str">
        <f t="shared" si="17"/>
        <v>Sep-2024</v>
      </c>
    </row>
    <row r="1093" spans="1:10">
      <c r="A1093">
        <v>1092</v>
      </c>
      <c r="B1093">
        <v>10924</v>
      </c>
      <c r="C1093" t="s">
        <v>23</v>
      </c>
      <c r="D1093">
        <v>87291.02</v>
      </c>
      <c r="E1093" t="s">
        <v>16</v>
      </c>
      <c r="F1093">
        <v>6</v>
      </c>
      <c r="G1093" t="s">
        <v>17</v>
      </c>
      <c r="H1093" s="1">
        <v>45553</v>
      </c>
      <c r="I1093" s="1">
        <v>45559</v>
      </c>
      <c r="J1093" t="str">
        <f t="shared" si="17"/>
        <v>Sep-2024</v>
      </c>
    </row>
    <row r="1094" spans="1:10">
      <c r="A1094">
        <v>1093</v>
      </c>
      <c r="B1094">
        <v>13162</v>
      </c>
      <c r="C1094" t="s">
        <v>18</v>
      </c>
      <c r="D1094">
        <v>184476.02</v>
      </c>
      <c r="E1094" t="s">
        <v>16</v>
      </c>
      <c r="F1094">
        <v>17</v>
      </c>
      <c r="G1094" t="s">
        <v>20</v>
      </c>
      <c r="H1094" s="1">
        <v>45472</v>
      </c>
      <c r="I1094" s="1">
        <v>45489</v>
      </c>
      <c r="J1094" t="str">
        <f t="shared" si="17"/>
        <v>Jun-2024</v>
      </c>
    </row>
    <row r="1095" spans="1:10">
      <c r="A1095">
        <v>1094</v>
      </c>
      <c r="B1095">
        <v>14153</v>
      </c>
      <c r="C1095" t="s">
        <v>18</v>
      </c>
      <c r="D1095">
        <v>176441.06</v>
      </c>
      <c r="E1095" t="s">
        <v>24</v>
      </c>
      <c r="G1095" t="s">
        <v>17</v>
      </c>
      <c r="H1095" s="1">
        <v>45357</v>
      </c>
      <c r="J1095" t="str">
        <f t="shared" si="17"/>
        <v>Mar-2024</v>
      </c>
    </row>
    <row r="1096" spans="1:10">
      <c r="A1096">
        <v>1095</v>
      </c>
      <c r="B1096">
        <v>14529</v>
      </c>
      <c r="C1096" t="s">
        <v>23</v>
      </c>
      <c r="D1096">
        <v>94094.44</v>
      </c>
      <c r="E1096" t="s">
        <v>19</v>
      </c>
      <c r="F1096">
        <v>5</v>
      </c>
      <c r="G1096" t="s">
        <v>25</v>
      </c>
      <c r="H1096" s="1">
        <v>45585</v>
      </c>
      <c r="I1096" s="1">
        <v>45590</v>
      </c>
      <c r="J1096" t="str">
        <f t="shared" si="17"/>
        <v>Oct-2024</v>
      </c>
    </row>
    <row r="1097" spans="1:10">
      <c r="A1097">
        <v>1096</v>
      </c>
      <c r="B1097">
        <v>12569</v>
      </c>
      <c r="C1097" t="s">
        <v>18</v>
      </c>
      <c r="D1097">
        <v>85125.48</v>
      </c>
      <c r="E1097" t="s">
        <v>16</v>
      </c>
      <c r="F1097">
        <v>9</v>
      </c>
      <c r="G1097" t="s">
        <v>25</v>
      </c>
      <c r="H1097" s="1">
        <v>45452</v>
      </c>
      <c r="I1097" s="1">
        <v>45461</v>
      </c>
      <c r="J1097" t="str">
        <f t="shared" si="17"/>
        <v>Jun-2024</v>
      </c>
    </row>
    <row r="1098" spans="1:10">
      <c r="A1098">
        <v>1097</v>
      </c>
      <c r="B1098">
        <v>12815</v>
      </c>
      <c r="C1098" t="s">
        <v>23</v>
      </c>
      <c r="D1098">
        <v>113226.77</v>
      </c>
      <c r="E1098" t="s">
        <v>16</v>
      </c>
      <c r="F1098">
        <v>9</v>
      </c>
      <c r="G1098" t="s">
        <v>25</v>
      </c>
      <c r="H1098" s="1">
        <v>45358</v>
      </c>
      <c r="I1098" s="1">
        <v>45367</v>
      </c>
      <c r="J1098" t="str">
        <f t="shared" si="17"/>
        <v>Mar-2024</v>
      </c>
    </row>
    <row r="1099" spans="1:10">
      <c r="A1099">
        <v>1098</v>
      </c>
      <c r="B1099">
        <v>16972</v>
      </c>
      <c r="C1099" t="s">
        <v>18</v>
      </c>
      <c r="D1099">
        <v>52473.53</v>
      </c>
      <c r="E1099" t="s">
        <v>16</v>
      </c>
      <c r="F1099">
        <v>18</v>
      </c>
      <c r="G1099" t="s">
        <v>25</v>
      </c>
      <c r="H1099" s="1">
        <v>45391</v>
      </c>
      <c r="I1099" s="1">
        <v>45409</v>
      </c>
      <c r="J1099" t="str">
        <f t="shared" si="17"/>
        <v>Apr-2024</v>
      </c>
    </row>
    <row r="1100" spans="1:10">
      <c r="A1100">
        <v>1099</v>
      </c>
      <c r="B1100">
        <v>14578</v>
      </c>
      <c r="C1100" t="s">
        <v>23</v>
      </c>
      <c r="D1100">
        <v>15176.07</v>
      </c>
      <c r="E1100" t="s">
        <v>16</v>
      </c>
      <c r="F1100">
        <v>4</v>
      </c>
      <c r="G1100" t="s">
        <v>25</v>
      </c>
      <c r="H1100" s="1">
        <v>45368</v>
      </c>
      <c r="I1100" s="1">
        <v>45372</v>
      </c>
      <c r="J1100" t="str">
        <f t="shared" si="17"/>
        <v>Mar-2024</v>
      </c>
    </row>
    <row r="1101" spans="1:10">
      <c r="A1101">
        <v>1100</v>
      </c>
      <c r="B1101">
        <v>14462</v>
      </c>
      <c r="C1101" t="s">
        <v>18</v>
      </c>
      <c r="D1101">
        <v>188148.71</v>
      </c>
      <c r="E1101" t="s">
        <v>16</v>
      </c>
      <c r="F1101">
        <v>28</v>
      </c>
      <c r="G1101" t="s">
        <v>17</v>
      </c>
      <c r="H1101" s="1">
        <v>45326</v>
      </c>
      <c r="I1101" s="1">
        <v>45354</v>
      </c>
      <c r="J1101" t="str">
        <f t="shared" si="17"/>
        <v>Feb-2024</v>
      </c>
    </row>
    <row r="1102" spans="1:10">
      <c r="A1102">
        <v>1101</v>
      </c>
      <c r="B1102">
        <v>10888</v>
      </c>
      <c r="C1102" t="s">
        <v>23</v>
      </c>
      <c r="D1102">
        <v>41406.300000000003</v>
      </c>
      <c r="E1102" t="s">
        <v>16</v>
      </c>
      <c r="F1102">
        <v>35</v>
      </c>
      <c r="G1102" t="s">
        <v>17</v>
      </c>
      <c r="H1102" s="1">
        <v>45336</v>
      </c>
      <c r="I1102" s="1">
        <v>45371</v>
      </c>
      <c r="J1102" t="str">
        <f t="shared" si="17"/>
        <v>Feb-2024</v>
      </c>
    </row>
    <row r="1103" spans="1:10">
      <c r="A1103">
        <v>1102</v>
      </c>
      <c r="B1103">
        <v>15948</v>
      </c>
      <c r="C1103" t="s">
        <v>18</v>
      </c>
      <c r="D1103">
        <v>43688.14</v>
      </c>
      <c r="E1103" t="s">
        <v>19</v>
      </c>
      <c r="F1103">
        <v>22</v>
      </c>
      <c r="G1103" t="s">
        <v>25</v>
      </c>
      <c r="H1103" s="1">
        <v>45441</v>
      </c>
      <c r="I1103" s="1">
        <v>45463</v>
      </c>
      <c r="J1103" t="str">
        <f t="shared" si="17"/>
        <v>May-2024</v>
      </c>
    </row>
    <row r="1104" spans="1:10">
      <c r="A1104">
        <v>1103</v>
      </c>
      <c r="B1104">
        <v>13478</v>
      </c>
      <c r="C1104" t="s">
        <v>23</v>
      </c>
      <c r="D1104">
        <v>97129.76</v>
      </c>
      <c r="E1104" t="s">
        <v>19</v>
      </c>
      <c r="F1104">
        <v>44</v>
      </c>
      <c r="G1104" t="s">
        <v>20</v>
      </c>
      <c r="H1104" s="1">
        <v>45359</v>
      </c>
      <c r="I1104" s="1">
        <v>45403</v>
      </c>
      <c r="J1104" t="str">
        <f t="shared" si="17"/>
        <v>Mar-2024</v>
      </c>
    </row>
    <row r="1105" spans="1:10">
      <c r="A1105">
        <v>1104</v>
      </c>
      <c r="B1105">
        <v>13589</v>
      </c>
      <c r="C1105" t="s">
        <v>23</v>
      </c>
      <c r="D1105">
        <v>100864.6</v>
      </c>
      <c r="E1105" t="s">
        <v>16</v>
      </c>
      <c r="F1105">
        <v>25</v>
      </c>
      <c r="G1105" t="s">
        <v>21</v>
      </c>
      <c r="H1105" s="1">
        <v>45545</v>
      </c>
      <c r="I1105" s="1">
        <v>45570</v>
      </c>
      <c r="J1105" t="str">
        <f t="shared" si="17"/>
        <v>Sep-2024</v>
      </c>
    </row>
    <row r="1106" spans="1:10">
      <c r="A1106">
        <v>1105</v>
      </c>
      <c r="B1106">
        <v>11723</v>
      </c>
      <c r="C1106" t="s">
        <v>23</v>
      </c>
      <c r="D1106">
        <v>8594.67</v>
      </c>
      <c r="E1106" t="s">
        <v>16</v>
      </c>
      <c r="F1106">
        <v>42</v>
      </c>
      <c r="G1106" t="s">
        <v>25</v>
      </c>
      <c r="H1106" s="1">
        <v>45308</v>
      </c>
      <c r="I1106" s="1">
        <v>45350</v>
      </c>
      <c r="J1106" t="str">
        <f t="shared" si="17"/>
        <v>Jan-2024</v>
      </c>
    </row>
    <row r="1107" spans="1:10">
      <c r="A1107">
        <v>1106</v>
      </c>
      <c r="B1107">
        <v>11258</v>
      </c>
      <c r="C1107" t="s">
        <v>23</v>
      </c>
      <c r="D1107">
        <v>33851.17</v>
      </c>
      <c r="E1107" t="s">
        <v>16</v>
      </c>
      <c r="F1107">
        <v>30</v>
      </c>
      <c r="G1107" t="s">
        <v>20</v>
      </c>
      <c r="H1107" s="1">
        <v>45552</v>
      </c>
      <c r="I1107" s="1">
        <v>45582</v>
      </c>
      <c r="J1107" t="str">
        <f t="shared" si="17"/>
        <v>Sep-2024</v>
      </c>
    </row>
    <row r="1108" spans="1:10">
      <c r="A1108">
        <v>1107</v>
      </c>
      <c r="B1108">
        <v>17026</v>
      </c>
      <c r="C1108" t="s">
        <v>15</v>
      </c>
      <c r="D1108">
        <v>78740.19</v>
      </c>
      <c r="E1108" t="s">
        <v>16</v>
      </c>
      <c r="F1108">
        <v>40</v>
      </c>
      <c r="G1108" t="s">
        <v>21</v>
      </c>
      <c r="H1108" s="1">
        <v>45504</v>
      </c>
      <c r="I1108" s="1">
        <v>45544</v>
      </c>
      <c r="J1108" t="str">
        <f t="shared" si="17"/>
        <v>Jul-2024</v>
      </c>
    </row>
    <row r="1109" spans="1:10">
      <c r="A1109">
        <v>1108</v>
      </c>
      <c r="B1109">
        <v>18602</v>
      </c>
      <c r="C1109" t="s">
        <v>23</v>
      </c>
      <c r="D1109">
        <v>138327.49</v>
      </c>
      <c r="E1109" t="s">
        <v>16</v>
      </c>
      <c r="F1109">
        <v>7</v>
      </c>
      <c r="G1109" t="s">
        <v>25</v>
      </c>
      <c r="H1109" s="1">
        <v>45604</v>
      </c>
      <c r="I1109" s="1">
        <v>45611</v>
      </c>
      <c r="J1109" t="str">
        <f t="shared" si="17"/>
        <v>Nov-2024</v>
      </c>
    </row>
    <row r="1110" spans="1:10">
      <c r="A1110">
        <v>1109</v>
      </c>
      <c r="B1110">
        <v>12230</v>
      </c>
      <c r="C1110" t="s">
        <v>22</v>
      </c>
      <c r="D1110">
        <v>49541.599999999999</v>
      </c>
      <c r="E1110" t="s">
        <v>16</v>
      </c>
      <c r="F1110">
        <v>15</v>
      </c>
      <c r="G1110" t="s">
        <v>25</v>
      </c>
      <c r="H1110" s="1">
        <v>45547</v>
      </c>
      <c r="I1110" s="1">
        <v>45562</v>
      </c>
      <c r="J1110" t="str">
        <f t="shared" si="17"/>
        <v>Sep-2024</v>
      </c>
    </row>
    <row r="1111" spans="1:10">
      <c r="A1111">
        <v>1110</v>
      </c>
      <c r="B1111">
        <v>17454</v>
      </c>
      <c r="C1111" t="s">
        <v>22</v>
      </c>
      <c r="D1111">
        <v>87487.82</v>
      </c>
      <c r="E1111" t="s">
        <v>19</v>
      </c>
      <c r="F1111">
        <v>15</v>
      </c>
      <c r="G1111" t="s">
        <v>17</v>
      </c>
      <c r="H1111" s="1">
        <v>45507</v>
      </c>
      <c r="I1111" s="1">
        <v>45522</v>
      </c>
      <c r="J1111" t="str">
        <f t="shared" si="17"/>
        <v>Aug-2024</v>
      </c>
    </row>
    <row r="1112" spans="1:10">
      <c r="A1112">
        <v>1111</v>
      </c>
      <c r="B1112">
        <v>12060</v>
      </c>
      <c r="C1112" t="s">
        <v>18</v>
      </c>
      <c r="D1112">
        <v>113682.29</v>
      </c>
      <c r="E1112" t="s">
        <v>16</v>
      </c>
      <c r="F1112">
        <v>38</v>
      </c>
      <c r="G1112" t="s">
        <v>21</v>
      </c>
      <c r="H1112" s="1">
        <v>45642</v>
      </c>
      <c r="I1112" s="1">
        <v>45680</v>
      </c>
      <c r="J1112" t="str">
        <f t="shared" si="17"/>
        <v>Dec-2024</v>
      </c>
    </row>
    <row r="1113" spans="1:10">
      <c r="A1113">
        <v>1112</v>
      </c>
      <c r="B1113">
        <v>13898</v>
      </c>
      <c r="C1113" t="s">
        <v>23</v>
      </c>
      <c r="D1113">
        <v>178275.54</v>
      </c>
      <c r="E1113" t="s">
        <v>24</v>
      </c>
      <c r="G1113" t="s">
        <v>21</v>
      </c>
      <c r="H1113" s="1">
        <v>45577</v>
      </c>
      <c r="J1113" t="str">
        <f t="shared" si="17"/>
        <v>Oct-2024</v>
      </c>
    </row>
    <row r="1114" spans="1:10">
      <c r="A1114">
        <v>1113</v>
      </c>
      <c r="B1114">
        <v>12613</v>
      </c>
      <c r="C1114" t="s">
        <v>23</v>
      </c>
      <c r="D1114">
        <v>68583.75</v>
      </c>
      <c r="E1114" t="s">
        <v>24</v>
      </c>
      <c r="G1114" t="s">
        <v>20</v>
      </c>
      <c r="H1114" s="1">
        <v>45298</v>
      </c>
      <c r="J1114" t="str">
        <f t="shared" si="17"/>
        <v>Jan-2024</v>
      </c>
    </row>
    <row r="1115" spans="1:10">
      <c r="A1115">
        <v>1114</v>
      </c>
      <c r="B1115">
        <v>17015</v>
      </c>
      <c r="C1115" t="s">
        <v>18</v>
      </c>
      <c r="D1115">
        <v>31043.86</v>
      </c>
      <c r="E1115" t="s">
        <v>16</v>
      </c>
      <c r="F1115">
        <v>2</v>
      </c>
      <c r="G1115" t="s">
        <v>17</v>
      </c>
      <c r="H1115" s="1">
        <v>45490</v>
      </c>
      <c r="I1115" s="1">
        <v>45492</v>
      </c>
      <c r="J1115" t="str">
        <f t="shared" si="17"/>
        <v>Jul-2024</v>
      </c>
    </row>
    <row r="1116" spans="1:10">
      <c r="A1116">
        <v>1115</v>
      </c>
      <c r="B1116">
        <v>16698</v>
      </c>
      <c r="C1116" t="s">
        <v>23</v>
      </c>
      <c r="D1116">
        <v>100408.08</v>
      </c>
      <c r="E1116" t="s">
        <v>16</v>
      </c>
      <c r="F1116">
        <v>13</v>
      </c>
      <c r="G1116" t="s">
        <v>17</v>
      </c>
      <c r="H1116" s="1">
        <v>45382</v>
      </c>
      <c r="I1116" s="1">
        <v>45395</v>
      </c>
      <c r="J1116" t="str">
        <f t="shared" si="17"/>
        <v>Mar-2024</v>
      </c>
    </row>
    <row r="1117" spans="1:10">
      <c r="A1117">
        <v>1116</v>
      </c>
      <c r="B1117">
        <v>11802</v>
      </c>
      <c r="C1117" t="s">
        <v>23</v>
      </c>
      <c r="D1117">
        <v>150610.71</v>
      </c>
      <c r="E1117" t="s">
        <v>24</v>
      </c>
      <c r="G1117" t="s">
        <v>17</v>
      </c>
      <c r="H1117" s="1">
        <v>45438</v>
      </c>
      <c r="J1117" t="str">
        <f t="shared" si="17"/>
        <v>May-2024</v>
      </c>
    </row>
    <row r="1118" spans="1:10">
      <c r="A1118">
        <v>1117</v>
      </c>
      <c r="B1118">
        <v>10677</v>
      </c>
      <c r="C1118" t="s">
        <v>18</v>
      </c>
      <c r="D1118">
        <v>26422.65</v>
      </c>
      <c r="E1118" t="s">
        <v>24</v>
      </c>
      <c r="G1118" t="s">
        <v>17</v>
      </c>
      <c r="H1118" s="1">
        <v>45441</v>
      </c>
      <c r="J1118" t="str">
        <f t="shared" si="17"/>
        <v>May-2024</v>
      </c>
    </row>
    <row r="1119" spans="1:10">
      <c r="A1119">
        <v>1118</v>
      </c>
      <c r="B1119">
        <v>18087</v>
      </c>
      <c r="C1119" t="s">
        <v>15</v>
      </c>
      <c r="D1119">
        <v>87813.28</v>
      </c>
      <c r="E1119" t="s">
        <v>16</v>
      </c>
      <c r="F1119">
        <v>38</v>
      </c>
      <c r="G1119" t="s">
        <v>21</v>
      </c>
      <c r="H1119" s="1">
        <v>45343</v>
      </c>
      <c r="I1119" s="1">
        <v>45381</v>
      </c>
      <c r="J1119" t="str">
        <f t="shared" si="17"/>
        <v>Feb-2024</v>
      </c>
    </row>
    <row r="1120" spans="1:10">
      <c r="A1120">
        <v>1119</v>
      </c>
      <c r="B1120">
        <v>14713</v>
      </c>
      <c r="C1120" t="s">
        <v>18</v>
      </c>
      <c r="D1120">
        <v>8468.1</v>
      </c>
      <c r="E1120" t="s">
        <v>16</v>
      </c>
      <c r="F1120">
        <v>21</v>
      </c>
      <c r="G1120" t="s">
        <v>21</v>
      </c>
      <c r="H1120" s="1">
        <v>45534</v>
      </c>
      <c r="I1120" s="1">
        <v>45555</v>
      </c>
      <c r="J1120" t="str">
        <f t="shared" si="17"/>
        <v>Aug-2024</v>
      </c>
    </row>
    <row r="1121" spans="1:10">
      <c r="A1121">
        <v>1120</v>
      </c>
      <c r="B1121">
        <v>17730</v>
      </c>
      <c r="C1121" t="s">
        <v>23</v>
      </c>
      <c r="D1121">
        <v>11544.04</v>
      </c>
      <c r="E1121" t="s">
        <v>16</v>
      </c>
      <c r="F1121">
        <v>7</v>
      </c>
      <c r="G1121" t="s">
        <v>25</v>
      </c>
      <c r="H1121" s="1">
        <v>45510</v>
      </c>
      <c r="I1121" s="1">
        <v>45517</v>
      </c>
      <c r="J1121" t="str">
        <f t="shared" si="17"/>
        <v>Aug-2024</v>
      </c>
    </row>
    <row r="1122" spans="1:10">
      <c r="A1122">
        <v>1121</v>
      </c>
      <c r="B1122">
        <v>13004</v>
      </c>
      <c r="C1122" t="s">
        <v>18</v>
      </c>
      <c r="D1122">
        <v>99175.91</v>
      </c>
      <c r="E1122" t="s">
        <v>24</v>
      </c>
      <c r="G1122" t="s">
        <v>25</v>
      </c>
      <c r="H1122" s="1">
        <v>45297</v>
      </c>
      <c r="J1122" t="str">
        <f t="shared" si="17"/>
        <v>Jan-2024</v>
      </c>
    </row>
    <row r="1123" spans="1:10">
      <c r="A1123">
        <v>1122</v>
      </c>
      <c r="B1123">
        <v>18986</v>
      </c>
      <c r="C1123" t="s">
        <v>23</v>
      </c>
      <c r="D1123">
        <v>63148.47</v>
      </c>
      <c r="E1123" t="s">
        <v>16</v>
      </c>
      <c r="F1123">
        <v>22</v>
      </c>
      <c r="G1123" t="s">
        <v>17</v>
      </c>
      <c r="H1123" s="1">
        <v>45400</v>
      </c>
      <c r="I1123" s="1">
        <v>45422</v>
      </c>
      <c r="J1123" t="str">
        <f t="shared" si="17"/>
        <v>Apr-2024</v>
      </c>
    </row>
    <row r="1124" spans="1:10">
      <c r="A1124">
        <v>1123</v>
      </c>
      <c r="B1124">
        <v>10728</v>
      </c>
      <c r="C1124" t="s">
        <v>23</v>
      </c>
      <c r="D1124">
        <v>169795.92</v>
      </c>
      <c r="E1124" t="s">
        <v>16</v>
      </c>
      <c r="F1124">
        <v>4</v>
      </c>
      <c r="G1124" t="s">
        <v>17</v>
      </c>
      <c r="H1124" s="1">
        <v>45642</v>
      </c>
      <c r="I1124" s="1">
        <v>45646</v>
      </c>
      <c r="J1124" t="str">
        <f t="shared" si="17"/>
        <v>Dec-2024</v>
      </c>
    </row>
    <row r="1125" spans="1:10">
      <c r="A1125">
        <v>1124</v>
      </c>
      <c r="B1125">
        <v>19885</v>
      </c>
      <c r="C1125" t="s">
        <v>15</v>
      </c>
      <c r="D1125">
        <v>122420.09</v>
      </c>
      <c r="E1125" t="s">
        <v>19</v>
      </c>
      <c r="F1125">
        <v>28</v>
      </c>
      <c r="G1125" t="s">
        <v>17</v>
      </c>
      <c r="H1125" s="1">
        <v>45357</v>
      </c>
      <c r="I1125" s="1">
        <v>45385</v>
      </c>
      <c r="J1125" t="str">
        <f t="shared" si="17"/>
        <v>Mar-2024</v>
      </c>
    </row>
    <row r="1126" spans="1:10">
      <c r="A1126">
        <v>1125</v>
      </c>
      <c r="B1126">
        <v>14734</v>
      </c>
      <c r="C1126" t="s">
        <v>23</v>
      </c>
      <c r="D1126">
        <v>93516.93</v>
      </c>
      <c r="E1126" t="s">
        <v>16</v>
      </c>
      <c r="F1126">
        <v>37</v>
      </c>
      <c r="G1126" t="s">
        <v>25</v>
      </c>
      <c r="H1126" s="1">
        <v>45301</v>
      </c>
      <c r="I1126" s="1">
        <v>45338</v>
      </c>
      <c r="J1126" t="str">
        <f t="shared" si="17"/>
        <v>Jan-2024</v>
      </c>
    </row>
    <row r="1127" spans="1:10">
      <c r="A1127">
        <v>1126</v>
      </c>
      <c r="B1127">
        <v>10190</v>
      </c>
      <c r="C1127" t="s">
        <v>23</v>
      </c>
      <c r="D1127">
        <v>84547.4</v>
      </c>
      <c r="E1127" t="s">
        <v>16</v>
      </c>
      <c r="F1127">
        <v>18</v>
      </c>
      <c r="G1127" t="s">
        <v>20</v>
      </c>
      <c r="H1127" s="1">
        <v>45493</v>
      </c>
      <c r="I1127" s="1">
        <v>45511</v>
      </c>
      <c r="J1127" t="str">
        <f t="shared" si="17"/>
        <v>Jul-2024</v>
      </c>
    </row>
    <row r="1128" spans="1:10">
      <c r="A1128">
        <v>1127</v>
      </c>
      <c r="B1128">
        <v>14994</v>
      </c>
      <c r="C1128" t="s">
        <v>23</v>
      </c>
      <c r="D1128">
        <v>101962.87</v>
      </c>
      <c r="E1128" t="s">
        <v>16</v>
      </c>
      <c r="F1128">
        <v>16</v>
      </c>
      <c r="G1128" t="s">
        <v>20</v>
      </c>
      <c r="H1128" s="1">
        <v>45573</v>
      </c>
      <c r="I1128" s="1">
        <v>45589</v>
      </c>
      <c r="J1128" t="str">
        <f t="shared" si="17"/>
        <v>Oct-2024</v>
      </c>
    </row>
    <row r="1129" spans="1:10">
      <c r="A1129">
        <v>1128</v>
      </c>
      <c r="B1129">
        <v>13866</v>
      </c>
      <c r="C1129" t="s">
        <v>15</v>
      </c>
      <c r="D1129">
        <v>12885.57</v>
      </c>
      <c r="E1129" t="s">
        <v>19</v>
      </c>
      <c r="F1129">
        <v>40</v>
      </c>
      <c r="G1129" t="s">
        <v>25</v>
      </c>
      <c r="H1129" s="1">
        <v>45505</v>
      </c>
      <c r="I1129" s="1">
        <v>45545</v>
      </c>
      <c r="J1129" t="str">
        <f t="shared" si="17"/>
        <v>Aug-2024</v>
      </c>
    </row>
    <row r="1130" spans="1:10">
      <c r="A1130">
        <v>1129</v>
      </c>
      <c r="B1130">
        <v>19681</v>
      </c>
      <c r="C1130" t="s">
        <v>18</v>
      </c>
      <c r="D1130">
        <v>179094.7</v>
      </c>
      <c r="E1130" t="s">
        <v>16</v>
      </c>
      <c r="F1130">
        <v>5</v>
      </c>
      <c r="G1130" t="s">
        <v>25</v>
      </c>
      <c r="H1130" s="1">
        <v>45359</v>
      </c>
      <c r="I1130" s="1">
        <v>45364</v>
      </c>
      <c r="J1130" t="str">
        <f t="shared" si="17"/>
        <v>Mar-2024</v>
      </c>
    </row>
    <row r="1131" spans="1:10">
      <c r="A1131">
        <v>1130</v>
      </c>
      <c r="B1131">
        <v>16039</v>
      </c>
      <c r="C1131" t="s">
        <v>18</v>
      </c>
      <c r="D1131">
        <v>199669.12</v>
      </c>
      <c r="E1131" t="s">
        <v>16</v>
      </c>
      <c r="F1131">
        <v>18</v>
      </c>
      <c r="G1131" t="s">
        <v>25</v>
      </c>
      <c r="H1131" s="1">
        <v>45538</v>
      </c>
      <c r="I1131" s="1">
        <v>45556</v>
      </c>
      <c r="J1131" t="str">
        <f t="shared" si="17"/>
        <v>Sep-2024</v>
      </c>
    </row>
    <row r="1132" spans="1:10">
      <c r="A1132">
        <v>1131</v>
      </c>
      <c r="B1132">
        <v>16445</v>
      </c>
      <c r="C1132" t="s">
        <v>18</v>
      </c>
      <c r="D1132">
        <v>40389.99</v>
      </c>
      <c r="E1132" t="s">
        <v>16</v>
      </c>
      <c r="F1132">
        <v>39</v>
      </c>
      <c r="G1132" t="s">
        <v>25</v>
      </c>
      <c r="H1132" s="1">
        <v>45645</v>
      </c>
      <c r="I1132" s="1">
        <v>45684</v>
      </c>
      <c r="J1132" t="str">
        <f t="shared" si="17"/>
        <v>Dec-2024</v>
      </c>
    </row>
    <row r="1133" spans="1:10">
      <c r="A1133">
        <v>1132</v>
      </c>
      <c r="B1133">
        <v>18829</v>
      </c>
      <c r="C1133" t="s">
        <v>23</v>
      </c>
      <c r="D1133">
        <v>28474.68</v>
      </c>
      <c r="E1133" t="s">
        <v>16</v>
      </c>
      <c r="F1133">
        <v>12</v>
      </c>
      <c r="G1133" t="s">
        <v>25</v>
      </c>
      <c r="H1133" s="1">
        <v>45618</v>
      </c>
      <c r="I1133" s="1">
        <v>45630</v>
      </c>
      <c r="J1133" t="str">
        <f t="shared" si="17"/>
        <v>Nov-2024</v>
      </c>
    </row>
    <row r="1134" spans="1:10">
      <c r="A1134">
        <v>1133</v>
      </c>
      <c r="B1134">
        <v>14045</v>
      </c>
      <c r="C1134" t="s">
        <v>23</v>
      </c>
      <c r="D1134">
        <v>32997.61</v>
      </c>
      <c r="E1134" t="s">
        <v>16</v>
      </c>
      <c r="F1134">
        <v>13</v>
      </c>
      <c r="G1134" t="s">
        <v>25</v>
      </c>
      <c r="H1134" s="1">
        <v>45341</v>
      </c>
      <c r="I1134" s="1">
        <v>45354</v>
      </c>
      <c r="J1134" t="str">
        <f t="shared" si="17"/>
        <v>Feb-2024</v>
      </c>
    </row>
    <row r="1135" spans="1:10">
      <c r="A1135">
        <v>1134</v>
      </c>
      <c r="B1135">
        <v>16315</v>
      </c>
      <c r="C1135" t="s">
        <v>23</v>
      </c>
      <c r="D1135">
        <v>133900.28</v>
      </c>
      <c r="E1135" t="s">
        <v>16</v>
      </c>
      <c r="F1135">
        <v>33</v>
      </c>
      <c r="G1135" t="s">
        <v>17</v>
      </c>
      <c r="H1135" s="1">
        <v>45308</v>
      </c>
      <c r="I1135" s="1">
        <v>45341</v>
      </c>
      <c r="J1135" t="str">
        <f t="shared" si="17"/>
        <v>Jan-2024</v>
      </c>
    </row>
    <row r="1136" spans="1:10">
      <c r="A1136">
        <v>1135</v>
      </c>
      <c r="B1136">
        <v>15624</v>
      </c>
      <c r="C1136" t="s">
        <v>23</v>
      </c>
      <c r="D1136">
        <v>133980.96</v>
      </c>
      <c r="E1136" t="s">
        <v>16</v>
      </c>
      <c r="F1136">
        <v>28</v>
      </c>
      <c r="G1136" t="s">
        <v>17</v>
      </c>
      <c r="H1136" s="1">
        <v>45302</v>
      </c>
      <c r="I1136" s="1">
        <v>45330</v>
      </c>
      <c r="J1136" t="str">
        <f t="shared" si="17"/>
        <v>Jan-2024</v>
      </c>
    </row>
    <row r="1137" spans="1:10">
      <c r="A1137">
        <v>1136</v>
      </c>
      <c r="B1137">
        <v>14158</v>
      </c>
      <c r="C1137" t="s">
        <v>23</v>
      </c>
      <c r="D1137">
        <v>170345.21</v>
      </c>
      <c r="E1137" t="s">
        <v>19</v>
      </c>
      <c r="F1137">
        <v>44</v>
      </c>
      <c r="G1137" t="s">
        <v>17</v>
      </c>
      <c r="H1137" s="1">
        <v>45600</v>
      </c>
      <c r="I1137" s="1">
        <v>45644</v>
      </c>
      <c r="J1137" t="str">
        <f t="shared" si="17"/>
        <v>Nov-2024</v>
      </c>
    </row>
    <row r="1138" spans="1:10">
      <c r="A1138">
        <v>1137</v>
      </c>
      <c r="B1138">
        <v>14111</v>
      </c>
      <c r="C1138" t="s">
        <v>22</v>
      </c>
      <c r="D1138">
        <v>151606.15</v>
      </c>
      <c r="E1138" t="s">
        <v>19</v>
      </c>
      <c r="F1138">
        <v>28</v>
      </c>
      <c r="G1138" t="s">
        <v>17</v>
      </c>
      <c r="H1138" s="1">
        <v>45597</v>
      </c>
      <c r="I1138" s="1">
        <v>45625</v>
      </c>
      <c r="J1138" t="str">
        <f t="shared" si="17"/>
        <v>Nov-2024</v>
      </c>
    </row>
    <row r="1139" spans="1:10">
      <c r="A1139">
        <v>1138</v>
      </c>
      <c r="B1139">
        <v>16834</v>
      </c>
      <c r="C1139" t="s">
        <v>23</v>
      </c>
      <c r="D1139">
        <v>92689.49</v>
      </c>
      <c r="E1139" t="s">
        <v>16</v>
      </c>
      <c r="F1139">
        <v>41</v>
      </c>
      <c r="G1139" t="s">
        <v>25</v>
      </c>
      <c r="H1139" s="1">
        <v>45415</v>
      </c>
      <c r="I1139" s="1">
        <v>45456</v>
      </c>
      <c r="J1139" t="str">
        <f t="shared" si="17"/>
        <v>May-2024</v>
      </c>
    </row>
    <row r="1140" spans="1:10">
      <c r="A1140">
        <v>1139</v>
      </c>
      <c r="B1140">
        <v>19033</v>
      </c>
      <c r="C1140" t="s">
        <v>23</v>
      </c>
      <c r="D1140">
        <v>124506.8</v>
      </c>
      <c r="E1140" t="s">
        <v>16</v>
      </c>
      <c r="F1140">
        <v>30</v>
      </c>
      <c r="G1140" t="s">
        <v>20</v>
      </c>
      <c r="H1140" s="1">
        <v>45516</v>
      </c>
      <c r="I1140" s="1">
        <v>45546</v>
      </c>
      <c r="J1140" t="str">
        <f t="shared" si="17"/>
        <v>Aug-2024</v>
      </c>
    </row>
    <row r="1141" spans="1:10">
      <c r="A1141">
        <v>1140</v>
      </c>
      <c r="B1141">
        <v>13951</v>
      </c>
      <c r="C1141" t="s">
        <v>23</v>
      </c>
      <c r="D1141">
        <v>139215.51</v>
      </c>
      <c r="E1141" t="s">
        <v>16</v>
      </c>
      <c r="F1141">
        <v>10</v>
      </c>
      <c r="G1141" t="s">
        <v>21</v>
      </c>
      <c r="H1141" s="1">
        <v>45535</v>
      </c>
      <c r="I1141" s="1">
        <v>45545</v>
      </c>
      <c r="J1141" t="str">
        <f t="shared" si="17"/>
        <v>Aug-2024</v>
      </c>
    </row>
    <row r="1142" spans="1:10">
      <c r="A1142">
        <v>1141</v>
      </c>
      <c r="B1142">
        <v>15220</v>
      </c>
      <c r="C1142" t="s">
        <v>23</v>
      </c>
      <c r="D1142">
        <v>104983.61</v>
      </c>
      <c r="E1142" t="s">
        <v>19</v>
      </c>
      <c r="F1142">
        <v>44</v>
      </c>
      <c r="G1142" t="s">
        <v>25</v>
      </c>
      <c r="H1142" s="1">
        <v>45609</v>
      </c>
      <c r="I1142" s="1">
        <v>45653</v>
      </c>
      <c r="J1142" t="str">
        <f t="shared" si="17"/>
        <v>Nov-2024</v>
      </c>
    </row>
    <row r="1143" spans="1:10">
      <c r="A1143">
        <v>1142</v>
      </c>
      <c r="B1143">
        <v>14058</v>
      </c>
      <c r="C1143" t="s">
        <v>22</v>
      </c>
      <c r="D1143">
        <v>97751.94</v>
      </c>
      <c r="E1143" t="s">
        <v>16</v>
      </c>
      <c r="F1143">
        <v>4</v>
      </c>
      <c r="G1143" t="s">
        <v>21</v>
      </c>
      <c r="H1143" s="1">
        <v>45623</v>
      </c>
      <c r="I1143" s="1">
        <v>45627</v>
      </c>
      <c r="J1143" t="str">
        <f t="shared" si="17"/>
        <v>Nov-2024</v>
      </c>
    </row>
    <row r="1144" spans="1:10">
      <c r="A1144">
        <v>1143</v>
      </c>
      <c r="B1144">
        <v>13247</v>
      </c>
      <c r="C1144" t="s">
        <v>23</v>
      </c>
      <c r="D1144">
        <v>130794</v>
      </c>
      <c r="E1144" t="s">
        <v>16</v>
      </c>
      <c r="F1144">
        <v>40</v>
      </c>
      <c r="G1144" t="s">
        <v>20</v>
      </c>
      <c r="H1144" s="1">
        <v>45637</v>
      </c>
      <c r="I1144" s="1">
        <v>45677</v>
      </c>
      <c r="J1144" t="str">
        <f t="shared" si="17"/>
        <v>Dec-2024</v>
      </c>
    </row>
    <row r="1145" spans="1:10">
      <c r="A1145">
        <v>1144</v>
      </c>
      <c r="B1145">
        <v>11216</v>
      </c>
      <c r="C1145" t="s">
        <v>23</v>
      </c>
      <c r="D1145">
        <v>113707.54</v>
      </c>
      <c r="E1145" t="s">
        <v>16</v>
      </c>
      <c r="F1145">
        <v>30</v>
      </c>
      <c r="G1145" t="s">
        <v>17</v>
      </c>
      <c r="H1145" s="1">
        <v>45320</v>
      </c>
      <c r="I1145" s="1">
        <v>45350</v>
      </c>
      <c r="J1145" t="str">
        <f t="shared" si="17"/>
        <v>Jan-2024</v>
      </c>
    </row>
    <row r="1146" spans="1:10">
      <c r="A1146">
        <v>1145</v>
      </c>
      <c r="B1146">
        <v>16092</v>
      </c>
      <c r="C1146" t="s">
        <v>18</v>
      </c>
      <c r="D1146">
        <v>130568.75</v>
      </c>
      <c r="E1146" t="s">
        <v>16</v>
      </c>
      <c r="F1146">
        <v>22</v>
      </c>
      <c r="G1146" t="s">
        <v>20</v>
      </c>
      <c r="H1146" s="1">
        <v>45649</v>
      </c>
      <c r="I1146" s="1">
        <v>45671</v>
      </c>
      <c r="J1146" t="str">
        <f t="shared" si="17"/>
        <v>Dec-2024</v>
      </c>
    </row>
    <row r="1147" spans="1:10">
      <c r="A1147">
        <v>1146</v>
      </c>
      <c r="B1147">
        <v>17980</v>
      </c>
      <c r="C1147" t="s">
        <v>23</v>
      </c>
      <c r="D1147">
        <v>124506.68</v>
      </c>
      <c r="E1147" t="s">
        <v>16</v>
      </c>
      <c r="F1147">
        <v>36</v>
      </c>
      <c r="G1147" t="s">
        <v>25</v>
      </c>
      <c r="H1147" s="1">
        <v>45648</v>
      </c>
      <c r="I1147" s="1">
        <v>45684</v>
      </c>
      <c r="J1147" t="str">
        <f t="shared" si="17"/>
        <v>Dec-2024</v>
      </c>
    </row>
    <row r="1148" spans="1:10">
      <c r="A1148">
        <v>1147</v>
      </c>
      <c r="B1148">
        <v>19090</v>
      </c>
      <c r="C1148" t="s">
        <v>23</v>
      </c>
      <c r="D1148">
        <v>145243.32999999999</v>
      </c>
      <c r="E1148" t="s">
        <v>16</v>
      </c>
      <c r="F1148">
        <v>11</v>
      </c>
      <c r="G1148" t="s">
        <v>17</v>
      </c>
      <c r="H1148" s="1">
        <v>45656</v>
      </c>
      <c r="I1148" s="1">
        <v>45667</v>
      </c>
      <c r="J1148" t="str">
        <f t="shared" si="17"/>
        <v>Dec-2024</v>
      </c>
    </row>
    <row r="1149" spans="1:10">
      <c r="A1149">
        <v>1148</v>
      </c>
      <c r="B1149">
        <v>15586</v>
      </c>
      <c r="C1149" t="s">
        <v>23</v>
      </c>
      <c r="D1149">
        <v>130346.68</v>
      </c>
      <c r="E1149" t="s">
        <v>16</v>
      </c>
      <c r="F1149">
        <v>24</v>
      </c>
      <c r="G1149" t="s">
        <v>25</v>
      </c>
      <c r="H1149" s="1">
        <v>45576</v>
      </c>
      <c r="I1149" s="1">
        <v>45600</v>
      </c>
      <c r="J1149" t="str">
        <f t="shared" si="17"/>
        <v>Oct-2024</v>
      </c>
    </row>
    <row r="1150" spans="1:10">
      <c r="A1150">
        <v>1149</v>
      </c>
      <c r="B1150">
        <v>17076</v>
      </c>
      <c r="C1150" t="s">
        <v>18</v>
      </c>
      <c r="D1150">
        <v>106349.78</v>
      </c>
      <c r="E1150" t="s">
        <v>19</v>
      </c>
      <c r="F1150">
        <v>40</v>
      </c>
      <c r="G1150" t="s">
        <v>17</v>
      </c>
      <c r="H1150" s="1">
        <v>45350</v>
      </c>
      <c r="I1150" s="1">
        <v>45390</v>
      </c>
      <c r="J1150" t="str">
        <f t="shared" si="17"/>
        <v>Feb-2024</v>
      </c>
    </row>
    <row r="1151" spans="1:10">
      <c r="A1151">
        <v>1150</v>
      </c>
      <c r="B1151">
        <v>17940</v>
      </c>
      <c r="C1151" t="s">
        <v>22</v>
      </c>
      <c r="D1151">
        <v>137950.38</v>
      </c>
      <c r="E1151" t="s">
        <v>16</v>
      </c>
      <c r="F1151">
        <v>26</v>
      </c>
      <c r="G1151" t="s">
        <v>21</v>
      </c>
      <c r="H1151" s="1">
        <v>45434</v>
      </c>
      <c r="I1151" s="1">
        <v>45460</v>
      </c>
      <c r="J1151" t="str">
        <f t="shared" si="17"/>
        <v>May-2024</v>
      </c>
    </row>
    <row r="1152" spans="1:10">
      <c r="A1152">
        <v>1151</v>
      </c>
      <c r="B1152">
        <v>12222</v>
      </c>
      <c r="C1152" t="s">
        <v>18</v>
      </c>
      <c r="D1152">
        <v>92648.98</v>
      </c>
      <c r="E1152" t="s">
        <v>16</v>
      </c>
      <c r="F1152">
        <v>25</v>
      </c>
      <c r="G1152" t="s">
        <v>21</v>
      </c>
      <c r="H1152" s="1">
        <v>45617</v>
      </c>
      <c r="I1152" s="1">
        <v>45642</v>
      </c>
      <c r="J1152" t="str">
        <f t="shared" si="17"/>
        <v>Nov-2024</v>
      </c>
    </row>
    <row r="1153" spans="1:10">
      <c r="A1153">
        <v>1152</v>
      </c>
      <c r="B1153">
        <v>19449</v>
      </c>
      <c r="C1153" t="s">
        <v>23</v>
      </c>
      <c r="D1153">
        <v>52125.89</v>
      </c>
      <c r="E1153" t="s">
        <v>16</v>
      </c>
      <c r="F1153">
        <v>21</v>
      </c>
      <c r="G1153" t="s">
        <v>21</v>
      </c>
      <c r="H1153" s="1">
        <v>45643</v>
      </c>
      <c r="I1153" s="1">
        <v>45664</v>
      </c>
      <c r="J1153" t="str">
        <f t="shared" si="17"/>
        <v>Dec-2024</v>
      </c>
    </row>
    <row r="1154" spans="1:10">
      <c r="A1154">
        <v>1153</v>
      </c>
      <c r="B1154">
        <v>17979</v>
      </c>
      <c r="C1154" t="s">
        <v>15</v>
      </c>
      <c r="D1154">
        <v>5276.55</v>
      </c>
      <c r="E1154" t="s">
        <v>16</v>
      </c>
      <c r="F1154">
        <v>16</v>
      </c>
      <c r="G1154" t="s">
        <v>20</v>
      </c>
      <c r="H1154" s="1">
        <v>45591</v>
      </c>
      <c r="I1154" s="1">
        <v>45607</v>
      </c>
      <c r="J1154" t="str">
        <f t="shared" si="17"/>
        <v>Oct-2024</v>
      </c>
    </row>
    <row r="1155" spans="1:10">
      <c r="A1155">
        <v>1154</v>
      </c>
      <c r="B1155">
        <v>11514</v>
      </c>
      <c r="C1155" t="s">
        <v>23</v>
      </c>
      <c r="D1155">
        <v>114193.01</v>
      </c>
      <c r="E1155" t="s">
        <v>16</v>
      </c>
      <c r="F1155">
        <v>22</v>
      </c>
      <c r="G1155" t="s">
        <v>25</v>
      </c>
      <c r="H1155" s="1">
        <v>45517</v>
      </c>
      <c r="I1155" s="1">
        <v>45539</v>
      </c>
      <c r="J1155" t="str">
        <f t="shared" ref="J1155:J1218" si="18">TEXT(H1155,"mmm-yyyy")</f>
        <v>Aug-2024</v>
      </c>
    </row>
    <row r="1156" spans="1:10">
      <c r="A1156">
        <v>1155</v>
      </c>
      <c r="B1156">
        <v>18608</v>
      </c>
      <c r="C1156" t="s">
        <v>23</v>
      </c>
      <c r="D1156">
        <v>120177.77</v>
      </c>
      <c r="E1156" t="s">
        <v>16</v>
      </c>
      <c r="F1156">
        <v>43</v>
      </c>
      <c r="G1156" t="s">
        <v>20</v>
      </c>
      <c r="H1156" s="1">
        <v>45455</v>
      </c>
      <c r="I1156" s="1">
        <v>45498</v>
      </c>
      <c r="J1156" t="str">
        <f t="shared" si="18"/>
        <v>Jun-2024</v>
      </c>
    </row>
    <row r="1157" spans="1:10">
      <c r="A1157">
        <v>1156</v>
      </c>
      <c r="B1157">
        <v>12883</v>
      </c>
      <c r="C1157" t="s">
        <v>23</v>
      </c>
      <c r="D1157">
        <v>194549.55</v>
      </c>
      <c r="E1157" t="s">
        <v>16</v>
      </c>
      <c r="F1157">
        <v>13</v>
      </c>
      <c r="G1157" t="s">
        <v>21</v>
      </c>
      <c r="H1157" s="1">
        <v>45375</v>
      </c>
      <c r="I1157" s="1">
        <v>45388</v>
      </c>
      <c r="J1157" t="str">
        <f t="shared" si="18"/>
        <v>Mar-2024</v>
      </c>
    </row>
    <row r="1158" spans="1:10">
      <c r="A1158">
        <v>1157</v>
      </c>
      <c r="B1158">
        <v>13826</v>
      </c>
      <c r="C1158" t="s">
        <v>23</v>
      </c>
      <c r="D1158">
        <v>75488.28</v>
      </c>
      <c r="E1158" t="s">
        <v>16</v>
      </c>
      <c r="F1158">
        <v>19</v>
      </c>
      <c r="G1158" t="s">
        <v>25</v>
      </c>
      <c r="H1158" s="1">
        <v>45604</v>
      </c>
      <c r="I1158" s="1">
        <v>45623</v>
      </c>
      <c r="J1158" t="str">
        <f t="shared" si="18"/>
        <v>Nov-2024</v>
      </c>
    </row>
    <row r="1159" spans="1:10">
      <c r="A1159">
        <v>1158</v>
      </c>
      <c r="B1159">
        <v>14339</v>
      </c>
      <c r="C1159" t="s">
        <v>18</v>
      </c>
      <c r="D1159">
        <v>81855.98</v>
      </c>
      <c r="E1159" t="s">
        <v>16</v>
      </c>
      <c r="F1159">
        <v>24</v>
      </c>
      <c r="G1159" t="s">
        <v>21</v>
      </c>
      <c r="H1159" s="1">
        <v>45408</v>
      </c>
      <c r="I1159" s="1">
        <v>45432</v>
      </c>
      <c r="J1159" t="str">
        <f t="shared" si="18"/>
        <v>Apr-2024</v>
      </c>
    </row>
    <row r="1160" spans="1:10">
      <c r="A1160">
        <v>1159</v>
      </c>
      <c r="B1160">
        <v>10674</v>
      </c>
      <c r="C1160" t="s">
        <v>18</v>
      </c>
      <c r="D1160">
        <v>44350.92</v>
      </c>
      <c r="E1160" t="s">
        <v>16</v>
      </c>
      <c r="F1160">
        <v>42</v>
      </c>
      <c r="G1160" t="s">
        <v>20</v>
      </c>
      <c r="H1160" s="1">
        <v>45611</v>
      </c>
      <c r="I1160" s="1">
        <v>45653</v>
      </c>
      <c r="J1160" t="str">
        <f t="shared" si="18"/>
        <v>Nov-2024</v>
      </c>
    </row>
    <row r="1161" spans="1:10">
      <c r="A1161">
        <v>1160</v>
      </c>
      <c r="B1161">
        <v>16289</v>
      </c>
      <c r="C1161" t="s">
        <v>22</v>
      </c>
      <c r="D1161">
        <v>18754.189999999999</v>
      </c>
      <c r="E1161" t="s">
        <v>19</v>
      </c>
      <c r="F1161">
        <v>30</v>
      </c>
      <c r="G1161" t="s">
        <v>20</v>
      </c>
      <c r="H1161" s="1">
        <v>45495</v>
      </c>
      <c r="I1161" s="1">
        <v>45525</v>
      </c>
      <c r="J1161" t="str">
        <f t="shared" si="18"/>
        <v>Jul-2024</v>
      </c>
    </row>
    <row r="1162" spans="1:10">
      <c r="A1162">
        <v>1161</v>
      </c>
      <c r="B1162">
        <v>10102</v>
      </c>
      <c r="C1162" t="s">
        <v>18</v>
      </c>
      <c r="D1162">
        <v>155696.88</v>
      </c>
      <c r="E1162" t="s">
        <v>16</v>
      </c>
      <c r="F1162">
        <v>42</v>
      </c>
      <c r="G1162" t="s">
        <v>20</v>
      </c>
      <c r="H1162" s="1">
        <v>45646</v>
      </c>
      <c r="I1162" s="1">
        <v>45688</v>
      </c>
      <c r="J1162" t="str">
        <f t="shared" si="18"/>
        <v>Dec-2024</v>
      </c>
    </row>
    <row r="1163" spans="1:10">
      <c r="A1163">
        <v>1162</v>
      </c>
      <c r="B1163">
        <v>13993</v>
      </c>
      <c r="C1163" t="s">
        <v>18</v>
      </c>
      <c r="D1163">
        <v>53687.81</v>
      </c>
      <c r="E1163" t="s">
        <v>16</v>
      </c>
      <c r="F1163">
        <v>37</v>
      </c>
      <c r="G1163" t="s">
        <v>21</v>
      </c>
      <c r="H1163" s="1">
        <v>45585</v>
      </c>
      <c r="I1163" s="1">
        <v>45622</v>
      </c>
      <c r="J1163" t="str">
        <f t="shared" si="18"/>
        <v>Oct-2024</v>
      </c>
    </row>
    <row r="1164" spans="1:10">
      <c r="A1164">
        <v>1163</v>
      </c>
      <c r="B1164">
        <v>13708</v>
      </c>
      <c r="C1164" t="s">
        <v>23</v>
      </c>
      <c r="D1164">
        <v>123736.45</v>
      </c>
      <c r="E1164" t="s">
        <v>16</v>
      </c>
      <c r="F1164">
        <v>6</v>
      </c>
      <c r="G1164" t="s">
        <v>25</v>
      </c>
      <c r="H1164" s="1">
        <v>45436</v>
      </c>
      <c r="I1164" s="1">
        <v>45442</v>
      </c>
      <c r="J1164" t="str">
        <f t="shared" si="18"/>
        <v>May-2024</v>
      </c>
    </row>
    <row r="1165" spans="1:10">
      <c r="A1165">
        <v>1164</v>
      </c>
      <c r="B1165">
        <v>11495</v>
      </c>
      <c r="C1165" t="s">
        <v>23</v>
      </c>
      <c r="D1165">
        <v>139115.74</v>
      </c>
      <c r="E1165" t="s">
        <v>16</v>
      </c>
      <c r="F1165">
        <v>40</v>
      </c>
      <c r="G1165" t="s">
        <v>25</v>
      </c>
      <c r="H1165" s="1">
        <v>45318</v>
      </c>
      <c r="I1165" s="1">
        <v>45358</v>
      </c>
      <c r="J1165" t="str">
        <f t="shared" si="18"/>
        <v>Jan-2024</v>
      </c>
    </row>
    <row r="1166" spans="1:10">
      <c r="A1166">
        <v>1165</v>
      </c>
      <c r="B1166">
        <v>13392</v>
      </c>
      <c r="C1166" t="s">
        <v>18</v>
      </c>
      <c r="D1166">
        <v>96891.15</v>
      </c>
      <c r="E1166" t="s">
        <v>16</v>
      </c>
      <c r="F1166">
        <v>27</v>
      </c>
      <c r="G1166" t="s">
        <v>21</v>
      </c>
      <c r="H1166" s="1">
        <v>45308</v>
      </c>
      <c r="I1166" s="1">
        <v>45335</v>
      </c>
      <c r="J1166" t="str">
        <f t="shared" si="18"/>
        <v>Jan-2024</v>
      </c>
    </row>
    <row r="1167" spans="1:10">
      <c r="A1167">
        <v>1166</v>
      </c>
      <c r="B1167">
        <v>17537</v>
      </c>
      <c r="C1167" t="s">
        <v>23</v>
      </c>
      <c r="D1167">
        <v>175888.66</v>
      </c>
      <c r="E1167" t="s">
        <v>16</v>
      </c>
      <c r="F1167">
        <v>40</v>
      </c>
      <c r="G1167" t="s">
        <v>25</v>
      </c>
      <c r="H1167" s="1">
        <v>45354</v>
      </c>
      <c r="I1167" s="1">
        <v>45394</v>
      </c>
      <c r="J1167" t="str">
        <f t="shared" si="18"/>
        <v>Mar-2024</v>
      </c>
    </row>
    <row r="1168" spans="1:10">
      <c r="A1168">
        <v>1167</v>
      </c>
      <c r="B1168">
        <v>12785</v>
      </c>
      <c r="C1168" t="s">
        <v>15</v>
      </c>
      <c r="D1168">
        <v>91539.99</v>
      </c>
      <c r="E1168" t="s">
        <v>19</v>
      </c>
      <c r="F1168">
        <v>12</v>
      </c>
      <c r="G1168" t="s">
        <v>21</v>
      </c>
      <c r="H1168" s="1">
        <v>45558</v>
      </c>
      <c r="I1168" s="1">
        <v>45570</v>
      </c>
      <c r="J1168" t="str">
        <f t="shared" si="18"/>
        <v>Sep-2024</v>
      </c>
    </row>
    <row r="1169" spans="1:10">
      <c r="A1169">
        <v>1168</v>
      </c>
      <c r="B1169">
        <v>15819</v>
      </c>
      <c r="C1169" t="s">
        <v>23</v>
      </c>
      <c r="D1169">
        <v>60557.18</v>
      </c>
      <c r="E1169" t="s">
        <v>16</v>
      </c>
      <c r="F1169">
        <v>43</v>
      </c>
      <c r="G1169" t="s">
        <v>25</v>
      </c>
      <c r="H1169" s="1">
        <v>45355</v>
      </c>
      <c r="I1169" s="1">
        <v>45398</v>
      </c>
      <c r="J1169" t="str">
        <f t="shared" si="18"/>
        <v>Mar-2024</v>
      </c>
    </row>
    <row r="1170" spans="1:10">
      <c r="A1170">
        <v>1169</v>
      </c>
      <c r="B1170">
        <v>13659</v>
      </c>
      <c r="C1170" t="s">
        <v>23</v>
      </c>
      <c r="D1170">
        <v>179723.03</v>
      </c>
      <c r="E1170" t="s">
        <v>16</v>
      </c>
      <c r="F1170">
        <v>12</v>
      </c>
      <c r="G1170" t="s">
        <v>17</v>
      </c>
      <c r="H1170" s="1">
        <v>45330</v>
      </c>
      <c r="I1170" s="1">
        <v>45342</v>
      </c>
      <c r="J1170" t="str">
        <f t="shared" si="18"/>
        <v>Feb-2024</v>
      </c>
    </row>
    <row r="1171" spans="1:10">
      <c r="A1171">
        <v>1170</v>
      </c>
      <c r="B1171">
        <v>14880</v>
      </c>
      <c r="C1171" t="s">
        <v>23</v>
      </c>
      <c r="D1171">
        <v>173005.04</v>
      </c>
      <c r="E1171" t="s">
        <v>19</v>
      </c>
      <c r="F1171">
        <v>19</v>
      </c>
      <c r="G1171" t="s">
        <v>17</v>
      </c>
      <c r="H1171" s="1">
        <v>45421</v>
      </c>
      <c r="I1171" s="1">
        <v>45440</v>
      </c>
      <c r="J1171" t="str">
        <f t="shared" si="18"/>
        <v>May-2024</v>
      </c>
    </row>
    <row r="1172" spans="1:10">
      <c r="A1172">
        <v>1171</v>
      </c>
      <c r="B1172">
        <v>15588</v>
      </c>
      <c r="C1172" t="s">
        <v>23</v>
      </c>
      <c r="D1172">
        <v>36987.79</v>
      </c>
      <c r="E1172" t="s">
        <v>24</v>
      </c>
      <c r="G1172" t="s">
        <v>20</v>
      </c>
      <c r="H1172" s="1">
        <v>45406</v>
      </c>
      <c r="J1172" t="str">
        <f t="shared" si="18"/>
        <v>Apr-2024</v>
      </c>
    </row>
    <row r="1173" spans="1:10">
      <c r="A1173">
        <v>1172</v>
      </c>
      <c r="B1173">
        <v>14802</v>
      </c>
      <c r="C1173" t="s">
        <v>23</v>
      </c>
      <c r="D1173">
        <v>10062.4</v>
      </c>
      <c r="E1173" t="s">
        <v>16</v>
      </c>
      <c r="F1173">
        <v>17</v>
      </c>
      <c r="G1173" t="s">
        <v>17</v>
      </c>
      <c r="H1173" s="1">
        <v>45336</v>
      </c>
      <c r="I1173" s="1">
        <v>45353</v>
      </c>
      <c r="J1173" t="str">
        <f t="shared" si="18"/>
        <v>Feb-2024</v>
      </c>
    </row>
    <row r="1174" spans="1:10">
      <c r="A1174">
        <v>1173</v>
      </c>
      <c r="B1174">
        <v>14891</v>
      </c>
      <c r="C1174" t="s">
        <v>18</v>
      </c>
      <c r="D1174">
        <v>22547.18</v>
      </c>
      <c r="E1174" t="s">
        <v>16</v>
      </c>
      <c r="F1174">
        <v>28</v>
      </c>
      <c r="G1174" t="s">
        <v>17</v>
      </c>
      <c r="H1174" s="1">
        <v>45507</v>
      </c>
      <c r="I1174" s="1">
        <v>45535</v>
      </c>
      <c r="J1174" t="str">
        <f t="shared" si="18"/>
        <v>Aug-2024</v>
      </c>
    </row>
    <row r="1175" spans="1:10">
      <c r="A1175">
        <v>1174</v>
      </c>
      <c r="B1175">
        <v>13525</v>
      </c>
      <c r="C1175" t="s">
        <v>23</v>
      </c>
      <c r="D1175">
        <v>60876.74</v>
      </c>
      <c r="E1175" t="s">
        <v>16</v>
      </c>
      <c r="F1175">
        <v>37</v>
      </c>
      <c r="G1175" t="s">
        <v>17</v>
      </c>
      <c r="H1175" s="1">
        <v>45379</v>
      </c>
      <c r="I1175" s="1">
        <v>45416</v>
      </c>
      <c r="J1175" t="str">
        <f t="shared" si="18"/>
        <v>Mar-2024</v>
      </c>
    </row>
    <row r="1176" spans="1:10">
      <c r="A1176">
        <v>1175</v>
      </c>
      <c r="B1176">
        <v>13517</v>
      </c>
      <c r="C1176" t="s">
        <v>18</v>
      </c>
      <c r="D1176">
        <v>194590.66</v>
      </c>
      <c r="E1176" t="s">
        <v>16</v>
      </c>
      <c r="F1176">
        <v>18</v>
      </c>
      <c r="G1176" t="s">
        <v>21</v>
      </c>
      <c r="H1176" s="1">
        <v>45627</v>
      </c>
      <c r="I1176" s="1">
        <v>45645</v>
      </c>
      <c r="J1176" t="str">
        <f t="shared" si="18"/>
        <v>Dec-2024</v>
      </c>
    </row>
    <row r="1177" spans="1:10">
      <c r="A1177">
        <v>1176</v>
      </c>
      <c r="B1177">
        <v>14777</v>
      </c>
      <c r="C1177" t="s">
        <v>23</v>
      </c>
      <c r="D1177">
        <v>113910.65</v>
      </c>
      <c r="E1177" t="s">
        <v>16</v>
      </c>
      <c r="F1177">
        <v>22</v>
      </c>
      <c r="G1177" t="s">
        <v>17</v>
      </c>
      <c r="H1177" s="1">
        <v>45468</v>
      </c>
      <c r="I1177" s="1">
        <v>45490</v>
      </c>
      <c r="J1177" t="str">
        <f t="shared" si="18"/>
        <v>Jun-2024</v>
      </c>
    </row>
    <row r="1178" spans="1:10">
      <c r="A1178">
        <v>1177</v>
      </c>
      <c r="B1178">
        <v>14189</v>
      </c>
      <c r="C1178" t="s">
        <v>23</v>
      </c>
      <c r="D1178">
        <v>77786.039999999994</v>
      </c>
      <c r="E1178" t="s">
        <v>16</v>
      </c>
      <c r="F1178">
        <v>38</v>
      </c>
      <c r="G1178" t="s">
        <v>17</v>
      </c>
      <c r="H1178" s="1">
        <v>45556</v>
      </c>
      <c r="I1178" s="1">
        <v>45594</v>
      </c>
      <c r="J1178" t="str">
        <f t="shared" si="18"/>
        <v>Sep-2024</v>
      </c>
    </row>
    <row r="1179" spans="1:10">
      <c r="A1179">
        <v>1178</v>
      </c>
      <c r="B1179">
        <v>16933</v>
      </c>
      <c r="C1179" t="s">
        <v>23</v>
      </c>
      <c r="D1179">
        <v>178299.64</v>
      </c>
      <c r="E1179" t="s">
        <v>19</v>
      </c>
      <c r="F1179">
        <v>32</v>
      </c>
      <c r="G1179" t="s">
        <v>20</v>
      </c>
      <c r="H1179" s="1">
        <v>45396</v>
      </c>
      <c r="I1179" s="1">
        <v>45428</v>
      </c>
      <c r="J1179" t="str">
        <f t="shared" si="18"/>
        <v>Apr-2024</v>
      </c>
    </row>
    <row r="1180" spans="1:10">
      <c r="A1180">
        <v>1179</v>
      </c>
      <c r="B1180">
        <v>16137</v>
      </c>
      <c r="C1180" t="s">
        <v>15</v>
      </c>
      <c r="D1180">
        <v>93361.58</v>
      </c>
      <c r="E1180" t="s">
        <v>16</v>
      </c>
      <c r="F1180">
        <v>36</v>
      </c>
      <c r="G1180" t="s">
        <v>17</v>
      </c>
      <c r="H1180" s="1">
        <v>45625</v>
      </c>
      <c r="I1180" s="1">
        <v>45661</v>
      </c>
      <c r="J1180" t="str">
        <f t="shared" si="18"/>
        <v>Nov-2024</v>
      </c>
    </row>
    <row r="1181" spans="1:10">
      <c r="A1181">
        <v>1180</v>
      </c>
      <c r="B1181">
        <v>16254</v>
      </c>
      <c r="C1181" t="s">
        <v>23</v>
      </c>
      <c r="D1181">
        <v>66471.53</v>
      </c>
      <c r="E1181" t="s">
        <v>16</v>
      </c>
      <c r="F1181">
        <v>28</v>
      </c>
      <c r="G1181" t="s">
        <v>17</v>
      </c>
      <c r="H1181" s="1">
        <v>45592</v>
      </c>
      <c r="I1181" s="1">
        <v>45620</v>
      </c>
      <c r="J1181" t="str">
        <f t="shared" si="18"/>
        <v>Oct-2024</v>
      </c>
    </row>
    <row r="1182" spans="1:10">
      <c r="A1182">
        <v>1181</v>
      </c>
      <c r="B1182">
        <v>11913</v>
      </c>
      <c r="C1182" t="s">
        <v>18</v>
      </c>
      <c r="D1182">
        <v>188537.81</v>
      </c>
      <c r="E1182" t="s">
        <v>16</v>
      </c>
      <c r="F1182">
        <v>24</v>
      </c>
      <c r="G1182" t="s">
        <v>25</v>
      </c>
      <c r="H1182" s="1">
        <v>45462</v>
      </c>
      <c r="I1182" s="1">
        <v>45486</v>
      </c>
      <c r="J1182" t="str">
        <f t="shared" si="18"/>
        <v>Jun-2024</v>
      </c>
    </row>
    <row r="1183" spans="1:10">
      <c r="A1183">
        <v>1182</v>
      </c>
      <c r="B1183">
        <v>17335</v>
      </c>
      <c r="C1183" t="s">
        <v>23</v>
      </c>
      <c r="D1183">
        <v>170655.94</v>
      </c>
      <c r="E1183" t="s">
        <v>19</v>
      </c>
      <c r="F1183">
        <v>33</v>
      </c>
      <c r="G1183" t="s">
        <v>20</v>
      </c>
      <c r="H1183" s="1">
        <v>45399</v>
      </c>
      <c r="I1183" s="1">
        <v>45432</v>
      </c>
      <c r="J1183" t="str">
        <f t="shared" si="18"/>
        <v>Apr-2024</v>
      </c>
    </row>
    <row r="1184" spans="1:10">
      <c r="A1184">
        <v>1183</v>
      </c>
      <c r="B1184">
        <v>11150</v>
      </c>
      <c r="C1184" t="s">
        <v>18</v>
      </c>
      <c r="D1184">
        <v>169515.33</v>
      </c>
      <c r="E1184" t="s">
        <v>16</v>
      </c>
      <c r="F1184">
        <v>18</v>
      </c>
      <c r="G1184" t="s">
        <v>20</v>
      </c>
      <c r="H1184" s="1">
        <v>45646</v>
      </c>
      <c r="I1184" s="1">
        <v>45664</v>
      </c>
      <c r="J1184" t="str">
        <f t="shared" si="18"/>
        <v>Dec-2024</v>
      </c>
    </row>
    <row r="1185" spans="1:10">
      <c r="A1185">
        <v>1184</v>
      </c>
      <c r="B1185">
        <v>14137</v>
      </c>
      <c r="C1185" t="s">
        <v>23</v>
      </c>
      <c r="D1185">
        <v>104895.52</v>
      </c>
      <c r="E1185" t="s">
        <v>16</v>
      </c>
      <c r="F1185">
        <v>12</v>
      </c>
      <c r="G1185" t="s">
        <v>20</v>
      </c>
      <c r="H1185" s="1">
        <v>45452</v>
      </c>
      <c r="I1185" s="1">
        <v>45464</v>
      </c>
      <c r="J1185" t="str">
        <f t="shared" si="18"/>
        <v>Jun-2024</v>
      </c>
    </row>
    <row r="1186" spans="1:10">
      <c r="A1186">
        <v>1185</v>
      </c>
      <c r="B1186">
        <v>14136</v>
      </c>
      <c r="C1186" t="s">
        <v>18</v>
      </c>
      <c r="D1186">
        <v>158940.49</v>
      </c>
      <c r="E1186" t="s">
        <v>16</v>
      </c>
      <c r="F1186">
        <v>2</v>
      </c>
      <c r="G1186" t="s">
        <v>20</v>
      </c>
      <c r="H1186" s="1">
        <v>45574</v>
      </c>
      <c r="I1186" s="1">
        <v>45576</v>
      </c>
      <c r="J1186" t="str">
        <f t="shared" si="18"/>
        <v>Oct-2024</v>
      </c>
    </row>
    <row r="1187" spans="1:10">
      <c r="A1187">
        <v>1186</v>
      </c>
      <c r="B1187">
        <v>17729</v>
      </c>
      <c r="C1187" t="s">
        <v>18</v>
      </c>
      <c r="D1187">
        <v>39973.910000000003</v>
      </c>
      <c r="E1187" t="s">
        <v>16</v>
      </c>
      <c r="F1187">
        <v>29</v>
      </c>
      <c r="G1187" t="s">
        <v>20</v>
      </c>
      <c r="H1187" s="1">
        <v>45331</v>
      </c>
      <c r="I1187" s="1">
        <v>45360</v>
      </c>
      <c r="J1187" t="str">
        <f t="shared" si="18"/>
        <v>Feb-2024</v>
      </c>
    </row>
    <row r="1188" spans="1:10">
      <c r="A1188">
        <v>1187</v>
      </c>
      <c r="B1188">
        <v>11510</v>
      </c>
      <c r="C1188" t="s">
        <v>22</v>
      </c>
      <c r="D1188">
        <v>116778.48</v>
      </c>
      <c r="E1188" t="s">
        <v>16</v>
      </c>
      <c r="F1188">
        <v>19</v>
      </c>
      <c r="G1188" t="s">
        <v>20</v>
      </c>
      <c r="H1188" s="1">
        <v>45317</v>
      </c>
      <c r="I1188" s="1">
        <v>45336</v>
      </c>
      <c r="J1188" t="str">
        <f t="shared" si="18"/>
        <v>Jan-2024</v>
      </c>
    </row>
    <row r="1189" spans="1:10">
      <c r="A1189">
        <v>1188</v>
      </c>
      <c r="B1189">
        <v>13915</v>
      </c>
      <c r="C1189" t="s">
        <v>23</v>
      </c>
      <c r="D1189">
        <v>196849.95</v>
      </c>
      <c r="E1189" t="s">
        <v>16</v>
      </c>
      <c r="F1189">
        <v>42</v>
      </c>
      <c r="G1189" t="s">
        <v>21</v>
      </c>
      <c r="H1189" s="1">
        <v>45374</v>
      </c>
      <c r="I1189" s="1">
        <v>45416</v>
      </c>
      <c r="J1189" t="str">
        <f t="shared" si="18"/>
        <v>Mar-2024</v>
      </c>
    </row>
    <row r="1190" spans="1:10">
      <c r="A1190">
        <v>1189</v>
      </c>
      <c r="B1190">
        <v>16325</v>
      </c>
      <c r="C1190" t="s">
        <v>23</v>
      </c>
      <c r="D1190">
        <v>61736.89</v>
      </c>
      <c r="E1190" t="s">
        <v>16</v>
      </c>
      <c r="F1190">
        <v>21</v>
      </c>
      <c r="G1190" t="s">
        <v>17</v>
      </c>
      <c r="H1190" s="1">
        <v>45464</v>
      </c>
      <c r="I1190" s="1">
        <v>45485</v>
      </c>
      <c r="J1190" t="str">
        <f t="shared" si="18"/>
        <v>Jun-2024</v>
      </c>
    </row>
    <row r="1191" spans="1:10">
      <c r="A1191">
        <v>1190</v>
      </c>
      <c r="B1191">
        <v>13252</v>
      </c>
      <c r="C1191" t="s">
        <v>23</v>
      </c>
      <c r="D1191">
        <v>159898.70000000001</v>
      </c>
      <c r="E1191" t="s">
        <v>16</v>
      </c>
      <c r="F1191">
        <v>8</v>
      </c>
      <c r="G1191" t="s">
        <v>20</v>
      </c>
      <c r="H1191" s="1">
        <v>45464</v>
      </c>
      <c r="I1191" s="1">
        <v>45472</v>
      </c>
      <c r="J1191" t="str">
        <f t="shared" si="18"/>
        <v>Jun-2024</v>
      </c>
    </row>
    <row r="1192" spans="1:10">
      <c r="A1192">
        <v>1191</v>
      </c>
      <c r="B1192">
        <v>18935</v>
      </c>
      <c r="C1192" t="s">
        <v>15</v>
      </c>
      <c r="D1192">
        <v>100643.29</v>
      </c>
      <c r="E1192" t="s">
        <v>16</v>
      </c>
      <c r="F1192">
        <v>38</v>
      </c>
      <c r="G1192" t="s">
        <v>17</v>
      </c>
      <c r="H1192" s="1">
        <v>45573</v>
      </c>
      <c r="I1192" s="1">
        <v>45611</v>
      </c>
      <c r="J1192" t="str">
        <f t="shared" si="18"/>
        <v>Oct-2024</v>
      </c>
    </row>
    <row r="1193" spans="1:10">
      <c r="A1193">
        <v>1192</v>
      </c>
      <c r="B1193">
        <v>13938</v>
      </c>
      <c r="C1193" t="s">
        <v>18</v>
      </c>
      <c r="D1193">
        <v>12762.11</v>
      </c>
      <c r="E1193" t="s">
        <v>16</v>
      </c>
      <c r="F1193">
        <v>17</v>
      </c>
      <c r="G1193" t="s">
        <v>17</v>
      </c>
      <c r="H1193" s="1">
        <v>45361</v>
      </c>
      <c r="I1193" s="1">
        <v>45378</v>
      </c>
      <c r="J1193" t="str">
        <f t="shared" si="18"/>
        <v>Mar-2024</v>
      </c>
    </row>
    <row r="1194" spans="1:10">
      <c r="A1194">
        <v>1193</v>
      </c>
      <c r="B1194">
        <v>12511</v>
      </c>
      <c r="C1194" t="s">
        <v>18</v>
      </c>
      <c r="D1194">
        <v>153788.78</v>
      </c>
      <c r="E1194" t="s">
        <v>16</v>
      </c>
      <c r="F1194">
        <v>40</v>
      </c>
      <c r="G1194" t="s">
        <v>21</v>
      </c>
      <c r="H1194" s="1">
        <v>45614</v>
      </c>
      <c r="I1194" s="1">
        <v>45654</v>
      </c>
      <c r="J1194" t="str">
        <f t="shared" si="18"/>
        <v>Nov-2024</v>
      </c>
    </row>
    <row r="1195" spans="1:10">
      <c r="A1195">
        <v>1194</v>
      </c>
      <c r="B1195">
        <v>11073</v>
      </c>
      <c r="C1195" t="s">
        <v>23</v>
      </c>
      <c r="D1195">
        <v>37870.980000000003</v>
      </c>
      <c r="E1195" t="s">
        <v>16</v>
      </c>
      <c r="F1195">
        <v>24</v>
      </c>
      <c r="G1195" t="s">
        <v>20</v>
      </c>
      <c r="H1195" s="1">
        <v>45297</v>
      </c>
      <c r="I1195" s="1">
        <v>45321</v>
      </c>
      <c r="J1195" t="str">
        <f t="shared" si="18"/>
        <v>Jan-2024</v>
      </c>
    </row>
    <row r="1196" spans="1:10">
      <c r="A1196">
        <v>1195</v>
      </c>
      <c r="B1196">
        <v>12192</v>
      </c>
      <c r="C1196" t="s">
        <v>23</v>
      </c>
      <c r="D1196">
        <v>128137.35</v>
      </c>
      <c r="E1196" t="s">
        <v>16</v>
      </c>
      <c r="F1196">
        <v>33</v>
      </c>
      <c r="G1196" t="s">
        <v>25</v>
      </c>
      <c r="H1196" s="1">
        <v>45575</v>
      </c>
      <c r="I1196" s="1">
        <v>45608</v>
      </c>
      <c r="J1196" t="str">
        <f t="shared" si="18"/>
        <v>Oct-2024</v>
      </c>
    </row>
    <row r="1197" spans="1:10">
      <c r="A1197">
        <v>1196</v>
      </c>
      <c r="B1197">
        <v>18207</v>
      </c>
      <c r="C1197" t="s">
        <v>23</v>
      </c>
      <c r="D1197">
        <v>21704.52</v>
      </c>
      <c r="E1197" t="s">
        <v>16</v>
      </c>
      <c r="F1197">
        <v>18</v>
      </c>
      <c r="G1197" t="s">
        <v>21</v>
      </c>
      <c r="H1197" s="1">
        <v>45486</v>
      </c>
      <c r="I1197" s="1">
        <v>45504</v>
      </c>
      <c r="J1197" t="str">
        <f t="shared" si="18"/>
        <v>Jul-2024</v>
      </c>
    </row>
    <row r="1198" spans="1:10">
      <c r="A1198">
        <v>1197</v>
      </c>
      <c r="B1198">
        <v>17383</v>
      </c>
      <c r="C1198" t="s">
        <v>22</v>
      </c>
      <c r="D1198">
        <v>189639.14</v>
      </c>
      <c r="E1198" t="s">
        <v>24</v>
      </c>
      <c r="G1198" t="s">
        <v>25</v>
      </c>
      <c r="H1198" s="1">
        <v>45304</v>
      </c>
      <c r="J1198" t="str">
        <f t="shared" si="18"/>
        <v>Jan-2024</v>
      </c>
    </row>
    <row r="1199" spans="1:10">
      <c r="A1199">
        <v>1198</v>
      </c>
      <c r="B1199">
        <v>15171</v>
      </c>
      <c r="C1199" t="s">
        <v>18</v>
      </c>
      <c r="D1199">
        <v>61886.16</v>
      </c>
      <c r="E1199" t="s">
        <v>16</v>
      </c>
      <c r="F1199">
        <v>43</v>
      </c>
      <c r="G1199" t="s">
        <v>17</v>
      </c>
      <c r="H1199" s="1">
        <v>45354</v>
      </c>
      <c r="I1199" s="1">
        <v>45397</v>
      </c>
      <c r="J1199" t="str">
        <f t="shared" si="18"/>
        <v>Mar-2024</v>
      </c>
    </row>
    <row r="1200" spans="1:10">
      <c r="A1200">
        <v>1199</v>
      </c>
      <c r="B1200">
        <v>18298</v>
      </c>
      <c r="C1200" t="s">
        <v>22</v>
      </c>
      <c r="D1200">
        <v>49160.61</v>
      </c>
      <c r="E1200" t="s">
        <v>16</v>
      </c>
      <c r="F1200">
        <v>35</v>
      </c>
      <c r="G1200" t="s">
        <v>17</v>
      </c>
      <c r="H1200" s="1">
        <v>45304</v>
      </c>
      <c r="I1200" s="1">
        <v>45339</v>
      </c>
      <c r="J1200" t="str">
        <f t="shared" si="18"/>
        <v>Jan-2024</v>
      </c>
    </row>
    <row r="1201" spans="1:10">
      <c r="A1201">
        <v>1200</v>
      </c>
      <c r="B1201">
        <v>14314</v>
      </c>
      <c r="C1201" t="s">
        <v>23</v>
      </c>
      <c r="D1201">
        <v>30181.599999999999</v>
      </c>
      <c r="E1201" t="s">
        <v>16</v>
      </c>
      <c r="F1201">
        <v>15</v>
      </c>
      <c r="G1201" t="s">
        <v>21</v>
      </c>
      <c r="H1201" s="1">
        <v>45540</v>
      </c>
      <c r="I1201" s="1">
        <v>45555</v>
      </c>
      <c r="J1201" t="str">
        <f t="shared" si="18"/>
        <v>Sep-2024</v>
      </c>
    </row>
    <row r="1202" spans="1:10">
      <c r="A1202">
        <v>1201</v>
      </c>
      <c r="B1202">
        <v>16480</v>
      </c>
      <c r="C1202" t="s">
        <v>18</v>
      </c>
      <c r="D1202">
        <v>189470.43</v>
      </c>
      <c r="E1202" t="s">
        <v>24</v>
      </c>
      <c r="G1202" t="s">
        <v>21</v>
      </c>
      <c r="H1202" s="1">
        <v>45496</v>
      </c>
      <c r="J1202" t="str">
        <f t="shared" si="18"/>
        <v>Jul-2024</v>
      </c>
    </row>
    <row r="1203" spans="1:10">
      <c r="A1203">
        <v>1202</v>
      </c>
      <c r="B1203">
        <v>12857</v>
      </c>
      <c r="C1203" t="s">
        <v>18</v>
      </c>
      <c r="D1203">
        <v>143821.23000000001</v>
      </c>
      <c r="E1203" t="s">
        <v>19</v>
      </c>
      <c r="F1203">
        <v>40</v>
      </c>
      <c r="G1203" t="s">
        <v>25</v>
      </c>
      <c r="H1203" s="1">
        <v>45544</v>
      </c>
      <c r="I1203" s="1">
        <v>45584</v>
      </c>
      <c r="J1203" t="str">
        <f t="shared" si="18"/>
        <v>Sep-2024</v>
      </c>
    </row>
    <row r="1204" spans="1:10">
      <c r="A1204">
        <v>1203</v>
      </c>
      <c r="B1204">
        <v>14349</v>
      </c>
      <c r="C1204" t="s">
        <v>23</v>
      </c>
      <c r="D1204">
        <v>149623.87</v>
      </c>
      <c r="E1204" t="s">
        <v>16</v>
      </c>
      <c r="F1204">
        <v>26</v>
      </c>
      <c r="G1204" t="s">
        <v>20</v>
      </c>
      <c r="H1204" s="1">
        <v>45331</v>
      </c>
      <c r="I1204" s="1">
        <v>45357</v>
      </c>
      <c r="J1204" t="str">
        <f t="shared" si="18"/>
        <v>Feb-2024</v>
      </c>
    </row>
    <row r="1205" spans="1:10">
      <c r="A1205">
        <v>1204</v>
      </c>
      <c r="B1205">
        <v>11428</v>
      </c>
      <c r="C1205" t="s">
        <v>15</v>
      </c>
      <c r="D1205">
        <v>102383.89</v>
      </c>
      <c r="E1205" t="s">
        <v>16</v>
      </c>
      <c r="F1205">
        <v>12</v>
      </c>
      <c r="G1205" t="s">
        <v>25</v>
      </c>
      <c r="H1205" s="1">
        <v>45456</v>
      </c>
      <c r="I1205" s="1">
        <v>45468</v>
      </c>
      <c r="J1205" t="str">
        <f t="shared" si="18"/>
        <v>Jun-2024</v>
      </c>
    </row>
    <row r="1206" spans="1:10">
      <c r="A1206">
        <v>1205</v>
      </c>
      <c r="B1206">
        <v>16723</v>
      </c>
      <c r="C1206" t="s">
        <v>22</v>
      </c>
      <c r="D1206">
        <v>97571.92</v>
      </c>
      <c r="E1206" t="s">
        <v>16</v>
      </c>
      <c r="F1206">
        <v>16</v>
      </c>
      <c r="G1206" t="s">
        <v>21</v>
      </c>
      <c r="H1206" s="1">
        <v>45322</v>
      </c>
      <c r="I1206" s="1">
        <v>45338</v>
      </c>
      <c r="J1206" t="str">
        <f t="shared" si="18"/>
        <v>Jan-2024</v>
      </c>
    </row>
    <row r="1207" spans="1:10">
      <c r="A1207">
        <v>1206</v>
      </c>
      <c r="B1207">
        <v>16779</v>
      </c>
      <c r="C1207" t="s">
        <v>15</v>
      </c>
      <c r="D1207">
        <v>26454.14</v>
      </c>
      <c r="E1207" t="s">
        <v>16</v>
      </c>
      <c r="F1207">
        <v>20</v>
      </c>
      <c r="G1207" t="s">
        <v>25</v>
      </c>
      <c r="H1207" s="1">
        <v>45308</v>
      </c>
      <c r="I1207" s="1">
        <v>45328</v>
      </c>
      <c r="J1207" t="str">
        <f t="shared" si="18"/>
        <v>Jan-2024</v>
      </c>
    </row>
    <row r="1208" spans="1:10">
      <c r="A1208">
        <v>1207</v>
      </c>
      <c r="B1208">
        <v>17856</v>
      </c>
      <c r="C1208" t="s">
        <v>18</v>
      </c>
      <c r="D1208">
        <v>114169.01</v>
      </c>
      <c r="E1208" t="s">
        <v>19</v>
      </c>
      <c r="F1208">
        <v>44</v>
      </c>
      <c r="G1208" t="s">
        <v>21</v>
      </c>
      <c r="H1208" s="1">
        <v>45428</v>
      </c>
      <c r="I1208" s="1">
        <v>45472</v>
      </c>
      <c r="J1208" t="str">
        <f t="shared" si="18"/>
        <v>May-2024</v>
      </c>
    </row>
    <row r="1209" spans="1:10">
      <c r="A1209">
        <v>1208</v>
      </c>
      <c r="B1209">
        <v>17300</v>
      </c>
      <c r="C1209" t="s">
        <v>23</v>
      </c>
      <c r="D1209">
        <v>53148.72</v>
      </c>
      <c r="E1209" t="s">
        <v>16</v>
      </c>
      <c r="F1209">
        <v>16</v>
      </c>
      <c r="G1209" t="s">
        <v>25</v>
      </c>
      <c r="H1209" s="1">
        <v>45656</v>
      </c>
      <c r="I1209" s="1">
        <v>45672</v>
      </c>
      <c r="J1209" t="str">
        <f t="shared" si="18"/>
        <v>Dec-2024</v>
      </c>
    </row>
    <row r="1210" spans="1:10">
      <c r="A1210">
        <v>1209</v>
      </c>
      <c r="B1210">
        <v>16645</v>
      </c>
      <c r="C1210" t="s">
        <v>23</v>
      </c>
      <c r="D1210">
        <v>195543.34</v>
      </c>
      <c r="E1210" t="s">
        <v>16</v>
      </c>
      <c r="F1210">
        <v>16</v>
      </c>
      <c r="G1210" t="s">
        <v>21</v>
      </c>
      <c r="H1210" s="1">
        <v>45611</v>
      </c>
      <c r="I1210" s="1">
        <v>45627</v>
      </c>
      <c r="J1210" t="str">
        <f t="shared" si="18"/>
        <v>Nov-2024</v>
      </c>
    </row>
    <row r="1211" spans="1:10">
      <c r="A1211">
        <v>1210</v>
      </c>
      <c r="B1211">
        <v>17670</v>
      </c>
      <c r="C1211" t="s">
        <v>22</v>
      </c>
      <c r="D1211">
        <v>160333.28</v>
      </c>
      <c r="E1211" t="s">
        <v>19</v>
      </c>
      <c r="F1211">
        <v>39</v>
      </c>
      <c r="G1211" t="s">
        <v>21</v>
      </c>
      <c r="H1211" s="1">
        <v>45604</v>
      </c>
      <c r="I1211" s="1">
        <v>45643</v>
      </c>
      <c r="J1211" t="str">
        <f t="shared" si="18"/>
        <v>Nov-2024</v>
      </c>
    </row>
    <row r="1212" spans="1:10">
      <c r="A1212">
        <v>1211</v>
      </c>
      <c r="B1212">
        <v>12921</v>
      </c>
      <c r="C1212" t="s">
        <v>23</v>
      </c>
      <c r="D1212">
        <v>85533.45</v>
      </c>
      <c r="E1212" t="s">
        <v>19</v>
      </c>
      <c r="F1212">
        <v>16</v>
      </c>
      <c r="G1212" t="s">
        <v>21</v>
      </c>
      <c r="H1212" s="1">
        <v>45456</v>
      </c>
      <c r="I1212" s="1">
        <v>45472</v>
      </c>
      <c r="J1212" t="str">
        <f t="shared" si="18"/>
        <v>Jun-2024</v>
      </c>
    </row>
    <row r="1213" spans="1:10">
      <c r="A1213">
        <v>1212</v>
      </c>
      <c r="B1213">
        <v>18166</v>
      </c>
      <c r="C1213" t="s">
        <v>18</v>
      </c>
      <c r="D1213">
        <v>34511.550000000003</v>
      </c>
      <c r="E1213" t="s">
        <v>16</v>
      </c>
      <c r="F1213">
        <v>10</v>
      </c>
      <c r="G1213" t="s">
        <v>20</v>
      </c>
      <c r="H1213" s="1">
        <v>45572</v>
      </c>
      <c r="I1213" s="1">
        <v>45582</v>
      </c>
      <c r="J1213" t="str">
        <f t="shared" si="18"/>
        <v>Oct-2024</v>
      </c>
    </row>
    <row r="1214" spans="1:10">
      <c r="A1214">
        <v>1213</v>
      </c>
      <c r="B1214">
        <v>17244</v>
      </c>
      <c r="C1214" t="s">
        <v>18</v>
      </c>
      <c r="D1214">
        <v>158139.68</v>
      </c>
      <c r="E1214" t="s">
        <v>16</v>
      </c>
      <c r="F1214">
        <v>6</v>
      </c>
      <c r="G1214" t="s">
        <v>25</v>
      </c>
      <c r="H1214" s="1">
        <v>45514</v>
      </c>
      <c r="I1214" s="1">
        <v>45520</v>
      </c>
      <c r="J1214" t="str">
        <f t="shared" si="18"/>
        <v>Aug-2024</v>
      </c>
    </row>
    <row r="1215" spans="1:10">
      <c r="A1215">
        <v>1214</v>
      </c>
      <c r="B1215">
        <v>10878</v>
      </c>
      <c r="C1215" t="s">
        <v>18</v>
      </c>
      <c r="D1215">
        <v>28800.48</v>
      </c>
      <c r="E1215" t="s">
        <v>16</v>
      </c>
      <c r="F1215">
        <v>20</v>
      </c>
      <c r="G1215" t="s">
        <v>25</v>
      </c>
      <c r="H1215" s="1">
        <v>45413</v>
      </c>
      <c r="I1215" s="1">
        <v>45433</v>
      </c>
      <c r="J1215" t="str">
        <f t="shared" si="18"/>
        <v>May-2024</v>
      </c>
    </row>
    <row r="1216" spans="1:10">
      <c r="A1216">
        <v>1215</v>
      </c>
      <c r="B1216">
        <v>18502</v>
      </c>
      <c r="C1216" t="s">
        <v>22</v>
      </c>
      <c r="D1216">
        <v>41920.080000000002</v>
      </c>
      <c r="E1216" t="s">
        <v>19</v>
      </c>
      <c r="F1216">
        <v>25</v>
      </c>
      <c r="G1216" t="s">
        <v>25</v>
      </c>
      <c r="H1216" s="1">
        <v>45369</v>
      </c>
      <c r="I1216" s="1">
        <v>45394</v>
      </c>
      <c r="J1216" t="str">
        <f t="shared" si="18"/>
        <v>Mar-2024</v>
      </c>
    </row>
    <row r="1217" spans="1:10">
      <c r="A1217">
        <v>1216</v>
      </c>
      <c r="B1217">
        <v>19306</v>
      </c>
      <c r="C1217" t="s">
        <v>23</v>
      </c>
      <c r="D1217">
        <v>46246.5</v>
      </c>
      <c r="E1217" t="s">
        <v>19</v>
      </c>
      <c r="F1217">
        <v>30</v>
      </c>
      <c r="G1217" t="s">
        <v>21</v>
      </c>
      <c r="H1217" s="1">
        <v>45604</v>
      </c>
      <c r="I1217" s="1">
        <v>45634</v>
      </c>
      <c r="J1217" t="str">
        <f t="shared" si="18"/>
        <v>Nov-2024</v>
      </c>
    </row>
    <row r="1218" spans="1:10">
      <c r="A1218">
        <v>1217</v>
      </c>
      <c r="B1218">
        <v>11321</v>
      </c>
      <c r="C1218" t="s">
        <v>23</v>
      </c>
      <c r="D1218">
        <v>113593.67</v>
      </c>
      <c r="E1218" t="s">
        <v>16</v>
      </c>
      <c r="F1218">
        <v>6</v>
      </c>
      <c r="G1218" t="s">
        <v>25</v>
      </c>
      <c r="H1218" s="1">
        <v>45618</v>
      </c>
      <c r="I1218" s="1">
        <v>45624</v>
      </c>
      <c r="J1218" t="str">
        <f t="shared" si="18"/>
        <v>Nov-2024</v>
      </c>
    </row>
    <row r="1219" spans="1:10">
      <c r="A1219">
        <v>1218</v>
      </c>
      <c r="B1219">
        <v>14375</v>
      </c>
      <c r="C1219" t="s">
        <v>23</v>
      </c>
      <c r="D1219">
        <v>158476.04999999999</v>
      </c>
      <c r="E1219" t="s">
        <v>16</v>
      </c>
      <c r="F1219">
        <v>23</v>
      </c>
      <c r="G1219" t="s">
        <v>25</v>
      </c>
      <c r="H1219" s="1">
        <v>45379</v>
      </c>
      <c r="I1219" s="1">
        <v>45402</v>
      </c>
      <c r="J1219" t="str">
        <f t="shared" ref="J1219:J1282" si="19">TEXT(H1219,"mmm-yyyy")</f>
        <v>Mar-2024</v>
      </c>
    </row>
    <row r="1220" spans="1:10">
      <c r="A1220">
        <v>1219</v>
      </c>
      <c r="B1220">
        <v>19158</v>
      </c>
      <c r="C1220" t="s">
        <v>23</v>
      </c>
      <c r="D1220">
        <v>66291.399999999994</v>
      </c>
      <c r="E1220" t="s">
        <v>19</v>
      </c>
      <c r="F1220">
        <v>14</v>
      </c>
      <c r="G1220" t="s">
        <v>21</v>
      </c>
      <c r="H1220" s="1">
        <v>45404</v>
      </c>
      <c r="I1220" s="1">
        <v>45418</v>
      </c>
      <c r="J1220" t="str">
        <f t="shared" si="19"/>
        <v>Apr-2024</v>
      </c>
    </row>
    <row r="1221" spans="1:10">
      <c r="A1221">
        <v>1220</v>
      </c>
      <c r="B1221">
        <v>18886</v>
      </c>
      <c r="C1221" t="s">
        <v>23</v>
      </c>
      <c r="D1221">
        <v>21510.61</v>
      </c>
      <c r="E1221" t="s">
        <v>16</v>
      </c>
      <c r="F1221">
        <v>30</v>
      </c>
      <c r="G1221" t="s">
        <v>17</v>
      </c>
      <c r="H1221" s="1">
        <v>45391</v>
      </c>
      <c r="I1221" s="1">
        <v>45421</v>
      </c>
      <c r="J1221" t="str">
        <f t="shared" si="19"/>
        <v>Apr-2024</v>
      </c>
    </row>
    <row r="1222" spans="1:10">
      <c r="A1222">
        <v>1221</v>
      </c>
      <c r="B1222">
        <v>15005</v>
      </c>
      <c r="C1222" t="s">
        <v>23</v>
      </c>
      <c r="D1222">
        <v>95585</v>
      </c>
      <c r="E1222" t="s">
        <v>16</v>
      </c>
      <c r="F1222">
        <v>17</v>
      </c>
      <c r="G1222" t="s">
        <v>21</v>
      </c>
      <c r="H1222" s="1">
        <v>45594</v>
      </c>
      <c r="I1222" s="1">
        <v>45611</v>
      </c>
      <c r="J1222" t="str">
        <f t="shared" si="19"/>
        <v>Oct-2024</v>
      </c>
    </row>
    <row r="1223" spans="1:10">
      <c r="A1223">
        <v>1222</v>
      </c>
      <c r="B1223">
        <v>18462</v>
      </c>
      <c r="C1223" t="s">
        <v>15</v>
      </c>
      <c r="D1223">
        <v>150881.5</v>
      </c>
      <c r="E1223" t="s">
        <v>19</v>
      </c>
      <c r="F1223">
        <v>37</v>
      </c>
      <c r="G1223" t="s">
        <v>25</v>
      </c>
      <c r="H1223" s="1">
        <v>45530</v>
      </c>
      <c r="I1223" s="1">
        <v>45567</v>
      </c>
      <c r="J1223" t="str">
        <f t="shared" si="19"/>
        <v>Aug-2024</v>
      </c>
    </row>
    <row r="1224" spans="1:10">
      <c r="A1224">
        <v>1223</v>
      </c>
      <c r="B1224">
        <v>15636</v>
      </c>
      <c r="C1224" t="s">
        <v>22</v>
      </c>
      <c r="D1224">
        <v>48224.45</v>
      </c>
      <c r="E1224" t="s">
        <v>16</v>
      </c>
      <c r="F1224">
        <v>18</v>
      </c>
      <c r="G1224" t="s">
        <v>21</v>
      </c>
      <c r="H1224" s="1">
        <v>45637</v>
      </c>
      <c r="I1224" s="1">
        <v>45655</v>
      </c>
      <c r="J1224" t="str">
        <f t="shared" si="19"/>
        <v>Dec-2024</v>
      </c>
    </row>
    <row r="1225" spans="1:10">
      <c r="A1225">
        <v>1224</v>
      </c>
      <c r="B1225">
        <v>15220</v>
      </c>
      <c r="C1225" t="s">
        <v>23</v>
      </c>
      <c r="D1225">
        <v>47885.29</v>
      </c>
      <c r="E1225" t="s">
        <v>16</v>
      </c>
      <c r="F1225">
        <v>21</v>
      </c>
      <c r="G1225" t="s">
        <v>17</v>
      </c>
      <c r="H1225" s="1">
        <v>45402</v>
      </c>
      <c r="I1225" s="1">
        <v>45423</v>
      </c>
      <c r="J1225" t="str">
        <f t="shared" si="19"/>
        <v>Apr-2024</v>
      </c>
    </row>
    <row r="1226" spans="1:10">
      <c r="A1226">
        <v>1225</v>
      </c>
      <c r="B1226">
        <v>19603</v>
      </c>
      <c r="C1226" t="s">
        <v>23</v>
      </c>
      <c r="D1226">
        <v>189709.27</v>
      </c>
      <c r="E1226" t="s">
        <v>19</v>
      </c>
      <c r="F1226">
        <v>15</v>
      </c>
      <c r="G1226" t="s">
        <v>21</v>
      </c>
      <c r="H1226" s="1">
        <v>45381</v>
      </c>
      <c r="I1226" s="1">
        <v>45396</v>
      </c>
      <c r="J1226" t="str">
        <f t="shared" si="19"/>
        <v>Mar-2024</v>
      </c>
    </row>
    <row r="1227" spans="1:10">
      <c r="A1227">
        <v>1226</v>
      </c>
      <c r="B1227">
        <v>13027</v>
      </c>
      <c r="C1227" t="s">
        <v>22</v>
      </c>
      <c r="D1227">
        <v>191059.98</v>
      </c>
      <c r="E1227" t="s">
        <v>19</v>
      </c>
      <c r="F1227">
        <v>7</v>
      </c>
      <c r="G1227" t="s">
        <v>25</v>
      </c>
      <c r="H1227" s="1">
        <v>45430</v>
      </c>
      <c r="I1227" s="1">
        <v>45437</v>
      </c>
      <c r="J1227" t="str">
        <f t="shared" si="19"/>
        <v>May-2024</v>
      </c>
    </row>
    <row r="1228" spans="1:10">
      <c r="A1228">
        <v>1227</v>
      </c>
      <c r="B1228">
        <v>13124</v>
      </c>
      <c r="C1228" t="s">
        <v>23</v>
      </c>
      <c r="D1228">
        <v>198140.82</v>
      </c>
      <c r="E1228" t="s">
        <v>16</v>
      </c>
      <c r="F1228">
        <v>23</v>
      </c>
      <c r="G1228" t="s">
        <v>17</v>
      </c>
      <c r="H1228" s="1">
        <v>45426</v>
      </c>
      <c r="I1228" s="1">
        <v>45449</v>
      </c>
      <c r="J1228" t="str">
        <f t="shared" si="19"/>
        <v>May-2024</v>
      </c>
    </row>
    <row r="1229" spans="1:10">
      <c r="A1229">
        <v>1228</v>
      </c>
      <c r="B1229">
        <v>11753</v>
      </c>
      <c r="C1229" t="s">
        <v>23</v>
      </c>
      <c r="D1229">
        <v>162493.62</v>
      </c>
      <c r="E1229" t="s">
        <v>16</v>
      </c>
      <c r="F1229">
        <v>41</v>
      </c>
      <c r="G1229" t="s">
        <v>20</v>
      </c>
      <c r="H1229" s="1">
        <v>45303</v>
      </c>
      <c r="I1229" s="1">
        <v>45344</v>
      </c>
      <c r="J1229" t="str">
        <f t="shared" si="19"/>
        <v>Jan-2024</v>
      </c>
    </row>
    <row r="1230" spans="1:10">
      <c r="A1230">
        <v>1229</v>
      </c>
      <c r="B1230">
        <v>18186</v>
      </c>
      <c r="C1230" t="s">
        <v>23</v>
      </c>
      <c r="D1230">
        <v>41695.910000000003</v>
      </c>
      <c r="E1230" t="s">
        <v>16</v>
      </c>
      <c r="F1230">
        <v>10</v>
      </c>
      <c r="G1230" t="s">
        <v>25</v>
      </c>
      <c r="H1230" s="1">
        <v>45535</v>
      </c>
      <c r="I1230" s="1">
        <v>45545</v>
      </c>
      <c r="J1230" t="str">
        <f t="shared" si="19"/>
        <v>Aug-2024</v>
      </c>
    </row>
    <row r="1231" spans="1:10">
      <c r="A1231">
        <v>1230</v>
      </c>
      <c r="B1231">
        <v>15099</v>
      </c>
      <c r="C1231" t="s">
        <v>18</v>
      </c>
      <c r="D1231">
        <v>46336.4</v>
      </c>
      <c r="E1231" t="s">
        <v>16</v>
      </c>
      <c r="F1231">
        <v>33</v>
      </c>
      <c r="G1231" t="s">
        <v>17</v>
      </c>
      <c r="H1231" s="1">
        <v>45473</v>
      </c>
      <c r="I1231" s="1">
        <v>45506</v>
      </c>
      <c r="J1231" t="str">
        <f t="shared" si="19"/>
        <v>Jun-2024</v>
      </c>
    </row>
    <row r="1232" spans="1:10">
      <c r="A1232">
        <v>1231</v>
      </c>
      <c r="B1232">
        <v>14335</v>
      </c>
      <c r="C1232" t="s">
        <v>23</v>
      </c>
      <c r="D1232">
        <v>71343.92</v>
      </c>
      <c r="E1232" t="s">
        <v>16</v>
      </c>
      <c r="F1232">
        <v>25</v>
      </c>
      <c r="G1232" t="s">
        <v>17</v>
      </c>
      <c r="H1232" s="1">
        <v>45486</v>
      </c>
      <c r="I1232" s="1">
        <v>45511</v>
      </c>
      <c r="J1232" t="str">
        <f t="shared" si="19"/>
        <v>Jul-2024</v>
      </c>
    </row>
    <row r="1233" spans="1:10">
      <c r="A1233">
        <v>1232</v>
      </c>
      <c r="B1233">
        <v>13285</v>
      </c>
      <c r="C1233" t="s">
        <v>22</v>
      </c>
      <c r="D1233">
        <v>67035.839999999997</v>
      </c>
      <c r="E1233" t="s">
        <v>19</v>
      </c>
      <c r="F1233">
        <v>34</v>
      </c>
      <c r="G1233" t="s">
        <v>20</v>
      </c>
      <c r="H1233" s="1">
        <v>45653</v>
      </c>
      <c r="I1233" s="1">
        <v>45687</v>
      </c>
      <c r="J1233" t="str">
        <f t="shared" si="19"/>
        <v>Dec-2024</v>
      </c>
    </row>
    <row r="1234" spans="1:10">
      <c r="A1234">
        <v>1233</v>
      </c>
      <c r="B1234">
        <v>18552</v>
      </c>
      <c r="C1234" t="s">
        <v>23</v>
      </c>
      <c r="D1234">
        <v>191522.91</v>
      </c>
      <c r="E1234" t="s">
        <v>16</v>
      </c>
      <c r="F1234">
        <v>14</v>
      </c>
      <c r="G1234" t="s">
        <v>21</v>
      </c>
      <c r="H1234" s="1">
        <v>45413</v>
      </c>
      <c r="I1234" s="1">
        <v>45427</v>
      </c>
      <c r="J1234" t="str">
        <f t="shared" si="19"/>
        <v>May-2024</v>
      </c>
    </row>
    <row r="1235" spans="1:10">
      <c r="A1235">
        <v>1234</v>
      </c>
      <c r="B1235">
        <v>18925</v>
      </c>
      <c r="C1235" t="s">
        <v>18</v>
      </c>
      <c r="D1235">
        <v>158869.43</v>
      </c>
      <c r="E1235" t="s">
        <v>16</v>
      </c>
      <c r="F1235">
        <v>36</v>
      </c>
      <c r="G1235" t="s">
        <v>21</v>
      </c>
      <c r="H1235" s="1">
        <v>45344</v>
      </c>
      <c r="I1235" s="1">
        <v>45380</v>
      </c>
      <c r="J1235" t="str">
        <f t="shared" si="19"/>
        <v>Feb-2024</v>
      </c>
    </row>
    <row r="1236" spans="1:10">
      <c r="A1236">
        <v>1235</v>
      </c>
      <c r="B1236">
        <v>10851</v>
      </c>
      <c r="C1236" t="s">
        <v>23</v>
      </c>
      <c r="D1236">
        <v>146181.71</v>
      </c>
      <c r="E1236" t="s">
        <v>16</v>
      </c>
      <c r="F1236">
        <v>7</v>
      </c>
      <c r="G1236" t="s">
        <v>25</v>
      </c>
      <c r="H1236" s="1">
        <v>45647</v>
      </c>
      <c r="I1236" s="1">
        <v>45654</v>
      </c>
      <c r="J1236" t="str">
        <f t="shared" si="19"/>
        <v>Dec-2024</v>
      </c>
    </row>
    <row r="1237" spans="1:10">
      <c r="A1237">
        <v>1236</v>
      </c>
      <c r="B1237">
        <v>10859</v>
      </c>
      <c r="C1237" t="s">
        <v>23</v>
      </c>
      <c r="D1237">
        <v>41262.83</v>
      </c>
      <c r="E1237" t="s">
        <v>24</v>
      </c>
      <c r="G1237" t="s">
        <v>20</v>
      </c>
      <c r="H1237" s="1">
        <v>45464</v>
      </c>
      <c r="J1237" t="str">
        <f t="shared" si="19"/>
        <v>Jun-2024</v>
      </c>
    </row>
    <row r="1238" spans="1:10">
      <c r="A1238">
        <v>1237</v>
      </c>
      <c r="B1238">
        <v>11350</v>
      </c>
      <c r="C1238" t="s">
        <v>18</v>
      </c>
      <c r="D1238">
        <v>182357.48</v>
      </c>
      <c r="E1238" t="s">
        <v>16</v>
      </c>
      <c r="F1238">
        <v>31</v>
      </c>
      <c r="G1238" t="s">
        <v>21</v>
      </c>
      <c r="H1238" s="1">
        <v>45470</v>
      </c>
      <c r="I1238" s="1">
        <v>45501</v>
      </c>
      <c r="J1238" t="str">
        <f t="shared" si="19"/>
        <v>Jun-2024</v>
      </c>
    </row>
    <row r="1239" spans="1:10">
      <c r="A1239">
        <v>1238</v>
      </c>
      <c r="B1239">
        <v>14918</v>
      </c>
      <c r="C1239" t="s">
        <v>18</v>
      </c>
      <c r="D1239">
        <v>166434.72</v>
      </c>
      <c r="E1239" t="s">
        <v>16</v>
      </c>
      <c r="F1239">
        <v>39</v>
      </c>
      <c r="G1239" t="s">
        <v>20</v>
      </c>
      <c r="H1239" s="1">
        <v>45584</v>
      </c>
      <c r="I1239" s="1">
        <v>45623</v>
      </c>
      <c r="J1239" t="str">
        <f t="shared" si="19"/>
        <v>Oct-2024</v>
      </c>
    </row>
    <row r="1240" spans="1:10">
      <c r="A1240">
        <v>1239</v>
      </c>
      <c r="B1240">
        <v>15730</v>
      </c>
      <c r="C1240" t="s">
        <v>18</v>
      </c>
      <c r="D1240">
        <v>36910.160000000003</v>
      </c>
      <c r="E1240" t="s">
        <v>16</v>
      </c>
      <c r="F1240">
        <v>17</v>
      </c>
      <c r="G1240" t="s">
        <v>21</v>
      </c>
      <c r="H1240" s="1">
        <v>45350</v>
      </c>
      <c r="I1240" s="1">
        <v>45367</v>
      </c>
      <c r="J1240" t="str">
        <f t="shared" si="19"/>
        <v>Feb-2024</v>
      </c>
    </row>
    <row r="1241" spans="1:10">
      <c r="A1241">
        <v>1240</v>
      </c>
      <c r="B1241">
        <v>10326</v>
      </c>
      <c r="C1241" t="s">
        <v>18</v>
      </c>
      <c r="D1241">
        <v>174878.21</v>
      </c>
      <c r="E1241" t="s">
        <v>16</v>
      </c>
      <c r="F1241">
        <v>2</v>
      </c>
      <c r="G1241" t="s">
        <v>17</v>
      </c>
      <c r="H1241" s="1">
        <v>45345</v>
      </c>
      <c r="I1241" s="1">
        <v>45347</v>
      </c>
      <c r="J1241" t="str">
        <f t="shared" si="19"/>
        <v>Feb-2024</v>
      </c>
    </row>
    <row r="1242" spans="1:10">
      <c r="A1242">
        <v>1241</v>
      </c>
      <c r="B1242">
        <v>12120</v>
      </c>
      <c r="C1242" t="s">
        <v>22</v>
      </c>
      <c r="D1242">
        <v>58088.27</v>
      </c>
      <c r="E1242" t="s">
        <v>16</v>
      </c>
      <c r="F1242">
        <v>43</v>
      </c>
      <c r="G1242" t="s">
        <v>21</v>
      </c>
      <c r="H1242" s="1">
        <v>45548</v>
      </c>
      <c r="I1242" s="1">
        <v>45591</v>
      </c>
      <c r="J1242" t="str">
        <f t="shared" si="19"/>
        <v>Sep-2024</v>
      </c>
    </row>
    <row r="1243" spans="1:10">
      <c r="A1243">
        <v>1242</v>
      </c>
      <c r="B1243">
        <v>10993</v>
      </c>
      <c r="C1243" t="s">
        <v>15</v>
      </c>
      <c r="D1243">
        <v>20769.599999999999</v>
      </c>
      <c r="E1243" t="s">
        <v>16</v>
      </c>
      <c r="F1243">
        <v>19</v>
      </c>
      <c r="G1243" t="s">
        <v>20</v>
      </c>
      <c r="H1243" s="1">
        <v>45536</v>
      </c>
      <c r="I1243" s="1">
        <v>45555</v>
      </c>
      <c r="J1243" t="str">
        <f t="shared" si="19"/>
        <v>Sep-2024</v>
      </c>
    </row>
    <row r="1244" spans="1:10">
      <c r="A1244">
        <v>1243</v>
      </c>
      <c r="B1244">
        <v>15375</v>
      </c>
      <c r="C1244" t="s">
        <v>18</v>
      </c>
      <c r="D1244">
        <v>133080.35</v>
      </c>
      <c r="E1244" t="s">
        <v>16</v>
      </c>
      <c r="F1244">
        <v>23</v>
      </c>
      <c r="G1244" t="s">
        <v>17</v>
      </c>
      <c r="H1244" s="1">
        <v>45440</v>
      </c>
      <c r="I1244" s="1">
        <v>45463</v>
      </c>
      <c r="J1244" t="str">
        <f t="shared" si="19"/>
        <v>May-2024</v>
      </c>
    </row>
    <row r="1245" spans="1:10">
      <c r="A1245">
        <v>1244</v>
      </c>
      <c r="B1245">
        <v>11766</v>
      </c>
      <c r="C1245" t="s">
        <v>23</v>
      </c>
      <c r="D1245">
        <v>132491.91</v>
      </c>
      <c r="E1245" t="s">
        <v>16</v>
      </c>
      <c r="F1245">
        <v>27</v>
      </c>
      <c r="G1245" t="s">
        <v>17</v>
      </c>
      <c r="H1245" s="1">
        <v>45575</v>
      </c>
      <c r="I1245" s="1">
        <v>45602</v>
      </c>
      <c r="J1245" t="str">
        <f t="shared" si="19"/>
        <v>Oct-2024</v>
      </c>
    </row>
    <row r="1246" spans="1:10">
      <c r="A1246">
        <v>1245</v>
      </c>
      <c r="B1246">
        <v>19372</v>
      </c>
      <c r="C1246" t="s">
        <v>23</v>
      </c>
      <c r="D1246">
        <v>23511.74</v>
      </c>
      <c r="E1246" t="s">
        <v>16</v>
      </c>
      <c r="F1246">
        <v>15</v>
      </c>
      <c r="G1246" t="s">
        <v>17</v>
      </c>
      <c r="H1246" s="1">
        <v>45307</v>
      </c>
      <c r="I1246" s="1">
        <v>45322</v>
      </c>
      <c r="J1246" t="str">
        <f t="shared" si="19"/>
        <v>Jan-2024</v>
      </c>
    </row>
    <row r="1247" spans="1:10">
      <c r="A1247">
        <v>1246</v>
      </c>
      <c r="B1247">
        <v>11964</v>
      </c>
      <c r="C1247" t="s">
        <v>23</v>
      </c>
      <c r="D1247">
        <v>67176.100000000006</v>
      </c>
      <c r="E1247" t="s">
        <v>16</v>
      </c>
      <c r="F1247">
        <v>38</v>
      </c>
      <c r="G1247" t="s">
        <v>20</v>
      </c>
      <c r="H1247" s="1">
        <v>45467</v>
      </c>
      <c r="I1247" s="1">
        <v>45505</v>
      </c>
      <c r="J1247" t="str">
        <f t="shared" si="19"/>
        <v>Jun-2024</v>
      </c>
    </row>
    <row r="1248" spans="1:10">
      <c r="A1248">
        <v>1247</v>
      </c>
      <c r="B1248">
        <v>16601</v>
      </c>
      <c r="C1248" t="s">
        <v>18</v>
      </c>
      <c r="D1248">
        <v>198598.82</v>
      </c>
      <c r="E1248" t="s">
        <v>16</v>
      </c>
      <c r="F1248">
        <v>15</v>
      </c>
      <c r="G1248" t="s">
        <v>25</v>
      </c>
      <c r="H1248" s="1">
        <v>45319</v>
      </c>
      <c r="I1248" s="1">
        <v>45334</v>
      </c>
      <c r="J1248" t="str">
        <f t="shared" si="19"/>
        <v>Jan-2024</v>
      </c>
    </row>
    <row r="1249" spans="1:10">
      <c r="A1249">
        <v>1248</v>
      </c>
      <c r="B1249">
        <v>12781</v>
      </c>
      <c r="C1249" t="s">
        <v>23</v>
      </c>
      <c r="D1249">
        <v>137293.20000000001</v>
      </c>
      <c r="E1249" t="s">
        <v>16</v>
      </c>
      <c r="F1249">
        <v>27</v>
      </c>
      <c r="G1249" t="s">
        <v>25</v>
      </c>
      <c r="H1249" s="1">
        <v>45420</v>
      </c>
      <c r="I1249" s="1">
        <v>45447</v>
      </c>
      <c r="J1249" t="str">
        <f t="shared" si="19"/>
        <v>May-2024</v>
      </c>
    </row>
    <row r="1250" spans="1:10">
      <c r="A1250">
        <v>1249</v>
      </c>
      <c r="B1250">
        <v>17019</v>
      </c>
      <c r="C1250" t="s">
        <v>23</v>
      </c>
      <c r="D1250">
        <v>147364.66</v>
      </c>
      <c r="E1250" t="s">
        <v>16</v>
      </c>
      <c r="F1250">
        <v>37</v>
      </c>
      <c r="G1250" t="s">
        <v>25</v>
      </c>
      <c r="H1250" s="1">
        <v>45514</v>
      </c>
      <c r="I1250" s="1">
        <v>45551</v>
      </c>
      <c r="J1250" t="str">
        <f t="shared" si="19"/>
        <v>Aug-2024</v>
      </c>
    </row>
    <row r="1251" spans="1:10">
      <c r="A1251">
        <v>1250</v>
      </c>
      <c r="B1251">
        <v>12905</v>
      </c>
      <c r="C1251" t="s">
        <v>15</v>
      </c>
      <c r="D1251">
        <v>46518.87</v>
      </c>
      <c r="E1251" t="s">
        <v>16</v>
      </c>
      <c r="F1251">
        <v>24</v>
      </c>
      <c r="G1251" t="s">
        <v>20</v>
      </c>
      <c r="H1251" s="1">
        <v>45535</v>
      </c>
      <c r="I1251" s="1">
        <v>45559</v>
      </c>
      <c r="J1251" t="str">
        <f t="shared" si="19"/>
        <v>Aug-2024</v>
      </c>
    </row>
    <row r="1252" spans="1:10">
      <c r="A1252">
        <v>1251</v>
      </c>
      <c r="B1252">
        <v>18290</v>
      </c>
      <c r="C1252" t="s">
        <v>15</v>
      </c>
      <c r="D1252">
        <v>20362.5</v>
      </c>
      <c r="E1252" t="s">
        <v>16</v>
      </c>
      <c r="F1252">
        <v>3</v>
      </c>
      <c r="G1252" t="s">
        <v>17</v>
      </c>
      <c r="H1252" s="1">
        <v>45645</v>
      </c>
      <c r="I1252" s="1">
        <v>45648</v>
      </c>
      <c r="J1252" t="str">
        <f t="shared" si="19"/>
        <v>Dec-2024</v>
      </c>
    </row>
    <row r="1253" spans="1:10">
      <c r="A1253">
        <v>1252</v>
      </c>
      <c r="B1253">
        <v>10243</v>
      </c>
      <c r="C1253" t="s">
        <v>22</v>
      </c>
      <c r="D1253">
        <v>58995.83</v>
      </c>
      <c r="E1253" t="s">
        <v>16</v>
      </c>
      <c r="F1253">
        <v>40</v>
      </c>
      <c r="G1253" t="s">
        <v>25</v>
      </c>
      <c r="H1253" s="1">
        <v>45529</v>
      </c>
      <c r="I1253" s="1">
        <v>45569</v>
      </c>
      <c r="J1253" t="str">
        <f t="shared" si="19"/>
        <v>Aug-2024</v>
      </c>
    </row>
    <row r="1254" spans="1:10">
      <c r="A1254">
        <v>1253</v>
      </c>
      <c r="B1254">
        <v>14037</v>
      </c>
      <c r="C1254" t="s">
        <v>23</v>
      </c>
      <c r="D1254">
        <v>53535.19</v>
      </c>
      <c r="E1254" t="s">
        <v>16</v>
      </c>
      <c r="F1254">
        <v>8</v>
      </c>
      <c r="G1254" t="s">
        <v>20</v>
      </c>
      <c r="H1254" s="1">
        <v>45523</v>
      </c>
      <c r="I1254" s="1">
        <v>45531</v>
      </c>
      <c r="J1254" t="str">
        <f t="shared" si="19"/>
        <v>Aug-2024</v>
      </c>
    </row>
    <row r="1255" spans="1:10">
      <c r="A1255">
        <v>1254</v>
      </c>
      <c r="B1255">
        <v>17938</v>
      </c>
      <c r="C1255" t="s">
        <v>18</v>
      </c>
      <c r="D1255">
        <v>50736.1</v>
      </c>
      <c r="E1255" t="s">
        <v>16</v>
      </c>
      <c r="F1255">
        <v>40</v>
      </c>
      <c r="G1255" t="s">
        <v>25</v>
      </c>
      <c r="H1255" s="1">
        <v>45617</v>
      </c>
      <c r="I1255" s="1">
        <v>45657</v>
      </c>
      <c r="J1255" t="str">
        <f t="shared" si="19"/>
        <v>Nov-2024</v>
      </c>
    </row>
    <row r="1256" spans="1:10">
      <c r="A1256">
        <v>1255</v>
      </c>
      <c r="B1256">
        <v>19692</v>
      </c>
      <c r="C1256" t="s">
        <v>23</v>
      </c>
      <c r="D1256">
        <v>42587.09</v>
      </c>
      <c r="E1256" t="s">
        <v>24</v>
      </c>
      <c r="G1256" t="s">
        <v>21</v>
      </c>
      <c r="H1256" s="1">
        <v>45383</v>
      </c>
      <c r="J1256" t="str">
        <f t="shared" si="19"/>
        <v>Apr-2024</v>
      </c>
    </row>
    <row r="1257" spans="1:10">
      <c r="A1257">
        <v>1256</v>
      </c>
      <c r="B1257">
        <v>15494</v>
      </c>
      <c r="C1257" t="s">
        <v>23</v>
      </c>
      <c r="D1257">
        <v>117077.36</v>
      </c>
      <c r="E1257" t="s">
        <v>19</v>
      </c>
      <c r="F1257">
        <v>29</v>
      </c>
      <c r="G1257" t="s">
        <v>25</v>
      </c>
      <c r="H1257" s="1">
        <v>45294</v>
      </c>
      <c r="I1257" s="1">
        <v>45323</v>
      </c>
      <c r="J1257" t="str">
        <f t="shared" si="19"/>
        <v>Jan-2024</v>
      </c>
    </row>
    <row r="1258" spans="1:10">
      <c r="A1258">
        <v>1257</v>
      </c>
      <c r="B1258">
        <v>12709</v>
      </c>
      <c r="C1258" t="s">
        <v>23</v>
      </c>
      <c r="D1258">
        <v>68980.179999999993</v>
      </c>
      <c r="E1258" t="s">
        <v>16</v>
      </c>
      <c r="F1258">
        <v>39</v>
      </c>
      <c r="G1258" t="s">
        <v>25</v>
      </c>
      <c r="H1258" s="1">
        <v>45372</v>
      </c>
      <c r="I1258" s="1">
        <v>45411</v>
      </c>
      <c r="J1258" t="str">
        <f t="shared" si="19"/>
        <v>Mar-2024</v>
      </c>
    </row>
    <row r="1259" spans="1:10">
      <c r="A1259">
        <v>1258</v>
      </c>
      <c r="B1259">
        <v>17701</v>
      </c>
      <c r="C1259" t="s">
        <v>23</v>
      </c>
      <c r="D1259">
        <v>164967.28</v>
      </c>
      <c r="E1259" t="s">
        <v>16</v>
      </c>
      <c r="F1259">
        <v>21</v>
      </c>
      <c r="G1259" t="s">
        <v>17</v>
      </c>
      <c r="H1259" s="1">
        <v>45335</v>
      </c>
      <c r="I1259" s="1">
        <v>45356</v>
      </c>
      <c r="J1259" t="str">
        <f t="shared" si="19"/>
        <v>Feb-2024</v>
      </c>
    </row>
    <row r="1260" spans="1:10">
      <c r="A1260">
        <v>1259</v>
      </c>
      <c r="B1260">
        <v>17795</v>
      </c>
      <c r="C1260" t="s">
        <v>23</v>
      </c>
      <c r="D1260">
        <v>40869.75</v>
      </c>
      <c r="E1260" t="s">
        <v>16</v>
      </c>
      <c r="F1260">
        <v>19</v>
      </c>
      <c r="G1260" t="s">
        <v>20</v>
      </c>
      <c r="H1260" s="1">
        <v>45446</v>
      </c>
      <c r="I1260" s="1">
        <v>45465</v>
      </c>
      <c r="J1260" t="str">
        <f t="shared" si="19"/>
        <v>Jun-2024</v>
      </c>
    </row>
    <row r="1261" spans="1:10">
      <c r="A1261">
        <v>1260</v>
      </c>
      <c r="B1261">
        <v>17088</v>
      </c>
      <c r="C1261" t="s">
        <v>15</v>
      </c>
      <c r="D1261">
        <v>95602.28</v>
      </c>
      <c r="E1261" t="s">
        <v>16</v>
      </c>
      <c r="F1261">
        <v>25</v>
      </c>
      <c r="G1261" t="s">
        <v>17</v>
      </c>
      <c r="H1261" s="1">
        <v>45315</v>
      </c>
      <c r="I1261" s="1">
        <v>45340</v>
      </c>
      <c r="J1261" t="str">
        <f t="shared" si="19"/>
        <v>Jan-2024</v>
      </c>
    </row>
    <row r="1262" spans="1:10">
      <c r="A1262">
        <v>1261</v>
      </c>
      <c r="B1262">
        <v>11047</v>
      </c>
      <c r="C1262" t="s">
        <v>23</v>
      </c>
      <c r="D1262">
        <v>7663.28</v>
      </c>
      <c r="E1262" t="s">
        <v>16</v>
      </c>
      <c r="F1262">
        <v>34</v>
      </c>
      <c r="G1262" t="s">
        <v>17</v>
      </c>
      <c r="H1262" s="1">
        <v>45390</v>
      </c>
      <c r="I1262" s="1">
        <v>45424</v>
      </c>
      <c r="J1262" t="str">
        <f t="shared" si="19"/>
        <v>Apr-2024</v>
      </c>
    </row>
    <row r="1263" spans="1:10">
      <c r="A1263">
        <v>1262</v>
      </c>
      <c r="B1263">
        <v>14378</v>
      </c>
      <c r="C1263" t="s">
        <v>18</v>
      </c>
      <c r="D1263">
        <v>98928.05</v>
      </c>
      <c r="E1263" t="s">
        <v>16</v>
      </c>
      <c r="F1263">
        <v>27</v>
      </c>
      <c r="G1263" t="s">
        <v>17</v>
      </c>
      <c r="H1263" s="1">
        <v>45462</v>
      </c>
      <c r="I1263" s="1">
        <v>45489</v>
      </c>
      <c r="J1263" t="str">
        <f t="shared" si="19"/>
        <v>Jun-2024</v>
      </c>
    </row>
    <row r="1264" spans="1:10">
      <c r="A1264">
        <v>1263</v>
      </c>
      <c r="B1264">
        <v>19507</v>
      </c>
      <c r="C1264" t="s">
        <v>18</v>
      </c>
      <c r="D1264">
        <v>15888.45</v>
      </c>
      <c r="E1264" t="s">
        <v>16</v>
      </c>
      <c r="F1264">
        <v>20</v>
      </c>
      <c r="G1264" t="s">
        <v>17</v>
      </c>
      <c r="H1264" s="1">
        <v>45439</v>
      </c>
      <c r="I1264" s="1">
        <v>45459</v>
      </c>
      <c r="J1264" t="str">
        <f t="shared" si="19"/>
        <v>May-2024</v>
      </c>
    </row>
    <row r="1265" spans="1:10">
      <c r="A1265">
        <v>1264</v>
      </c>
      <c r="B1265">
        <v>19578</v>
      </c>
      <c r="C1265" t="s">
        <v>23</v>
      </c>
      <c r="D1265">
        <v>195656.08</v>
      </c>
      <c r="E1265" t="s">
        <v>19</v>
      </c>
      <c r="F1265">
        <v>43</v>
      </c>
      <c r="G1265" t="s">
        <v>17</v>
      </c>
      <c r="H1265" s="1">
        <v>45414</v>
      </c>
      <c r="I1265" s="1">
        <v>45457</v>
      </c>
      <c r="J1265" t="str">
        <f t="shared" si="19"/>
        <v>May-2024</v>
      </c>
    </row>
    <row r="1266" spans="1:10">
      <c r="A1266">
        <v>1265</v>
      </c>
      <c r="B1266">
        <v>16544</v>
      </c>
      <c r="C1266" t="s">
        <v>23</v>
      </c>
      <c r="D1266">
        <v>159165.47</v>
      </c>
      <c r="E1266" t="s">
        <v>16</v>
      </c>
      <c r="F1266">
        <v>14</v>
      </c>
      <c r="G1266" t="s">
        <v>25</v>
      </c>
      <c r="H1266" s="1">
        <v>45403</v>
      </c>
      <c r="I1266" s="1">
        <v>45417</v>
      </c>
      <c r="J1266" t="str">
        <f t="shared" si="19"/>
        <v>Apr-2024</v>
      </c>
    </row>
    <row r="1267" spans="1:10">
      <c r="A1267">
        <v>1266</v>
      </c>
      <c r="B1267">
        <v>16711</v>
      </c>
      <c r="C1267" t="s">
        <v>23</v>
      </c>
      <c r="D1267">
        <v>100571.74</v>
      </c>
      <c r="E1267" t="s">
        <v>19</v>
      </c>
      <c r="F1267">
        <v>11</v>
      </c>
      <c r="G1267" t="s">
        <v>17</v>
      </c>
      <c r="H1267" s="1">
        <v>45421</v>
      </c>
      <c r="I1267" s="1">
        <v>45432</v>
      </c>
      <c r="J1267" t="str">
        <f t="shared" si="19"/>
        <v>May-2024</v>
      </c>
    </row>
    <row r="1268" spans="1:10">
      <c r="A1268">
        <v>1267</v>
      </c>
      <c r="B1268">
        <v>17221</v>
      </c>
      <c r="C1268" t="s">
        <v>18</v>
      </c>
      <c r="D1268">
        <v>21884.53</v>
      </c>
      <c r="E1268" t="s">
        <v>19</v>
      </c>
      <c r="F1268">
        <v>15</v>
      </c>
      <c r="G1268" t="s">
        <v>17</v>
      </c>
      <c r="H1268" s="1">
        <v>45359</v>
      </c>
      <c r="I1268" s="1">
        <v>45374</v>
      </c>
      <c r="J1268" t="str">
        <f t="shared" si="19"/>
        <v>Mar-2024</v>
      </c>
    </row>
    <row r="1269" spans="1:10">
      <c r="A1269">
        <v>1268</v>
      </c>
      <c r="B1269">
        <v>19929</v>
      </c>
      <c r="C1269" t="s">
        <v>23</v>
      </c>
      <c r="D1269">
        <v>120526.86</v>
      </c>
      <c r="E1269" t="s">
        <v>16</v>
      </c>
      <c r="F1269">
        <v>10</v>
      </c>
      <c r="G1269" t="s">
        <v>20</v>
      </c>
      <c r="H1269" s="1">
        <v>45638</v>
      </c>
      <c r="I1269" s="1">
        <v>45648</v>
      </c>
      <c r="J1269" t="str">
        <f t="shared" si="19"/>
        <v>Dec-2024</v>
      </c>
    </row>
    <row r="1270" spans="1:10">
      <c r="A1270">
        <v>1269</v>
      </c>
      <c r="B1270">
        <v>18613</v>
      </c>
      <c r="C1270" t="s">
        <v>23</v>
      </c>
      <c r="D1270">
        <v>152958.93</v>
      </c>
      <c r="E1270" t="s">
        <v>16</v>
      </c>
      <c r="F1270">
        <v>12</v>
      </c>
      <c r="G1270" t="s">
        <v>21</v>
      </c>
      <c r="H1270" s="1">
        <v>45607</v>
      </c>
      <c r="I1270" s="1">
        <v>45619</v>
      </c>
      <c r="J1270" t="str">
        <f t="shared" si="19"/>
        <v>Nov-2024</v>
      </c>
    </row>
    <row r="1271" spans="1:10">
      <c r="A1271">
        <v>1270</v>
      </c>
      <c r="B1271">
        <v>16992</v>
      </c>
      <c r="C1271" t="s">
        <v>23</v>
      </c>
      <c r="D1271">
        <v>42189.86</v>
      </c>
      <c r="E1271" t="s">
        <v>16</v>
      </c>
      <c r="F1271">
        <v>4</v>
      </c>
      <c r="G1271" t="s">
        <v>25</v>
      </c>
      <c r="H1271" s="1">
        <v>45508</v>
      </c>
      <c r="I1271" s="1">
        <v>45512</v>
      </c>
      <c r="J1271" t="str">
        <f t="shared" si="19"/>
        <v>Aug-2024</v>
      </c>
    </row>
    <row r="1272" spans="1:10">
      <c r="A1272">
        <v>1271</v>
      </c>
      <c r="B1272">
        <v>18062</v>
      </c>
      <c r="C1272" t="s">
        <v>18</v>
      </c>
      <c r="D1272">
        <v>115800.63</v>
      </c>
      <c r="E1272" t="s">
        <v>16</v>
      </c>
      <c r="F1272">
        <v>41</v>
      </c>
      <c r="G1272" t="s">
        <v>25</v>
      </c>
      <c r="H1272" s="1">
        <v>45387</v>
      </c>
      <c r="I1272" s="1">
        <v>45428</v>
      </c>
      <c r="J1272" t="str">
        <f t="shared" si="19"/>
        <v>Apr-2024</v>
      </c>
    </row>
    <row r="1273" spans="1:10">
      <c r="A1273">
        <v>1272</v>
      </c>
      <c r="B1273">
        <v>13801</v>
      </c>
      <c r="C1273" t="s">
        <v>22</v>
      </c>
      <c r="D1273">
        <v>163771.13</v>
      </c>
      <c r="E1273" t="s">
        <v>16</v>
      </c>
      <c r="F1273">
        <v>13</v>
      </c>
      <c r="G1273" t="s">
        <v>25</v>
      </c>
      <c r="H1273" s="1">
        <v>45436</v>
      </c>
      <c r="I1273" s="1">
        <v>45449</v>
      </c>
      <c r="J1273" t="str">
        <f t="shared" si="19"/>
        <v>May-2024</v>
      </c>
    </row>
    <row r="1274" spans="1:10">
      <c r="A1274">
        <v>1273</v>
      </c>
      <c r="B1274">
        <v>15362</v>
      </c>
      <c r="C1274" t="s">
        <v>23</v>
      </c>
      <c r="D1274">
        <v>154808.32000000001</v>
      </c>
      <c r="E1274" t="s">
        <v>16</v>
      </c>
      <c r="F1274">
        <v>36</v>
      </c>
      <c r="G1274" t="s">
        <v>17</v>
      </c>
      <c r="H1274" s="1">
        <v>45324</v>
      </c>
      <c r="I1274" s="1">
        <v>45360</v>
      </c>
      <c r="J1274" t="str">
        <f t="shared" si="19"/>
        <v>Feb-2024</v>
      </c>
    </row>
    <row r="1275" spans="1:10">
      <c r="A1275">
        <v>1274</v>
      </c>
      <c r="B1275">
        <v>15473</v>
      </c>
      <c r="C1275" t="s">
        <v>18</v>
      </c>
      <c r="D1275">
        <v>161583.44</v>
      </c>
      <c r="E1275" t="s">
        <v>16</v>
      </c>
      <c r="F1275">
        <v>40</v>
      </c>
      <c r="G1275" t="s">
        <v>17</v>
      </c>
      <c r="H1275" s="1">
        <v>45577</v>
      </c>
      <c r="I1275" s="1">
        <v>45617</v>
      </c>
      <c r="J1275" t="str">
        <f t="shared" si="19"/>
        <v>Oct-2024</v>
      </c>
    </row>
    <row r="1276" spans="1:10">
      <c r="A1276">
        <v>1275</v>
      </c>
      <c r="B1276">
        <v>19603</v>
      </c>
      <c r="C1276" t="s">
        <v>18</v>
      </c>
      <c r="D1276">
        <v>176468.07</v>
      </c>
      <c r="E1276" t="s">
        <v>24</v>
      </c>
      <c r="G1276" t="s">
        <v>17</v>
      </c>
      <c r="H1276" s="1">
        <v>45296</v>
      </c>
      <c r="J1276" t="str">
        <f t="shared" si="19"/>
        <v>Jan-2024</v>
      </c>
    </row>
    <row r="1277" spans="1:10">
      <c r="A1277">
        <v>1276</v>
      </c>
      <c r="B1277">
        <v>14570</v>
      </c>
      <c r="C1277" t="s">
        <v>22</v>
      </c>
      <c r="D1277">
        <v>187848.01</v>
      </c>
      <c r="E1277" t="s">
        <v>16</v>
      </c>
      <c r="F1277">
        <v>33</v>
      </c>
      <c r="G1277" t="s">
        <v>20</v>
      </c>
      <c r="H1277" s="1">
        <v>45409</v>
      </c>
      <c r="I1277" s="1">
        <v>45442</v>
      </c>
      <c r="J1277" t="str">
        <f t="shared" si="19"/>
        <v>Apr-2024</v>
      </c>
    </row>
    <row r="1278" spans="1:10">
      <c r="A1278">
        <v>1277</v>
      </c>
      <c r="B1278">
        <v>12452</v>
      </c>
      <c r="C1278" t="s">
        <v>15</v>
      </c>
      <c r="D1278">
        <v>84076.63</v>
      </c>
      <c r="E1278" t="s">
        <v>24</v>
      </c>
      <c r="G1278" t="s">
        <v>21</v>
      </c>
      <c r="H1278" s="1">
        <v>45431</v>
      </c>
      <c r="J1278" t="str">
        <f t="shared" si="19"/>
        <v>May-2024</v>
      </c>
    </row>
    <row r="1279" spans="1:10">
      <c r="A1279">
        <v>1278</v>
      </c>
      <c r="B1279">
        <v>12083</v>
      </c>
      <c r="C1279" t="s">
        <v>18</v>
      </c>
      <c r="D1279">
        <v>115909.97</v>
      </c>
      <c r="E1279" t="s">
        <v>16</v>
      </c>
      <c r="F1279">
        <v>15</v>
      </c>
      <c r="G1279" t="s">
        <v>17</v>
      </c>
      <c r="H1279" s="1">
        <v>45521</v>
      </c>
      <c r="I1279" s="1">
        <v>45536</v>
      </c>
      <c r="J1279" t="str">
        <f t="shared" si="19"/>
        <v>Aug-2024</v>
      </c>
    </row>
    <row r="1280" spans="1:10">
      <c r="A1280">
        <v>1279</v>
      </c>
      <c r="B1280">
        <v>19542</v>
      </c>
      <c r="C1280" t="s">
        <v>18</v>
      </c>
      <c r="D1280">
        <v>159178.60999999999</v>
      </c>
      <c r="E1280" t="s">
        <v>19</v>
      </c>
      <c r="F1280">
        <v>2</v>
      </c>
      <c r="G1280" t="s">
        <v>21</v>
      </c>
      <c r="H1280" s="1">
        <v>45451</v>
      </c>
      <c r="I1280" s="1">
        <v>45453</v>
      </c>
      <c r="J1280" t="str">
        <f t="shared" si="19"/>
        <v>Jun-2024</v>
      </c>
    </row>
    <row r="1281" spans="1:10">
      <c r="A1281">
        <v>1280</v>
      </c>
      <c r="B1281">
        <v>15163</v>
      </c>
      <c r="C1281" t="s">
        <v>15</v>
      </c>
      <c r="D1281">
        <v>140942.26</v>
      </c>
      <c r="E1281" t="s">
        <v>16</v>
      </c>
      <c r="F1281">
        <v>28</v>
      </c>
      <c r="G1281" t="s">
        <v>20</v>
      </c>
      <c r="H1281" s="1">
        <v>45585</v>
      </c>
      <c r="I1281" s="1">
        <v>45613</v>
      </c>
      <c r="J1281" t="str">
        <f t="shared" si="19"/>
        <v>Oct-2024</v>
      </c>
    </row>
    <row r="1282" spans="1:10">
      <c r="A1282">
        <v>1281</v>
      </c>
      <c r="B1282">
        <v>14833</v>
      </c>
      <c r="C1282" t="s">
        <v>23</v>
      </c>
      <c r="D1282">
        <v>199126.44</v>
      </c>
      <c r="E1282" t="s">
        <v>16</v>
      </c>
      <c r="F1282">
        <v>38</v>
      </c>
      <c r="G1282" t="s">
        <v>25</v>
      </c>
      <c r="H1282" s="1">
        <v>45540</v>
      </c>
      <c r="I1282" s="1">
        <v>45578</v>
      </c>
      <c r="J1282" t="str">
        <f t="shared" si="19"/>
        <v>Sep-2024</v>
      </c>
    </row>
    <row r="1283" spans="1:10">
      <c r="A1283">
        <v>1282</v>
      </c>
      <c r="B1283">
        <v>16801</v>
      </c>
      <c r="C1283" t="s">
        <v>23</v>
      </c>
      <c r="D1283">
        <v>7667.14</v>
      </c>
      <c r="E1283" t="s">
        <v>19</v>
      </c>
      <c r="F1283">
        <v>44</v>
      </c>
      <c r="G1283" t="s">
        <v>17</v>
      </c>
      <c r="H1283" s="1">
        <v>45564</v>
      </c>
      <c r="I1283" s="1">
        <v>45608</v>
      </c>
      <c r="J1283" t="str">
        <f t="shared" ref="J1283:J1346" si="20">TEXT(H1283,"mmm-yyyy")</f>
        <v>Sep-2024</v>
      </c>
    </row>
    <row r="1284" spans="1:10">
      <c r="A1284">
        <v>1283</v>
      </c>
      <c r="B1284">
        <v>13340</v>
      </c>
      <c r="C1284" t="s">
        <v>23</v>
      </c>
      <c r="D1284">
        <v>74250.98</v>
      </c>
      <c r="E1284" t="s">
        <v>16</v>
      </c>
      <c r="F1284">
        <v>2</v>
      </c>
      <c r="G1284" t="s">
        <v>21</v>
      </c>
      <c r="H1284" s="1">
        <v>45477</v>
      </c>
      <c r="I1284" s="1">
        <v>45479</v>
      </c>
      <c r="J1284" t="str">
        <f t="shared" si="20"/>
        <v>Jul-2024</v>
      </c>
    </row>
    <row r="1285" spans="1:10">
      <c r="A1285">
        <v>1284</v>
      </c>
      <c r="B1285">
        <v>13844</v>
      </c>
      <c r="C1285" t="s">
        <v>15</v>
      </c>
      <c r="D1285">
        <v>59800.45</v>
      </c>
      <c r="E1285" t="s">
        <v>16</v>
      </c>
      <c r="F1285">
        <v>30</v>
      </c>
      <c r="G1285" t="s">
        <v>21</v>
      </c>
      <c r="H1285" s="1">
        <v>45656</v>
      </c>
      <c r="I1285" s="1">
        <v>45686</v>
      </c>
      <c r="J1285" t="str">
        <f t="shared" si="20"/>
        <v>Dec-2024</v>
      </c>
    </row>
    <row r="1286" spans="1:10">
      <c r="A1286">
        <v>1285</v>
      </c>
      <c r="B1286">
        <v>10639</v>
      </c>
      <c r="C1286" t="s">
        <v>15</v>
      </c>
      <c r="D1286">
        <v>56151.59</v>
      </c>
      <c r="E1286" t="s">
        <v>16</v>
      </c>
      <c r="F1286">
        <v>25</v>
      </c>
      <c r="G1286" t="s">
        <v>17</v>
      </c>
      <c r="H1286" s="1">
        <v>45331</v>
      </c>
      <c r="I1286" s="1">
        <v>45356</v>
      </c>
      <c r="J1286" t="str">
        <f t="shared" si="20"/>
        <v>Feb-2024</v>
      </c>
    </row>
    <row r="1287" spans="1:10">
      <c r="A1287">
        <v>1286</v>
      </c>
      <c r="B1287">
        <v>19766</v>
      </c>
      <c r="C1287" t="s">
        <v>23</v>
      </c>
      <c r="D1287">
        <v>48393.31</v>
      </c>
      <c r="E1287" t="s">
        <v>16</v>
      </c>
      <c r="F1287">
        <v>18</v>
      </c>
      <c r="G1287" t="s">
        <v>25</v>
      </c>
      <c r="H1287" s="1">
        <v>45515</v>
      </c>
      <c r="I1287" s="1">
        <v>45533</v>
      </c>
      <c r="J1287" t="str">
        <f t="shared" si="20"/>
        <v>Aug-2024</v>
      </c>
    </row>
    <row r="1288" spans="1:10">
      <c r="A1288">
        <v>1287</v>
      </c>
      <c r="B1288">
        <v>18096</v>
      </c>
      <c r="C1288" t="s">
        <v>18</v>
      </c>
      <c r="D1288">
        <v>143279.15</v>
      </c>
      <c r="E1288" t="s">
        <v>16</v>
      </c>
      <c r="F1288">
        <v>36</v>
      </c>
      <c r="G1288" t="s">
        <v>25</v>
      </c>
      <c r="H1288" s="1">
        <v>45443</v>
      </c>
      <c r="I1288" s="1">
        <v>45479</v>
      </c>
      <c r="J1288" t="str">
        <f t="shared" si="20"/>
        <v>May-2024</v>
      </c>
    </row>
    <row r="1289" spans="1:10">
      <c r="A1289">
        <v>1288</v>
      </c>
      <c r="B1289">
        <v>18151</v>
      </c>
      <c r="C1289" t="s">
        <v>23</v>
      </c>
      <c r="D1289">
        <v>21528.1</v>
      </c>
      <c r="E1289" t="s">
        <v>19</v>
      </c>
      <c r="F1289">
        <v>32</v>
      </c>
      <c r="G1289" t="s">
        <v>25</v>
      </c>
      <c r="H1289" s="1">
        <v>45431</v>
      </c>
      <c r="I1289" s="1">
        <v>45463</v>
      </c>
      <c r="J1289" t="str">
        <f t="shared" si="20"/>
        <v>May-2024</v>
      </c>
    </row>
    <row r="1290" spans="1:10">
      <c r="A1290">
        <v>1289</v>
      </c>
      <c r="B1290">
        <v>18377</v>
      </c>
      <c r="C1290" t="s">
        <v>23</v>
      </c>
      <c r="D1290">
        <v>149613.72</v>
      </c>
      <c r="E1290" t="s">
        <v>16</v>
      </c>
      <c r="F1290">
        <v>43</v>
      </c>
      <c r="G1290" t="s">
        <v>20</v>
      </c>
      <c r="H1290" s="1">
        <v>45419</v>
      </c>
      <c r="I1290" s="1">
        <v>45462</v>
      </c>
      <c r="J1290" t="str">
        <f t="shared" si="20"/>
        <v>May-2024</v>
      </c>
    </row>
    <row r="1291" spans="1:10">
      <c r="A1291">
        <v>1290</v>
      </c>
      <c r="B1291">
        <v>15400</v>
      </c>
      <c r="C1291" t="s">
        <v>22</v>
      </c>
      <c r="D1291">
        <v>140218.04</v>
      </c>
      <c r="E1291" t="s">
        <v>16</v>
      </c>
      <c r="F1291">
        <v>33</v>
      </c>
      <c r="G1291" t="s">
        <v>21</v>
      </c>
      <c r="H1291" s="1">
        <v>45642</v>
      </c>
      <c r="I1291" s="1">
        <v>45675</v>
      </c>
      <c r="J1291" t="str">
        <f t="shared" si="20"/>
        <v>Dec-2024</v>
      </c>
    </row>
    <row r="1292" spans="1:10">
      <c r="A1292">
        <v>1291</v>
      </c>
      <c r="B1292">
        <v>11318</v>
      </c>
      <c r="C1292" t="s">
        <v>23</v>
      </c>
      <c r="D1292">
        <v>53906.81</v>
      </c>
      <c r="E1292" t="s">
        <v>19</v>
      </c>
      <c r="F1292">
        <v>20</v>
      </c>
      <c r="G1292" t="s">
        <v>21</v>
      </c>
      <c r="H1292" s="1">
        <v>45438</v>
      </c>
      <c r="I1292" s="1">
        <v>45458</v>
      </c>
      <c r="J1292" t="str">
        <f t="shared" si="20"/>
        <v>May-2024</v>
      </c>
    </row>
    <row r="1293" spans="1:10">
      <c r="A1293">
        <v>1292</v>
      </c>
      <c r="B1293">
        <v>18719</v>
      </c>
      <c r="C1293" t="s">
        <v>23</v>
      </c>
      <c r="D1293">
        <v>54302.59</v>
      </c>
      <c r="E1293" t="s">
        <v>16</v>
      </c>
      <c r="F1293">
        <v>32</v>
      </c>
      <c r="G1293" t="s">
        <v>21</v>
      </c>
      <c r="H1293" s="1">
        <v>45576</v>
      </c>
      <c r="I1293" s="1">
        <v>45608</v>
      </c>
      <c r="J1293" t="str">
        <f t="shared" si="20"/>
        <v>Oct-2024</v>
      </c>
    </row>
    <row r="1294" spans="1:10">
      <c r="A1294">
        <v>1293</v>
      </c>
      <c r="B1294">
        <v>13259</v>
      </c>
      <c r="C1294" t="s">
        <v>18</v>
      </c>
      <c r="D1294">
        <v>127627.81</v>
      </c>
      <c r="E1294" t="s">
        <v>16</v>
      </c>
      <c r="F1294">
        <v>40</v>
      </c>
      <c r="G1294" t="s">
        <v>20</v>
      </c>
      <c r="H1294" s="1">
        <v>45509</v>
      </c>
      <c r="I1294" s="1">
        <v>45549</v>
      </c>
      <c r="J1294" t="str">
        <f t="shared" si="20"/>
        <v>Aug-2024</v>
      </c>
    </row>
    <row r="1295" spans="1:10">
      <c r="A1295">
        <v>1294</v>
      </c>
      <c r="B1295">
        <v>13483</v>
      </c>
      <c r="C1295" t="s">
        <v>18</v>
      </c>
      <c r="D1295">
        <v>153623.37</v>
      </c>
      <c r="E1295" t="s">
        <v>19</v>
      </c>
      <c r="F1295">
        <v>21</v>
      </c>
      <c r="G1295" t="s">
        <v>21</v>
      </c>
      <c r="H1295" s="1">
        <v>45511</v>
      </c>
      <c r="I1295" s="1">
        <v>45532</v>
      </c>
      <c r="J1295" t="str">
        <f t="shared" si="20"/>
        <v>Aug-2024</v>
      </c>
    </row>
    <row r="1296" spans="1:10">
      <c r="A1296">
        <v>1295</v>
      </c>
      <c r="B1296">
        <v>13019</v>
      </c>
      <c r="C1296" t="s">
        <v>23</v>
      </c>
      <c r="D1296">
        <v>175914.69</v>
      </c>
      <c r="E1296" t="s">
        <v>16</v>
      </c>
      <c r="F1296">
        <v>29</v>
      </c>
      <c r="G1296" t="s">
        <v>20</v>
      </c>
      <c r="H1296" s="1">
        <v>45436</v>
      </c>
      <c r="I1296" s="1">
        <v>45465</v>
      </c>
      <c r="J1296" t="str">
        <f t="shared" si="20"/>
        <v>May-2024</v>
      </c>
    </row>
    <row r="1297" spans="1:10">
      <c r="A1297">
        <v>1296</v>
      </c>
      <c r="B1297">
        <v>14779</v>
      </c>
      <c r="C1297" t="s">
        <v>18</v>
      </c>
      <c r="D1297">
        <v>171167.21</v>
      </c>
      <c r="E1297" t="s">
        <v>16</v>
      </c>
      <c r="F1297">
        <v>4</v>
      </c>
      <c r="G1297" t="s">
        <v>25</v>
      </c>
      <c r="H1297" s="1">
        <v>45620</v>
      </c>
      <c r="I1297" s="1">
        <v>45624</v>
      </c>
      <c r="J1297" t="str">
        <f t="shared" si="20"/>
        <v>Nov-2024</v>
      </c>
    </row>
    <row r="1298" spans="1:10">
      <c r="A1298">
        <v>1297</v>
      </c>
      <c r="B1298">
        <v>19759</v>
      </c>
      <c r="C1298" t="s">
        <v>18</v>
      </c>
      <c r="D1298">
        <v>193152.18</v>
      </c>
      <c r="E1298" t="s">
        <v>16</v>
      </c>
      <c r="F1298">
        <v>33</v>
      </c>
      <c r="G1298" t="s">
        <v>17</v>
      </c>
      <c r="H1298" s="1">
        <v>45568</v>
      </c>
      <c r="I1298" s="1">
        <v>45601</v>
      </c>
      <c r="J1298" t="str">
        <f t="shared" si="20"/>
        <v>Oct-2024</v>
      </c>
    </row>
    <row r="1299" spans="1:10">
      <c r="A1299">
        <v>1298</v>
      </c>
      <c r="B1299">
        <v>18766</v>
      </c>
      <c r="C1299" t="s">
        <v>23</v>
      </c>
      <c r="D1299">
        <v>118370.05</v>
      </c>
      <c r="E1299" t="s">
        <v>16</v>
      </c>
      <c r="F1299">
        <v>23</v>
      </c>
      <c r="G1299" t="s">
        <v>21</v>
      </c>
      <c r="H1299" s="1">
        <v>45533</v>
      </c>
      <c r="I1299" s="1">
        <v>45556</v>
      </c>
      <c r="J1299" t="str">
        <f t="shared" si="20"/>
        <v>Aug-2024</v>
      </c>
    </row>
    <row r="1300" spans="1:10">
      <c r="A1300">
        <v>1299</v>
      </c>
      <c r="B1300">
        <v>11324</v>
      </c>
      <c r="C1300" t="s">
        <v>23</v>
      </c>
      <c r="D1300">
        <v>182187.83</v>
      </c>
      <c r="E1300" t="s">
        <v>16</v>
      </c>
      <c r="F1300">
        <v>43</v>
      </c>
      <c r="G1300" t="s">
        <v>21</v>
      </c>
      <c r="H1300" s="1">
        <v>45351</v>
      </c>
      <c r="I1300" s="1">
        <v>45394</v>
      </c>
      <c r="J1300" t="str">
        <f t="shared" si="20"/>
        <v>Feb-2024</v>
      </c>
    </row>
    <row r="1301" spans="1:10">
      <c r="A1301">
        <v>1300</v>
      </c>
      <c r="B1301">
        <v>14404</v>
      </c>
      <c r="C1301" t="s">
        <v>18</v>
      </c>
      <c r="D1301">
        <v>162660.09</v>
      </c>
      <c r="E1301" t="s">
        <v>16</v>
      </c>
      <c r="F1301">
        <v>16</v>
      </c>
      <c r="G1301" t="s">
        <v>25</v>
      </c>
      <c r="H1301" s="1">
        <v>45389</v>
      </c>
      <c r="I1301" s="1">
        <v>45405</v>
      </c>
      <c r="J1301" t="str">
        <f t="shared" si="20"/>
        <v>Apr-2024</v>
      </c>
    </row>
    <row r="1302" spans="1:10">
      <c r="A1302">
        <v>1301</v>
      </c>
      <c r="B1302">
        <v>19404</v>
      </c>
      <c r="C1302" t="s">
        <v>23</v>
      </c>
      <c r="D1302">
        <v>179460.19</v>
      </c>
      <c r="E1302" t="s">
        <v>19</v>
      </c>
      <c r="F1302">
        <v>39</v>
      </c>
      <c r="G1302" t="s">
        <v>17</v>
      </c>
      <c r="H1302" s="1">
        <v>45622</v>
      </c>
      <c r="I1302" s="1">
        <v>45661</v>
      </c>
      <c r="J1302" t="str">
        <f t="shared" si="20"/>
        <v>Nov-2024</v>
      </c>
    </row>
    <row r="1303" spans="1:10">
      <c r="A1303">
        <v>1302</v>
      </c>
      <c r="B1303">
        <v>15937</v>
      </c>
      <c r="C1303" t="s">
        <v>22</v>
      </c>
      <c r="D1303">
        <v>7267.19</v>
      </c>
      <c r="E1303" t="s">
        <v>16</v>
      </c>
      <c r="F1303">
        <v>20</v>
      </c>
      <c r="G1303" t="s">
        <v>20</v>
      </c>
      <c r="H1303" s="1">
        <v>45472</v>
      </c>
      <c r="I1303" s="1">
        <v>45492</v>
      </c>
      <c r="J1303" t="str">
        <f t="shared" si="20"/>
        <v>Jun-2024</v>
      </c>
    </row>
    <row r="1304" spans="1:10">
      <c r="A1304">
        <v>1303</v>
      </c>
      <c r="B1304">
        <v>11434</v>
      </c>
      <c r="C1304" t="s">
        <v>15</v>
      </c>
      <c r="D1304">
        <v>193351.08</v>
      </c>
      <c r="E1304" t="s">
        <v>16</v>
      </c>
      <c r="F1304">
        <v>32</v>
      </c>
      <c r="G1304" t="s">
        <v>17</v>
      </c>
      <c r="H1304" s="1">
        <v>45405</v>
      </c>
      <c r="I1304" s="1">
        <v>45437</v>
      </c>
      <c r="J1304" t="str">
        <f t="shared" si="20"/>
        <v>Apr-2024</v>
      </c>
    </row>
    <row r="1305" spans="1:10">
      <c r="A1305">
        <v>1304</v>
      </c>
      <c r="B1305">
        <v>18729</v>
      </c>
      <c r="C1305" t="s">
        <v>22</v>
      </c>
      <c r="D1305">
        <v>97338.38</v>
      </c>
      <c r="E1305" t="s">
        <v>24</v>
      </c>
      <c r="G1305" t="s">
        <v>25</v>
      </c>
      <c r="H1305" s="1">
        <v>45394</v>
      </c>
      <c r="J1305" t="str">
        <f t="shared" si="20"/>
        <v>Apr-2024</v>
      </c>
    </row>
    <row r="1306" spans="1:10">
      <c r="A1306">
        <v>1305</v>
      </c>
      <c r="B1306">
        <v>17554</v>
      </c>
      <c r="C1306" t="s">
        <v>23</v>
      </c>
      <c r="D1306">
        <v>160645.68</v>
      </c>
      <c r="E1306" t="s">
        <v>16</v>
      </c>
      <c r="F1306">
        <v>6</v>
      </c>
      <c r="G1306" t="s">
        <v>25</v>
      </c>
      <c r="H1306" s="1">
        <v>45627</v>
      </c>
      <c r="I1306" s="1">
        <v>45633</v>
      </c>
      <c r="J1306" t="str">
        <f t="shared" si="20"/>
        <v>Dec-2024</v>
      </c>
    </row>
    <row r="1307" spans="1:10">
      <c r="A1307">
        <v>1306</v>
      </c>
      <c r="B1307">
        <v>14953</v>
      </c>
      <c r="C1307" t="s">
        <v>22</v>
      </c>
      <c r="D1307">
        <v>29804.799999999999</v>
      </c>
      <c r="E1307" t="s">
        <v>19</v>
      </c>
      <c r="F1307">
        <v>21</v>
      </c>
      <c r="G1307" t="s">
        <v>17</v>
      </c>
      <c r="H1307" s="1">
        <v>45610</v>
      </c>
      <c r="I1307" s="1">
        <v>45631</v>
      </c>
      <c r="J1307" t="str">
        <f t="shared" si="20"/>
        <v>Nov-2024</v>
      </c>
    </row>
    <row r="1308" spans="1:10">
      <c r="A1308">
        <v>1307</v>
      </c>
      <c r="B1308">
        <v>19766</v>
      </c>
      <c r="C1308" t="s">
        <v>23</v>
      </c>
      <c r="D1308">
        <v>82208.509999999995</v>
      </c>
      <c r="E1308" t="s">
        <v>16</v>
      </c>
      <c r="F1308">
        <v>3</v>
      </c>
      <c r="G1308" t="s">
        <v>20</v>
      </c>
      <c r="H1308" s="1">
        <v>45348</v>
      </c>
      <c r="I1308" s="1">
        <v>45351</v>
      </c>
      <c r="J1308" t="str">
        <f t="shared" si="20"/>
        <v>Feb-2024</v>
      </c>
    </row>
    <row r="1309" spans="1:10">
      <c r="A1309">
        <v>1308</v>
      </c>
      <c r="B1309">
        <v>18384</v>
      </c>
      <c r="C1309" t="s">
        <v>23</v>
      </c>
      <c r="D1309">
        <v>57934.83</v>
      </c>
      <c r="E1309" t="s">
        <v>19</v>
      </c>
      <c r="F1309">
        <v>22</v>
      </c>
      <c r="G1309" t="s">
        <v>20</v>
      </c>
      <c r="H1309" s="1">
        <v>45576</v>
      </c>
      <c r="I1309" s="1">
        <v>45598</v>
      </c>
      <c r="J1309" t="str">
        <f t="shared" si="20"/>
        <v>Oct-2024</v>
      </c>
    </row>
    <row r="1310" spans="1:10">
      <c r="A1310">
        <v>1309</v>
      </c>
      <c r="B1310">
        <v>19378</v>
      </c>
      <c r="C1310" t="s">
        <v>23</v>
      </c>
      <c r="D1310">
        <v>61873.46</v>
      </c>
      <c r="E1310" t="s">
        <v>16</v>
      </c>
      <c r="F1310">
        <v>37</v>
      </c>
      <c r="G1310" t="s">
        <v>21</v>
      </c>
      <c r="H1310" s="1">
        <v>45420</v>
      </c>
      <c r="I1310" s="1">
        <v>45457</v>
      </c>
      <c r="J1310" t="str">
        <f t="shared" si="20"/>
        <v>May-2024</v>
      </c>
    </row>
    <row r="1311" spans="1:10">
      <c r="A1311">
        <v>1310</v>
      </c>
      <c r="B1311">
        <v>18666</v>
      </c>
      <c r="C1311" t="s">
        <v>23</v>
      </c>
      <c r="D1311">
        <v>29034.85</v>
      </c>
      <c r="E1311" t="s">
        <v>16</v>
      </c>
      <c r="F1311">
        <v>29</v>
      </c>
      <c r="G1311" t="s">
        <v>20</v>
      </c>
      <c r="H1311" s="1">
        <v>45606</v>
      </c>
      <c r="I1311" s="1">
        <v>45635</v>
      </c>
      <c r="J1311" t="str">
        <f t="shared" si="20"/>
        <v>Nov-2024</v>
      </c>
    </row>
    <row r="1312" spans="1:10">
      <c r="A1312">
        <v>1311</v>
      </c>
      <c r="B1312">
        <v>14269</v>
      </c>
      <c r="C1312" t="s">
        <v>18</v>
      </c>
      <c r="D1312">
        <v>162123.95000000001</v>
      </c>
      <c r="E1312" t="s">
        <v>16</v>
      </c>
      <c r="F1312">
        <v>21</v>
      </c>
      <c r="G1312" t="s">
        <v>17</v>
      </c>
      <c r="H1312" s="1">
        <v>45377</v>
      </c>
      <c r="I1312" s="1">
        <v>45398</v>
      </c>
      <c r="J1312" t="str">
        <f t="shared" si="20"/>
        <v>Mar-2024</v>
      </c>
    </row>
    <row r="1313" spans="1:10">
      <c r="A1313">
        <v>1312</v>
      </c>
      <c r="B1313">
        <v>17378</v>
      </c>
      <c r="C1313" t="s">
        <v>23</v>
      </c>
      <c r="D1313">
        <v>6802.25</v>
      </c>
      <c r="E1313" t="s">
        <v>16</v>
      </c>
      <c r="F1313">
        <v>38</v>
      </c>
      <c r="G1313" t="s">
        <v>25</v>
      </c>
      <c r="H1313" s="1">
        <v>45491</v>
      </c>
      <c r="I1313" s="1">
        <v>45529</v>
      </c>
      <c r="J1313" t="str">
        <f t="shared" si="20"/>
        <v>Jul-2024</v>
      </c>
    </row>
    <row r="1314" spans="1:10">
      <c r="A1314">
        <v>1313</v>
      </c>
      <c r="B1314">
        <v>12437</v>
      </c>
      <c r="C1314" t="s">
        <v>23</v>
      </c>
      <c r="D1314">
        <v>65938.559999999998</v>
      </c>
      <c r="E1314" t="s">
        <v>19</v>
      </c>
      <c r="F1314">
        <v>40</v>
      </c>
      <c r="G1314" t="s">
        <v>21</v>
      </c>
      <c r="H1314" s="1">
        <v>45362</v>
      </c>
      <c r="I1314" s="1">
        <v>45402</v>
      </c>
      <c r="J1314" t="str">
        <f t="shared" si="20"/>
        <v>Mar-2024</v>
      </c>
    </row>
    <row r="1315" spans="1:10">
      <c r="A1315">
        <v>1314</v>
      </c>
      <c r="B1315">
        <v>14552</v>
      </c>
      <c r="C1315" t="s">
        <v>18</v>
      </c>
      <c r="D1315">
        <v>39010.06</v>
      </c>
      <c r="E1315" t="s">
        <v>16</v>
      </c>
      <c r="F1315">
        <v>37</v>
      </c>
      <c r="G1315" t="s">
        <v>21</v>
      </c>
      <c r="H1315" s="1">
        <v>45636</v>
      </c>
      <c r="I1315" s="1">
        <v>45673</v>
      </c>
      <c r="J1315" t="str">
        <f t="shared" si="20"/>
        <v>Dec-2024</v>
      </c>
    </row>
    <row r="1316" spans="1:10">
      <c r="A1316">
        <v>1315</v>
      </c>
      <c r="B1316">
        <v>11354</v>
      </c>
      <c r="C1316" t="s">
        <v>23</v>
      </c>
      <c r="D1316">
        <v>119862.59</v>
      </c>
      <c r="E1316" t="s">
        <v>16</v>
      </c>
      <c r="F1316">
        <v>12</v>
      </c>
      <c r="G1316" t="s">
        <v>25</v>
      </c>
      <c r="H1316" s="1">
        <v>45389</v>
      </c>
      <c r="I1316" s="1">
        <v>45401</v>
      </c>
      <c r="J1316" t="str">
        <f t="shared" si="20"/>
        <v>Apr-2024</v>
      </c>
    </row>
    <row r="1317" spans="1:10">
      <c r="A1317">
        <v>1316</v>
      </c>
      <c r="B1317">
        <v>13400</v>
      </c>
      <c r="C1317" t="s">
        <v>18</v>
      </c>
      <c r="D1317">
        <v>54579.22</v>
      </c>
      <c r="E1317" t="s">
        <v>19</v>
      </c>
      <c r="F1317">
        <v>4</v>
      </c>
      <c r="G1317" t="s">
        <v>20</v>
      </c>
      <c r="H1317" s="1">
        <v>45591</v>
      </c>
      <c r="I1317" s="1">
        <v>45595</v>
      </c>
      <c r="J1317" t="str">
        <f t="shared" si="20"/>
        <v>Oct-2024</v>
      </c>
    </row>
    <row r="1318" spans="1:10">
      <c r="A1318">
        <v>1317</v>
      </c>
      <c r="B1318">
        <v>17196</v>
      </c>
      <c r="C1318" t="s">
        <v>23</v>
      </c>
      <c r="D1318">
        <v>55504.7</v>
      </c>
      <c r="E1318" t="s">
        <v>16</v>
      </c>
      <c r="F1318">
        <v>38</v>
      </c>
      <c r="G1318" t="s">
        <v>25</v>
      </c>
      <c r="H1318" s="1">
        <v>45467</v>
      </c>
      <c r="I1318" s="1">
        <v>45505</v>
      </c>
      <c r="J1318" t="str">
        <f t="shared" si="20"/>
        <v>Jun-2024</v>
      </c>
    </row>
    <row r="1319" spans="1:10">
      <c r="A1319">
        <v>1318</v>
      </c>
      <c r="B1319">
        <v>13754</v>
      </c>
      <c r="C1319" t="s">
        <v>15</v>
      </c>
      <c r="D1319">
        <v>100225.94</v>
      </c>
      <c r="E1319" t="s">
        <v>16</v>
      </c>
      <c r="F1319">
        <v>21</v>
      </c>
      <c r="G1319" t="s">
        <v>20</v>
      </c>
      <c r="H1319" s="1">
        <v>45524</v>
      </c>
      <c r="I1319" s="1">
        <v>45545</v>
      </c>
      <c r="J1319" t="str">
        <f t="shared" si="20"/>
        <v>Aug-2024</v>
      </c>
    </row>
    <row r="1320" spans="1:10">
      <c r="A1320">
        <v>1319</v>
      </c>
      <c r="B1320">
        <v>16265</v>
      </c>
      <c r="C1320" t="s">
        <v>15</v>
      </c>
      <c r="D1320">
        <v>132274.35999999999</v>
      </c>
      <c r="E1320" t="s">
        <v>16</v>
      </c>
      <c r="F1320">
        <v>33</v>
      </c>
      <c r="G1320" t="s">
        <v>25</v>
      </c>
      <c r="H1320" s="1">
        <v>45366</v>
      </c>
      <c r="I1320" s="1">
        <v>45399</v>
      </c>
      <c r="J1320" t="str">
        <f t="shared" si="20"/>
        <v>Mar-2024</v>
      </c>
    </row>
    <row r="1321" spans="1:10">
      <c r="A1321">
        <v>1320</v>
      </c>
      <c r="B1321">
        <v>10158</v>
      </c>
      <c r="C1321" t="s">
        <v>23</v>
      </c>
      <c r="D1321">
        <v>28654.42</v>
      </c>
      <c r="E1321" t="s">
        <v>16</v>
      </c>
      <c r="F1321">
        <v>26</v>
      </c>
      <c r="G1321" t="s">
        <v>17</v>
      </c>
      <c r="H1321" s="1">
        <v>45434</v>
      </c>
      <c r="I1321" s="1">
        <v>45460</v>
      </c>
      <c r="J1321" t="str">
        <f t="shared" si="20"/>
        <v>May-2024</v>
      </c>
    </row>
    <row r="1322" spans="1:10">
      <c r="A1322">
        <v>1321</v>
      </c>
      <c r="B1322">
        <v>16741</v>
      </c>
      <c r="C1322" t="s">
        <v>23</v>
      </c>
      <c r="D1322">
        <v>39224.730000000003</v>
      </c>
      <c r="E1322" t="s">
        <v>16</v>
      </c>
      <c r="F1322">
        <v>22</v>
      </c>
      <c r="G1322" t="s">
        <v>20</v>
      </c>
      <c r="H1322" s="1">
        <v>45314</v>
      </c>
      <c r="I1322" s="1">
        <v>45336</v>
      </c>
      <c r="J1322" t="str">
        <f t="shared" si="20"/>
        <v>Jan-2024</v>
      </c>
    </row>
    <row r="1323" spans="1:10">
      <c r="A1323">
        <v>1322</v>
      </c>
      <c r="B1323">
        <v>11837</v>
      </c>
      <c r="C1323" t="s">
        <v>23</v>
      </c>
      <c r="D1323">
        <v>53199.08</v>
      </c>
      <c r="E1323" t="s">
        <v>24</v>
      </c>
      <c r="G1323" t="s">
        <v>17</v>
      </c>
      <c r="H1323" s="1">
        <v>45472</v>
      </c>
      <c r="J1323" t="str">
        <f t="shared" si="20"/>
        <v>Jun-2024</v>
      </c>
    </row>
    <row r="1324" spans="1:10">
      <c r="A1324">
        <v>1323</v>
      </c>
      <c r="B1324">
        <v>14611</v>
      </c>
      <c r="C1324" t="s">
        <v>15</v>
      </c>
      <c r="D1324">
        <v>194880.9</v>
      </c>
      <c r="E1324" t="s">
        <v>16</v>
      </c>
      <c r="F1324">
        <v>43</v>
      </c>
      <c r="G1324" t="s">
        <v>21</v>
      </c>
      <c r="H1324" s="1">
        <v>45336</v>
      </c>
      <c r="I1324" s="1">
        <v>45379</v>
      </c>
      <c r="J1324" t="str">
        <f t="shared" si="20"/>
        <v>Feb-2024</v>
      </c>
    </row>
    <row r="1325" spans="1:10">
      <c r="A1325">
        <v>1324</v>
      </c>
      <c r="B1325">
        <v>11025</v>
      </c>
      <c r="C1325" t="s">
        <v>23</v>
      </c>
      <c r="D1325">
        <v>82444.740000000005</v>
      </c>
      <c r="E1325" t="s">
        <v>16</v>
      </c>
      <c r="F1325">
        <v>2</v>
      </c>
      <c r="G1325" t="s">
        <v>25</v>
      </c>
      <c r="H1325" s="1">
        <v>45383</v>
      </c>
      <c r="I1325" s="1">
        <v>45385</v>
      </c>
      <c r="J1325" t="str">
        <f t="shared" si="20"/>
        <v>Apr-2024</v>
      </c>
    </row>
    <row r="1326" spans="1:10">
      <c r="A1326">
        <v>1325</v>
      </c>
      <c r="B1326">
        <v>17812</v>
      </c>
      <c r="C1326" t="s">
        <v>23</v>
      </c>
      <c r="D1326">
        <v>121803.07</v>
      </c>
      <c r="E1326" t="s">
        <v>19</v>
      </c>
      <c r="F1326">
        <v>24</v>
      </c>
      <c r="G1326" t="s">
        <v>21</v>
      </c>
      <c r="H1326" s="1">
        <v>45560</v>
      </c>
      <c r="I1326" s="1">
        <v>45584</v>
      </c>
      <c r="J1326" t="str">
        <f t="shared" si="20"/>
        <v>Sep-2024</v>
      </c>
    </row>
    <row r="1327" spans="1:10">
      <c r="A1327">
        <v>1326</v>
      </c>
      <c r="B1327">
        <v>17246</v>
      </c>
      <c r="C1327" t="s">
        <v>23</v>
      </c>
      <c r="D1327">
        <v>52100.85</v>
      </c>
      <c r="E1327" t="s">
        <v>16</v>
      </c>
      <c r="F1327">
        <v>44</v>
      </c>
      <c r="G1327" t="s">
        <v>21</v>
      </c>
      <c r="H1327" s="1">
        <v>45325</v>
      </c>
      <c r="I1327" s="1">
        <v>45369</v>
      </c>
      <c r="J1327" t="str">
        <f t="shared" si="20"/>
        <v>Feb-2024</v>
      </c>
    </row>
    <row r="1328" spans="1:10">
      <c r="A1328">
        <v>1327</v>
      </c>
      <c r="B1328">
        <v>10658</v>
      </c>
      <c r="C1328" t="s">
        <v>23</v>
      </c>
      <c r="D1328">
        <v>100639.61</v>
      </c>
      <c r="E1328" t="s">
        <v>16</v>
      </c>
      <c r="F1328">
        <v>25</v>
      </c>
      <c r="G1328" t="s">
        <v>21</v>
      </c>
      <c r="H1328" s="1">
        <v>45457</v>
      </c>
      <c r="I1328" s="1">
        <v>45482</v>
      </c>
      <c r="J1328" t="str">
        <f t="shared" si="20"/>
        <v>Jun-2024</v>
      </c>
    </row>
    <row r="1329" spans="1:10">
      <c r="A1329">
        <v>1328</v>
      </c>
      <c r="B1329">
        <v>10677</v>
      </c>
      <c r="C1329" t="s">
        <v>23</v>
      </c>
      <c r="D1329">
        <v>19453.240000000002</v>
      </c>
      <c r="E1329" t="s">
        <v>16</v>
      </c>
      <c r="F1329">
        <v>26</v>
      </c>
      <c r="G1329" t="s">
        <v>21</v>
      </c>
      <c r="H1329" s="1">
        <v>45361</v>
      </c>
      <c r="I1329" s="1">
        <v>45387</v>
      </c>
      <c r="J1329" t="str">
        <f t="shared" si="20"/>
        <v>Mar-2024</v>
      </c>
    </row>
    <row r="1330" spans="1:10">
      <c r="A1330">
        <v>1329</v>
      </c>
      <c r="B1330">
        <v>14046</v>
      </c>
      <c r="C1330" t="s">
        <v>15</v>
      </c>
      <c r="D1330">
        <v>11774.72</v>
      </c>
      <c r="E1330" t="s">
        <v>16</v>
      </c>
      <c r="F1330">
        <v>8</v>
      </c>
      <c r="G1330" t="s">
        <v>25</v>
      </c>
      <c r="H1330" s="1">
        <v>45655</v>
      </c>
      <c r="I1330" s="1">
        <v>45663</v>
      </c>
      <c r="J1330" t="str">
        <f t="shared" si="20"/>
        <v>Dec-2024</v>
      </c>
    </row>
    <row r="1331" spans="1:10">
      <c r="A1331">
        <v>1330</v>
      </c>
      <c r="B1331">
        <v>13821</v>
      </c>
      <c r="C1331" t="s">
        <v>23</v>
      </c>
      <c r="D1331">
        <v>96403.04</v>
      </c>
      <c r="E1331" t="s">
        <v>16</v>
      </c>
      <c r="F1331">
        <v>39</v>
      </c>
      <c r="G1331" t="s">
        <v>21</v>
      </c>
      <c r="H1331" s="1">
        <v>45487</v>
      </c>
      <c r="I1331" s="1">
        <v>45526</v>
      </c>
      <c r="J1331" t="str">
        <f t="shared" si="20"/>
        <v>Jul-2024</v>
      </c>
    </row>
    <row r="1332" spans="1:10">
      <c r="A1332">
        <v>1331</v>
      </c>
      <c r="B1332">
        <v>12375</v>
      </c>
      <c r="C1332" t="s">
        <v>23</v>
      </c>
      <c r="D1332">
        <v>82738.559999999998</v>
      </c>
      <c r="E1332" t="s">
        <v>16</v>
      </c>
      <c r="F1332">
        <v>40</v>
      </c>
      <c r="G1332" t="s">
        <v>25</v>
      </c>
      <c r="H1332" s="1">
        <v>45424</v>
      </c>
      <c r="I1332" s="1">
        <v>45464</v>
      </c>
      <c r="J1332" t="str">
        <f t="shared" si="20"/>
        <v>May-2024</v>
      </c>
    </row>
    <row r="1333" spans="1:10">
      <c r="A1333">
        <v>1332</v>
      </c>
      <c r="B1333">
        <v>10275</v>
      </c>
      <c r="C1333" t="s">
        <v>15</v>
      </c>
      <c r="D1333">
        <v>31691.66</v>
      </c>
      <c r="E1333" t="s">
        <v>16</v>
      </c>
      <c r="F1333">
        <v>36</v>
      </c>
      <c r="G1333" t="s">
        <v>25</v>
      </c>
      <c r="H1333" s="1">
        <v>45538</v>
      </c>
      <c r="I1333" s="1">
        <v>45574</v>
      </c>
      <c r="J1333" t="str">
        <f t="shared" si="20"/>
        <v>Sep-2024</v>
      </c>
    </row>
    <row r="1334" spans="1:10">
      <c r="A1334">
        <v>1333</v>
      </c>
      <c r="B1334">
        <v>16859</v>
      </c>
      <c r="C1334" t="s">
        <v>15</v>
      </c>
      <c r="D1334">
        <v>139082.28</v>
      </c>
      <c r="E1334" t="s">
        <v>19</v>
      </c>
      <c r="F1334">
        <v>15</v>
      </c>
      <c r="G1334" t="s">
        <v>17</v>
      </c>
      <c r="H1334" s="1">
        <v>45459</v>
      </c>
      <c r="I1334" s="1">
        <v>45474</v>
      </c>
      <c r="J1334" t="str">
        <f t="shared" si="20"/>
        <v>Jun-2024</v>
      </c>
    </row>
    <row r="1335" spans="1:10">
      <c r="A1335">
        <v>1334</v>
      </c>
      <c r="B1335">
        <v>11588</v>
      </c>
      <c r="C1335" t="s">
        <v>23</v>
      </c>
      <c r="D1335">
        <v>198616.18</v>
      </c>
      <c r="E1335" t="s">
        <v>16</v>
      </c>
      <c r="F1335">
        <v>10</v>
      </c>
      <c r="G1335" t="s">
        <v>20</v>
      </c>
      <c r="H1335" s="1">
        <v>45568</v>
      </c>
      <c r="I1335" s="1">
        <v>45578</v>
      </c>
      <c r="J1335" t="str">
        <f t="shared" si="20"/>
        <v>Oct-2024</v>
      </c>
    </row>
    <row r="1336" spans="1:10">
      <c r="A1336">
        <v>1335</v>
      </c>
      <c r="B1336">
        <v>14581</v>
      </c>
      <c r="C1336" t="s">
        <v>23</v>
      </c>
      <c r="D1336">
        <v>82151.13</v>
      </c>
      <c r="E1336" t="s">
        <v>24</v>
      </c>
      <c r="G1336" t="s">
        <v>20</v>
      </c>
      <c r="H1336" s="1">
        <v>45447</v>
      </c>
      <c r="J1336" t="str">
        <f t="shared" si="20"/>
        <v>Jun-2024</v>
      </c>
    </row>
    <row r="1337" spans="1:10">
      <c r="A1337">
        <v>1336</v>
      </c>
      <c r="B1337">
        <v>10245</v>
      </c>
      <c r="C1337" t="s">
        <v>23</v>
      </c>
      <c r="D1337">
        <v>126788.93</v>
      </c>
      <c r="E1337" t="s">
        <v>16</v>
      </c>
      <c r="F1337">
        <v>39</v>
      </c>
      <c r="G1337" t="s">
        <v>25</v>
      </c>
      <c r="H1337" s="1">
        <v>45314</v>
      </c>
      <c r="I1337" s="1">
        <v>45353</v>
      </c>
      <c r="J1337" t="str">
        <f t="shared" si="20"/>
        <v>Jan-2024</v>
      </c>
    </row>
    <row r="1338" spans="1:10">
      <c r="A1338">
        <v>1337</v>
      </c>
      <c r="B1338">
        <v>19080</v>
      </c>
      <c r="C1338" t="s">
        <v>22</v>
      </c>
      <c r="D1338">
        <v>192780.31</v>
      </c>
      <c r="E1338" t="s">
        <v>16</v>
      </c>
      <c r="F1338">
        <v>21</v>
      </c>
      <c r="G1338" t="s">
        <v>17</v>
      </c>
      <c r="H1338" s="1">
        <v>45491</v>
      </c>
      <c r="I1338" s="1">
        <v>45512</v>
      </c>
      <c r="J1338" t="str">
        <f t="shared" si="20"/>
        <v>Jul-2024</v>
      </c>
    </row>
    <row r="1339" spans="1:10">
      <c r="A1339">
        <v>1338</v>
      </c>
      <c r="B1339">
        <v>16670</v>
      </c>
      <c r="C1339" t="s">
        <v>23</v>
      </c>
      <c r="D1339">
        <v>167149.32</v>
      </c>
      <c r="E1339" t="s">
        <v>16</v>
      </c>
      <c r="F1339">
        <v>42</v>
      </c>
      <c r="G1339" t="s">
        <v>25</v>
      </c>
      <c r="H1339" s="1">
        <v>45566</v>
      </c>
      <c r="I1339" s="1">
        <v>45608</v>
      </c>
      <c r="J1339" t="str">
        <f t="shared" si="20"/>
        <v>Oct-2024</v>
      </c>
    </row>
    <row r="1340" spans="1:10">
      <c r="A1340">
        <v>1339</v>
      </c>
      <c r="B1340">
        <v>18192</v>
      </c>
      <c r="C1340" t="s">
        <v>22</v>
      </c>
      <c r="D1340">
        <v>95392.68</v>
      </c>
      <c r="E1340" t="s">
        <v>24</v>
      </c>
      <c r="G1340" t="s">
        <v>25</v>
      </c>
      <c r="H1340" s="1">
        <v>45341</v>
      </c>
      <c r="J1340" t="str">
        <f t="shared" si="20"/>
        <v>Feb-2024</v>
      </c>
    </row>
    <row r="1341" spans="1:10">
      <c r="A1341">
        <v>1340</v>
      </c>
      <c r="B1341">
        <v>12184</v>
      </c>
      <c r="C1341" t="s">
        <v>18</v>
      </c>
      <c r="D1341">
        <v>148810.45000000001</v>
      </c>
      <c r="E1341" t="s">
        <v>16</v>
      </c>
      <c r="F1341">
        <v>42</v>
      </c>
      <c r="G1341" t="s">
        <v>25</v>
      </c>
      <c r="H1341" s="1">
        <v>45477</v>
      </c>
      <c r="I1341" s="1">
        <v>45519</v>
      </c>
      <c r="J1341" t="str">
        <f t="shared" si="20"/>
        <v>Jul-2024</v>
      </c>
    </row>
    <row r="1342" spans="1:10">
      <c r="A1342">
        <v>1341</v>
      </c>
      <c r="B1342">
        <v>13251</v>
      </c>
      <c r="C1342" t="s">
        <v>18</v>
      </c>
      <c r="D1342">
        <v>29986.33</v>
      </c>
      <c r="E1342" t="s">
        <v>16</v>
      </c>
      <c r="F1342">
        <v>33</v>
      </c>
      <c r="G1342" t="s">
        <v>17</v>
      </c>
      <c r="H1342" s="1">
        <v>45311</v>
      </c>
      <c r="I1342" s="1">
        <v>45344</v>
      </c>
      <c r="J1342" t="str">
        <f t="shared" si="20"/>
        <v>Jan-2024</v>
      </c>
    </row>
    <row r="1343" spans="1:10">
      <c r="A1343">
        <v>1342</v>
      </c>
      <c r="B1343">
        <v>15863</v>
      </c>
      <c r="C1343" t="s">
        <v>23</v>
      </c>
      <c r="D1343">
        <v>104860.25</v>
      </c>
      <c r="E1343" t="s">
        <v>19</v>
      </c>
      <c r="F1343">
        <v>37</v>
      </c>
      <c r="G1343" t="s">
        <v>20</v>
      </c>
      <c r="H1343" s="1">
        <v>45407</v>
      </c>
      <c r="I1343" s="1">
        <v>45444</v>
      </c>
      <c r="J1343" t="str">
        <f t="shared" si="20"/>
        <v>Apr-2024</v>
      </c>
    </row>
    <row r="1344" spans="1:10">
      <c r="A1344">
        <v>1343</v>
      </c>
      <c r="B1344">
        <v>13051</v>
      </c>
      <c r="C1344" t="s">
        <v>23</v>
      </c>
      <c r="D1344">
        <v>59416.75</v>
      </c>
      <c r="E1344" t="s">
        <v>16</v>
      </c>
      <c r="F1344">
        <v>27</v>
      </c>
      <c r="G1344" t="s">
        <v>17</v>
      </c>
      <c r="H1344" s="1">
        <v>45383</v>
      </c>
      <c r="I1344" s="1">
        <v>45410</v>
      </c>
      <c r="J1344" t="str">
        <f t="shared" si="20"/>
        <v>Apr-2024</v>
      </c>
    </row>
    <row r="1345" spans="1:10">
      <c r="A1345">
        <v>1344</v>
      </c>
      <c r="B1345">
        <v>19702</v>
      </c>
      <c r="C1345" t="s">
        <v>23</v>
      </c>
      <c r="D1345">
        <v>36426.92</v>
      </c>
      <c r="E1345" t="s">
        <v>19</v>
      </c>
      <c r="F1345">
        <v>6</v>
      </c>
      <c r="G1345" t="s">
        <v>21</v>
      </c>
      <c r="H1345" s="1">
        <v>45640</v>
      </c>
      <c r="I1345" s="1">
        <v>45646</v>
      </c>
      <c r="J1345" t="str">
        <f t="shared" si="20"/>
        <v>Dec-2024</v>
      </c>
    </row>
    <row r="1346" spans="1:10">
      <c r="A1346">
        <v>1345</v>
      </c>
      <c r="B1346">
        <v>13771</v>
      </c>
      <c r="C1346" t="s">
        <v>23</v>
      </c>
      <c r="D1346">
        <v>88124.78</v>
      </c>
      <c r="E1346" t="s">
        <v>16</v>
      </c>
      <c r="F1346">
        <v>31</v>
      </c>
      <c r="G1346" t="s">
        <v>17</v>
      </c>
      <c r="H1346" s="1">
        <v>45630</v>
      </c>
      <c r="I1346" s="1">
        <v>45661</v>
      </c>
      <c r="J1346" t="str">
        <f t="shared" si="20"/>
        <v>Dec-2024</v>
      </c>
    </row>
    <row r="1347" spans="1:10">
      <c r="A1347">
        <v>1346</v>
      </c>
      <c r="B1347">
        <v>19320</v>
      </c>
      <c r="C1347" t="s">
        <v>18</v>
      </c>
      <c r="D1347">
        <v>30547.84</v>
      </c>
      <c r="E1347" t="s">
        <v>19</v>
      </c>
      <c r="F1347">
        <v>18</v>
      </c>
      <c r="G1347" t="s">
        <v>17</v>
      </c>
      <c r="H1347" s="1">
        <v>45344</v>
      </c>
      <c r="I1347" s="1">
        <v>45362</v>
      </c>
      <c r="J1347" t="str">
        <f t="shared" ref="J1347:J1410" si="21">TEXT(H1347,"mmm-yyyy")</f>
        <v>Feb-2024</v>
      </c>
    </row>
    <row r="1348" spans="1:10">
      <c r="A1348">
        <v>1347</v>
      </c>
      <c r="B1348">
        <v>18889</v>
      </c>
      <c r="C1348" t="s">
        <v>22</v>
      </c>
      <c r="D1348">
        <v>141302.1</v>
      </c>
      <c r="E1348" t="s">
        <v>24</v>
      </c>
      <c r="G1348" t="s">
        <v>17</v>
      </c>
      <c r="H1348" s="1">
        <v>45414</v>
      </c>
      <c r="J1348" t="str">
        <f t="shared" si="21"/>
        <v>May-2024</v>
      </c>
    </row>
    <row r="1349" spans="1:10">
      <c r="A1349">
        <v>1348</v>
      </c>
      <c r="B1349">
        <v>19280</v>
      </c>
      <c r="C1349" t="s">
        <v>18</v>
      </c>
      <c r="D1349">
        <v>93966.81</v>
      </c>
      <c r="E1349" t="s">
        <v>16</v>
      </c>
      <c r="F1349">
        <v>16</v>
      </c>
      <c r="G1349" t="s">
        <v>17</v>
      </c>
      <c r="H1349" s="1">
        <v>45632</v>
      </c>
      <c r="I1349" s="1">
        <v>45648</v>
      </c>
      <c r="J1349" t="str">
        <f t="shared" si="21"/>
        <v>Dec-2024</v>
      </c>
    </row>
    <row r="1350" spans="1:10">
      <c r="A1350">
        <v>1349</v>
      </c>
      <c r="B1350">
        <v>12419</v>
      </c>
      <c r="C1350" t="s">
        <v>18</v>
      </c>
      <c r="D1350">
        <v>108573.2</v>
      </c>
      <c r="E1350" t="s">
        <v>16</v>
      </c>
      <c r="F1350">
        <v>2</v>
      </c>
      <c r="G1350" t="s">
        <v>20</v>
      </c>
      <c r="H1350" s="1">
        <v>45629</v>
      </c>
      <c r="I1350" s="1">
        <v>45631</v>
      </c>
      <c r="J1350" t="str">
        <f t="shared" si="21"/>
        <v>Dec-2024</v>
      </c>
    </row>
    <row r="1351" spans="1:10">
      <c r="A1351">
        <v>1350</v>
      </c>
      <c r="B1351">
        <v>17396</v>
      </c>
      <c r="C1351" t="s">
        <v>23</v>
      </c>
      <c r="D1351">
        <v>33543.31</v>
      </c>
      <c r="E1351" t="s">
        <v>16</v>
      </c>
      <c r="F1351">
        <v>14</v>
      </c>
      <c r="G1351" t="s">
        <v>21</v>
      </c>
      <c r="H1351" s="1">
        <v>45556</v>
      </c>
      <c r="I1351" s="1">
        <v>45570</v>
      </c>
      <c r="J1351" t="str">
        <f t="shared" si="21"/>
        <v>Sep-2024</v>
      </c>
    </row>
    <row r="1352" spans="1:10">
      <c r="A1352">
        <v>1351</v>
      </c>
      <c r="B1352">
        <v>12628</v>
      </c>
      <c r="C1352" t="s">
        <v>23</v>
      </c>
      <c r="D1352">
        <v>32255.47</v>
      </c>
      <c r="E1352" t="s">
        <v>24</v>
      </c>
      <c r="G1352" t="s">
        <v>20</v>
      </c>
      <c r="H1352" s="1">
        <v>45295</v>
      </c>
      <c r="J1352" t="str">
        <f t="shared" si="21"/>
        <v>Jan-2024</v>
      </c>
    </row>
    <row r="1353" spans="1:10">
      <c r="A1353">
        <v>1352</v>
      </c>
      <c r="B1353">
        <v>17309</v>
      </c>
      <c r="C1353" t="s">
        <v>23</v>
      </c>
      <c r="D1353">
        <v>118766.01</v>
      </c>
      <c r="E1353" t="s">
        <v>16</v>
      </c>
      <c r="F1353">
        <v>31</v>
      </c>
      <c r="G1353" t="s">
        <v>20</v>
      </c>
      <c r="H1353" s="1">
        <v>45460</v>
      </c>
      <c r="I1353" s="1">
        <v>45491</v>
      </c>
      <c r="J1353" t="str">
        <f t="shared" si="21"/>
        <v>Jun-2024</v>
      </c>
    </row>
    <row r="1354" spans="1:10">
      <c r="A1354">
        <v>1353</v>
      </c>
      <c r="B1354">
        <v>10685</v>
      </c>
      <c r="C1354" t="s">
        <v>18</v>
      </c>
      <c r="D1354">
        <v>197076.9</v>
      </c>
      <c r="E1354" t="s">
        <v>16</v>
      </c>
      <c r="F1354">
        <v>20</v>
      </c>
      <c r="G1354" t="s">
        <v>17</v>
      </c>
      <c r="H1354" s="1">
        <v>45572</v>
      </c>
      <c r="I1354" s="1">
        <v>45592</v>
      </c>
      <c r="J1354" t="str">
        <f t="shared" si="21"/>
        <v>Oct-2024</v>
      </c>
    </row>
    <row r="1355" spans="1:10">
      <c r="A1355">
        <v>1354</v>
      </c>
      <c r="B1355">
        <v>12756</v>
      </c>
      <c r="C1355" t="s">
        <v>22</v>
      </c>
      <c r="D1355">
        <v>23768.86</v>
      </c>
      <c r="E1355" t="s">
        <v>16</v>
      </c>
      <c r="F1355">
        <v>3</v>
      </c>
      <c r="G1355" t="s">
        <v>25</v>
      </c>
      <c r="H1355" s="1">
        <v>45581</v>
      </c>
      <c r="I1355" s="1">
        <v>45584</v>
      </c>
      <c r="J1355" t="str">
        <f t="shared" si="21"/>
        <v>Oct-2024</v>
      </c>
    </row>
    <row r="1356" spans="1:10">
      <c r="A1356">
        <v>1355</v>
      </c>
      <c r="B1356">
        <v>15023</v>
      </c>
      <c r="C1356" t="s">
        <v>18</v>
      </c>
      <c r="D1356">
        <v>60717.63</v>
      </c>
      <c r="E1356" t="s">
        <v>16</v>
      </c>
      <c r="F1356">
        <v>13</v>
      </c>
      <c r="G1356" t="s">
        <v>25</v>
      </c>
      <c r="H1356" s="1">
        <v>45364</v>
      </c>
      <c r="I1356" s="1">
        <v>45377</v>
      </c>
      <c r="J1356" t="str">
        <f t="shared" si="21"/>
        <v>Mar-2024</v>
      </c>
    </row>
    <row r="1357" spans="1:10">
      <c r="A1357">
        <v>1356</v>
      </c>
      <c r="B1357">
        <v>19924</v>
      </c>
      <c r="C1357" t="s">
        <v>23</v>
      </c>
      <c r="D1357">
        <v>174544.53</v>
      </c>
      <c r="E1357" t="s">
        <v>16</v>
      </c>
      <c r="F1357">
        <v>41</v>
      </c>
      <c r="G1357" t="s">
        <v>20</v>
      </c>
      <c r="H1357" s="1">
        <v>45428</v>
      </c>
      <c r="I1357" s="1">
        <v>45469</v>
      </c>
      <c r="J1357" t="str">
        <f t="shared" si="21"/>
        <v>May-2024</v>
      </c>
    </row>
    <row r="1358" spans="1:10">
      <c r="A1358">
        <v>1357</v>
      </c>
      <c r="B1358">
        <v>14835</v>
      </c>
      <c r="C1358" t="s">
        <v>23</v>
      </c>
      <c r="D1358">
        <v>19093.04</v>
      </c>
      <c r="E1358" t="s">
        <v>16</v>
      </c>
      <c r="F1358">
        <v>25</v>
      </c>
      <c r="G1358" t="s">
        <v>20</v>
      </c>
      <c r="H1358" s="1">
        <v>45629</v>
      </c>
      <c r="I1358" s="1">
        <v>45654</v>
      </c>
      <c r="J1358" t="str">
        <f t="shared" si="21"/>
        <v>Dec-2024</v>
      </c>
    </row>
    <row r="1359" spans="1:10">
      <c r="A1359">
        <v>1358</v>
      </c>
      <c r="B1359">
        <v>11972</v>
      </c>
      <c r="C1359" t="s">
        <v>18</v>
      </c>
      <c r="D1359">
        <v>175797.72</v>
      </c>
      <c r="E1359" t="s">
        <v>16</v>
      </c>
      <c r="F1359">
        <v>12</v>
      </c>
      <c r="G1359" t="s">
        <v>17</v>
      </c>
      <c r="H1359" s="1">
        <v>45547</v>
      </c>
      <c r="I1359" s="1">
        <v>45559</v>
      </c>
      <c r="J1359" t="str">
        <f t="shared" si="21"/>
        <v>Sep-2024</v>
      </c>
    </row>
    <row r="1360" spans="1:10">
      <c r="A1360">
        <v>1359</v>
      </c>
      <c r="B1360">
        <v>10710</v>
      </c>
      <c r="C1360" t="s">
        <v>23</v>
      </c>
      <c r="D1360">
        <v>107235.77</v>
      </c>
      <c r="E1360" t="s">
        <v>16</v>
      </c>
      <c r="F1360">
        <v>3</v>
      </c>
      <c r="G1360" t="s">
        <v>20</v>
      </c>
      <c r="H1360" s="1">
        <v>45432</v>
      </c>
      <c r="I1360" s="1">
        <v>45435</v>
      </c>
      <c r="J1360" t="str">
        <f t="shared" si="21"/>
        <v>May-2024</v>
      </c>
    </row>
    <row r="1361" spans="1:10">
      <c r="A1361">
        <v>1360</v>
      </c>
      <c r="B1361">
        <v>18516</v>
      </c>
      <c r="C1361" t="s">
        <v>15</v>
      </c>
      <c r="D1361">
        <v>84612.02</v>
      </c>
      <c r="E1361" t="s">
        <v>16</v>
      </c>
      <c r="F1361">
        <v>2</v>
      </c>
      <c r="G1361" t="s">
        <v>17</v>
      </c>
      <c r="H1361" s="1">
        <v>45499</v>
      </c>
      <c r="I1361" s="1">
        <v>45501</v>
      </c>
      <c r="J1361" t="str">
        <f t="shared" si="21"/>
        <v>Jul-2024</v>
      </c>
    </row>
    <row r="1362" spans="1:10">
      <c r="A1362">
        <v>1361</v>
      </c>
      <c r="B1362">
        <v>15085</v>
      </c>
      <c r="C1362" t="s">
        <v>15</v>
      </c>
      <c r="D1362">
        <v>65387.71</v>
      </c>
      <c r="E1362" t="s">
        <v>16</v>
      </c>
      <c r="F1362">
        <v>29</v>
      </c>
      <c r="G1362" t="s">
        <v>25</v>
      </c>
      <c r="H1362" s="1">
        <v>45551</v>
      </c>
      <c r="I1362" s="1">
        <v>45580</v>
      </c>
      <c r="J1362" t="str">
        <f t="shared" si="21"/>
        <v>Sep-2024</v>
      </c>
    </row>
    <row r="1363" spans="1:10">
      <c r="A1363">
        <v>1362</v>
      </c>
      <c r="B1363">
        <v>15646</v>
      </c>
      <c r="C1363" t="s">
        <v>18</v>
      </c>
      <c r="D1363">
        <v>62937.85</v>
      </c>
      <c r="E1363" t="s">
        <v>19</v>
      </c>
      <c r="F1363">
        <v>5</v>
      </c>
      <c r="G1363" t="s">
        <v>25</v>
      </c>
      <c r="H1363" s="1">
        <v>45554</v>
      </c>
      <c r="I1363" s="1">
        <v>45559</v>
      </c>
      <c r="J1363" t="str">
        <f t="shared" si="21"/>
        <v>Sep-2024</v>
      </c>
    </row>
    <row r="1364" spans="1:10">
      <c r="A1364">
        <v>1363</v>
      </c>
      <c r="B1364">
        <v>14893</v>
      </c>
      <c r="C1364" t="s">
        <v>23</v>
      </c>
      <c r="D1364">
        <v>64631.5</v>
      </c>
      <c r="E1364" t="s">
        <v>19</v>
      </c>
      <c r="F1364">
        <v>42</v>
      </c>
      <c r="G1364" t="s">
        <v>21</v>
      </c>
      <c r="H1364" s="1">
        <v>45562</v>
      </c>
      <c r="I1364" s="1">
        <v>45604</v>
      </c>
      <c r="J1364" t="str">
        <f t="shared" si="21"/>
        <v>Sep-2024</v>
      </c>
    </row>
    <row r="1365" spans="1:10">
      <c r="A1365">
        <v>1364</v>
      </c>
      <c r="B1365">
        <v>12594</v>
      </c>
      <c r="C1365" t="s">
        <v>23</v>
      </c>
      <c r="D1365">
        <v>177536.6</v>
      </c>
      <c r="E1365" t="s">
        <v>16</v>
      </c>
      <c r="F1365">
        <v>31</v>
      </c>
      <c r="G1365" t="s">
        <v>25</v>
      </c>
      <c r="H1365" s="1">
        <v>45329</v>
      </c>
      <c r="I1365" s="1">
        <v>45360</v>
      </c>
      <c r="J1365" t="str">
        <f t="shared" si="21"/>
        <v>Feb-2024</v>
      </c>
    </row>
    <row r="1366" spans="1:10">
      <c r="A1366">
        <v>1365</v>
      </c>
      <c r="B1366">
        <v>11092</v>
      </c>
      <c r="C1366" t="s">
        <v>23</v>
      </c>
      <c r="D1366">
        <v>146140.07</v>
      </c>
      <c r="E1366" t="s">
        <v>16</v>
      </c>
      <c r="F1366">
        <v>8</v>
      </c>
      <c r="G1366" t="s">
        <v>20</v>
      </c>
      <c r="H1366" s="1">
        <v>45494</v>
      </c>
      <c r="I1366" s="1">
        <v>45502</v>
      </c>
      <c r="J1366" t="str">
        <f t="shared" si="21"/>
        <v>Jul-2024</v>
      </c>
    </row>
    <row r="1367" spans="1:10">
      <c r="A1367">
        <v>1366</v>
      </c>
      <c r="B1367">
        <v>12955</v>
      </c>
      <c r="C1367" t="s">
        <v>23</v>
      </c>
      <c r="D1367">
        <v>135595.99</v>
      </c>
      <c r="E1367" t="s">
        <v>16</v>
      </c>
      <c r="F1367">
        <v>23</v>
      </c>
      <c r="G1367" t="s">
        <v>25</v>
      </c>
      <c r="H1367" s="1">
        <v>45515</v>
      </c>
      <c r="I1367" s="1">
        <v>45538</v>
      </c>
      <c r="J1367" t="str">
        <f t="shared" si="21"/>
        <v>Aug-2024</v>
      </c>
    </row>
    <row r="1368" spans="1:10">
      <c r="A1368">
        <v>1367</v>
      </c>
      <c r="B1368">
        <v>18403</v>
      </c>
      <c r="C1368" t="s">
        <v>23</v>
      </c>
      <c r="D1368">
        <v>160756.07999999999</v>
      </c>
      <c r="E1368" t="s">
        <v>16</v>
      </c>
      <c r="F1368">
        <v>27</v>
      </c>
      <c r="G1368" t="s">
        <v>17</v>
      </c>
      <c r="H1368" s="1">
        <v>45638</v>
      </c>
      <c r="I1368" s="1">
        <v>45665</v>
      </c>
      <c r="J1368" t="str">
        <f t="shared" si="21"/>
        <v>Dec-2024</v>
      </c>
    </row>
    <row r="1369" spans="1:10">
      <c r="A1369">
        <v>1368</v>
      </c>
      <c r="B1369">
        <v>19773</v>
      </c>
      <c r="C1369" t="s">
        <v>18</v>
      </c>
      <c r="D1369">
        <v>55137.36</v>
      </c>
      <c r="E1369" t="s">
        <v>16</v>
      </c>
      <c r="F1369">
        <v>30</v>
      </c>
      <c r="G1369" t="s">
        <v>25</v>
      </c>
      <c r="H1369" s="1">
        <v>45343</v>
      </c>
      <c r="I1369" s="1">
        <v>45373</v>
      </c>
      <c r="J1369" t="str">
        <f t="shared" si="21"/>
        <v>Feb-2024</v>
      </c>
    </row>
    <row r="1370" spans="1:10">
      <c r="A1370">
        <v>1369</v>
      </c>
      <c r="B1370">
        <v>19635</v>
      </c>
      <c r="C1370" t="s">
        <v>18</v>
      </c>
      <c r="D1370">
        <v>125518.35</v>
      </c>
      <c r="E1370" t="s">
        <v>16</v>
      </c>
      <c r="F1370">
        <v>26</v>
      </c>
      <c r="G1370" t="s">
        <v>21</v>
      </c>
      <c r="H1370" s="1">
        <v>45372</v>
      </c>
      <c r="I1370" s="1">
        <v>45398</v>
      </c>
      <c r="J1370" t="str">
        <f t="shared" si="21"/>
        <v>Mar-2024</v>
      </c>
    </row>
    <row r="1371" spans="1:10">
      <c r="A1371">
        <v>1370</v>
      </c>
      <c r="B1371">
        <v>14143</v>
      </c>
      <c r="C1371" t="s">
        <v>23</v>
      </c>
      <c r="D1371">
        <v>94712.92</v>
      </c>
      <c r="E1371" t="s">
        <v>16</v>
      </c>
      <c r="F1371">
        <v>11</v>
      </c>
      <c r="G1371" t="s">
        <v>25</v>
      </c>
      <c r="H1371" s="1">
        <v>45647</v>
      </c>
      <c r="I1371" s="1">
        <v>45658</v>
      </c>
      <c r="J1371" t="str">
        <f t="shared" si="21"/>
        <v>Dec-2024</v>
      </c>
    </row>
    <row r="1372" spans="1:10">
      <c r="A1372">
        <v>1371</v>
      </c>
      <c r="B1372">
        <v>18770</v>
      </c>
      <c r="C1372" t="s">
        <v>23</v>
      </c>
      <c r="D1372">
        <v>157576.12</v>
      </c>
      <c r="E1372" t="s">
        <v>24</v>
      </c>
      <c r="G1372" t="s">
        <v>17</v>
      </c>
      <c r="H1372" s="1">
        <v>45502</v>
      </c>
      <c r="J1372" t="str">
        <f t="shared" si="21"/>
        <v>Jul-2024</v>
      </c>
    </row>
    <row r="1373" spans="1:10">
      <c r="A1373">
        <v>1372</v>
      </c>
      <c r="B1373">
        <v>17644</v>
      </c>
      <c r="C1373" t="s">
        <v>23</v>
      </c>
      <c r="D1373">
        <v>65304.94</v>
      </c>
      <c r="E1373" t="s">
        <v>16</v>
      </c>
      <c r="F1373">
        <v>15</v>
      </c>
      <c r="G1373" t="s">
        <v>17</v>
      </c>
      <c r="H1373" s="1">
        <v>45298</v>
      </c>
      <c r="I1373" s="1">
        <v>45313</v>
      </c>
      <c r="J1373" t="str">
        <f t="shared" si="21"/>
        <v>Jan-2024</v>
      </c>
    </row>
    <row r="1374" spans="1:10">
      <c r="A1374">
        <v>1373</v>
      </c>
      <c r="B1374">
        <v>12997</v>
      </c>
      <c r="C1374" t="s">
        <v>23</v>
      </c>
      <c r="D1374">
        <v>130419.83</v>
      </c>
      <c r="E1374" t="s">
        <v>16</v>
      </c>
      <c r="F1374">
        <v>34</v>
      </c>
      <c r="G1374" t="s">
        <v>20</v>
      </c>
      <c r="H1374" s="1">
        <v>45654</v>
      </c>
      <c r="I1374" s="1">
        <v>45688</v>
      </c>
      <c r="J1374" t="str">
        <f t="shared" si="21"/>
        <v>Dec-2024</v>
      </c>
    </row>
    <row r="1375" spans="1:10">
      <c r="A1375">
        <v>1374</v>
      </c>
      <c r="B1375">
        <v>15208</v>
      </c>
      <c r="C1375" t="s">
        <v>15</v>
      </c>
      <c r="D1375">
        <v>177031.42</v>
      </c>
      <c r="E1375" t="s">
        <v>16</v>
      </c>
      <c r="F1375">
        <v>6</v>
      </c>
      <c r="G1375" t="s">
        <v>25</v>
      </c>
      <c r="H1375" s="1">
        <v>45336</v>
      </c>
      <c r="I1375" s="1">
        <v>45342</v>
      </c>
      <c r="J1375" t="str">
        <f t="shared" si="21"/>
        <v>Feb-2024</v>
      </c>
    </row>
    <row r="1376" spans="1:10">
      <c r="A1376">
        <v>1375</v>
      </c>
      <c r="B1376">
        <v>19946</v>
      </c>
      <c r="C1376" t="s">
        <v>23</v>
      </c>
      <c r="D1376">
        <v>83419.34</v>
      </c>
      <c r="E1376" t="s">
        <v>24</v>
      </c>
      <c r="G1376" t="s">
        <v>17</v>
      </c>
      <c r="H1376" s="1">
        <v>45606</v>
      </c>
      <c r="J1376" t="str">
        <f t="shared" si="21"/>
        <v>Nov-2024</v>
      </c>
    </row>
    <row r="1377" spans="1:10">
      <c r="A1377">
        <v>1376</v>
      </c>
      <c r="B1377">
        <v>12979</v>
      </c>
      <c r="C1377" t="s">
        <v>23</v>
      </c>
      <c r="D1377">
        <v>17991.310000000001</v>
      </c>
      <c r="E1377" t="s">
        <v>16</v>
      </c>
      <c r="F1377">
        <v>23</v>
      </c>
      <c r="G1377" t="s">
        <v>21</v>
      </c>
      <c r="H1377" s="1">
        <v>45568</v>
      </c>
      <c r="I1377" s="1">
        <v>45591</v>
      </c>
      <c r="J1377" t="str">
        <f t="shared" si="21"/>
        <v>Oct-2024</v>
      </c>
    </row>
    <row r="1378" spans="1:10">
      <c r="A1378">
        <v>1377</v>
      </c>
      <c r="B1378">
        <v>13605</v>
      </c>
      <c r="C1378" t="s">
        <v>23</v>
      </c>
      <c r="D1378">
        <v>105629.91</v>
      </c>
      <c r="E1378" t="s">
        <v>16</v>
      </c>
      <c r="F1378">
        <v>18</v>
      </c>
      <c r="G1378" t="s">
        <v>20</v>
      </c>
      <c r="H1378" s="1">
        <v>45550</v>
      </c>
      <c r="I1378" s="1">
        <v>45568</v>
      </c>
      <c r="J1378" t="str">
        <f t="shared" si="21"/>
        <v>Sep-2024</v>
      </c>
    </row>
    <row r="1379" spans="1:10">
      <c r="A1379">
        <v>1378</v>
      </c>
      <c r="B1379">
        <v>10421</v>
      </c>
      <c r="C1379" t="s">
        <v>15</v>
      </c>
      <c r="D1379">
        <v>72464.639999999999</v>
      </c>
      <c r="E1379" t="s">
        <v>16</v>
      </c>
      <c r="F1379">
        <v>16</v>
      </c>
      <c r="G1379" t="s">
        <v>21</v>
      </c>
      <c r="H1379" s="1">
        <v>45433</v>
      </c>
      <c r="I1379" s="1">
        <v>45449</v>
      </c>
      <c r="J1379" t="str">
        <f t="shared" si="21"/>
        <v>May-2024</v>
      </c>
    </row>
    <row r="1380" spans="1:10">
      <c r="A1380">
        <v>1379</v>
      </c>
      <c r="B1380">
        <v>10610</v>
      </c>
      <c r="C1380" t="s">
        <v>18</v>
      </c>
      <c r="D1380">
        <v>136083.95000000001</v>
      </c>
      <c r="E1380" t="s">
        <v>16</v>
      </c>
      <c r="F1380">
        <v>40</v>
      </c>
      <c r="G1380" t="s">
        <v>25</v>
      </c>
      <c r="H1380" s="1">
        <v>45549</v>
      </c>
      <c r="I1380" s="1">
        <v>45589</v>
      </c>
      <c r="J1380" t="str">
        <f t="shared" si="21"/>
        <v>Sep-2024</v>
      </c>
    </row>
    <row r="1381" spans="1:10">
      <c r="A1381">
        <v>1380</v>
      </c>
      <c r="B1381">
        <v>18637</v>
      </c>
      <c r="C1381" t="s">
        <v>23</v>
      </c>
      <c r="D1381">
        <v>190451.42</v>
      </c>
      <c r="E1381" t="s">
        <v>16</v>
      </c>
      <c r="F1381">
        <v>41</v>
      </c>
      <c r="G1381" t="s">
        <v>25</v>
      </c>
      <c r="H1381" s="1">
        <v>45576</v>
      </c>
      <c r="I1381" s="1">
        <v>45617</v>
      </c>
      <c r="J1381" t="str">
        <f t="shared" si="21"/>
        <v>Oct-2024</v>
      </c>
    </row>
    <row r="1382" spans="1:10">
      <c r="A1382">
        <v>1381</v>
      </c>
      <c r="B1382">
        <v>19152</v>
      </c>
      <c r="C1382" t="s">
        <v>18</v>
      </c>
      <c r="D1382">
        <v>99693.62</v>
      </c>
      <c r="E1382" t="s">
        <v>16</v>
      </c>
      <c r="F1382">
        <v>29</v>
      </c>
      <c r="G1382" t="s">
        <v>25</v>
      </c>
      <c r="H1382" s="1">
        <v>45328</v>
      </c>
      <c r="I1382" s="1">
        <v>45357</v>
      </c>
      <c r="J1382" t="str">
        <f t="shared" si="21"/>
        <v>Feb-2024</v>
      </c>
    </row>
    <row r="1383" spans="1:10">
      <c r="A1383">
        <v>1382</v>
      </c>
      <c r="B1383">
        <v>10130</v>
      </c>
      <c r="C1383" t="s">
        <v>18</v>
      </c>
      <c r="D1383">
        <v>95907.09</v>
      </c>
      <c r="E1383" t="s">
        <v>16</v>
      </c>
      <c r="F1383">
        <v>3</v>
      </c>
      <c r="G1383" t="s">
        <v>20</v>
      </c>
      <c r="H1383" s="1">
        <v>45336</v>
      </c>
      <c r="I1383" s="1">
        <v>45339</v>
      </c>
      <c r="J1383" t="str">
        <f t="shared" si="21"/>
        <v>Feb-2024</v>
      </c>
    </row>
    <row r="1384" spans="1:10">
      <c r="A1384">
        <v>1383</v>
      </c>
      <c r="B1384">
        <v>12647</v>
      </c>
      <c r="C1384" t="s">
        <v>22</v>
      </c>
      <c r="D1384">
        <v>132644.04</v>
      </c>
      <c r="E1384" t="s">
        <v>16</v>
      </c>
      <c r="F1384">
        <v>19</v>
      </c>
      <c r="G1384" t="s">
        <v>17</v>
      </c>
      <c r="H1384" s="1">
        <v>45411</v>
      </c>
      <c r="I1384" s="1">
        <v>45430</v>
      </c>
      <c r="J1384" t="str">
        <f t="shared" si="21"/>
        <v>Apr-2024</v>
      </c>
    </row>
    <row r="1385" spans="1:10">
      <c r="A1385">
        <v>1384</v>
      </c>
      <c r="B1385">
        <v>16673</v>
      </c>
      <c r="C1385" t="s">
        <v>23</v>
      </c>
      <c r="D1385">
        <v>25182.01</v>
      </c>
      <c r="E1385" t="s">
        <v>16</v>
      </c>
      <c r="F1385">
        <v>28</v>
      </c>
      <c r="G1385" t="s">
        <v>20</v>
      </c>
      <c r="H1385" s="1">
        <v>45337</v>
      </c>
      <c r="I1385" s="1">
        <v>45365</v>
      </c>
      <c r="J1385" t="str">
        <f t="shared" si="21"/>
        <v>Feb-2024</v>
      </c>
    </row>
    <row r="1386" spans="1:10">
      <c r="A1386">
        <v>1385</v>
      </c>
      <c r="B1386">
        <v>13729</v>
      </c>
      <c r="C1386" t="s">
        <v>15</v>
      </c>
      <c r="D1386">
        <v>54433.71</v>
      </c>
      <c r="E1386" t="s">
        <v>19</v>
      </c>
      <c r="F1386">
        <v>22</v>
      </c>
      <c r="G1386" t="s">
        <v>21</v>
      </c>
      <c r="H1386" s="1">
        <v>45431</v>
      </c>
      <c r="I1386" s="1">
        <v>45453</v>
      </c>
      <c r="J1386" t="str">
        <f t="shared" si="21"/>
        <v>May-2024</v>
      </c>
    </row>
    <row r="1387" spans="1:10">
      <c r="A1387">
        <v>1386</v>
      </c>
      <c r="B1387">
        <v>14431</v>
      </c>
      <c r="C1387" t="s">
        <v>22</v>
      </c>
      <c r="D1387">
        <v>184200.97</v>
      </c>
      <c r="E1387" t="s">
        <v>16</v>
      </c>
      <c r="F1387">
        <v>24</v>
      </c>
      <c r="G1387" t="s">
        <v>20</v>
      </c>
      <c r="H1387" s="1">
        <v>45344</v>
      </c>
      <c r="I1387" s="1">
        <v>45368</v>
      </c>
      <c r="J1387" t="str">
        <f t="shared" si="21"/>
        <v>Feb-2024</v>
      </c>
    </row>
    <row r="1388" spans="1:10">
      <c r="A1388">
        <v>1387</v>
      </c>
      <c r="B1388">
        <v>11024</v>
      </c>
      <c r="C1388" t="s">
        <v>22</v>
      </c>
      <c r="D1388">
        <v>135638.81</v>
      </c>
      <c r="E1388" t="s">
        <v>19</v>
      </c>
      <c r="F1388">
        <v>8</v>
      </c>
      <c r="G1388" t="s">
        <v>21</v>
      </c>
      <c r="H1388" s="1">
        <v>45592</v>
      </c>
      <c r="I1388" s="1">
        <v>45600</v>
      </c>
      <c r="J1388" t="str">
        <f t="shared" si="21"/>
        <v>Oct-2024</v>
      </c>
    </row>
    <row r="1389" spans="1:10">
      <c r="A1389">
        <v>1388</v>
      </c>
      <c r="B1389">
        <v>19844</v>
      </c>
      <c r="C1389" t="s">
        <v>18</v>
      </c>
      <c r="D1389">
        <v>7621.59</v>
      </c>
      <c r="E1389" t="s">
        <v>16</v>
      </c>
      <c r="F1389">
        <v>20</v>
      </c>
      <c r="G1389" t="s">
        <v>20</v>
      </c>
      <c r="H1389" s="1">
        <v>45579</v>
      </c>
      <c r="I1389" s="1">
        <v>45599</v>
      </c>
      <c r="J1389" t="str">
        <f t="shared" si="21"/>
        <v>Oct-2024</v>
      </c>
    </row>
    <row r="1390" spans="1:10">
      <c r="A1390">
        <v>1389</v>
      </c>
      <c r="B1390">
        <v>17039</v>
      </c>
      <c r="C1390" t="s">
        <v>18</v>
      </c>
      <c r="D1390">
        <v>44901.97</v>
      </c>
      <c r="E1390" t="s">
        <v>16</v>
      </c>
      <c r="F1390">
        <v>10</v>
      </c>
      <c r="G1390" t="s">
        <v>17</v>
      </c>
      <c r="H1390" s="1">
        <v>45565</v>
      </c>
      <c r="I1390" s="1">
        <v>45575</v>
      </c>
      <c r="J1390" t="str">
        <f t="shared" si="21"/>
        <v>Sep-2024</v>
      </c>
    </row>
    <row r="1391" spans="1:10">
      <c r="A1391">
        <v>1390</v>
      </c>
      <c r="B1391">
        <v>10537</v>
      </c>
      <c r="C1391" t="s">
        <v>23</v>
      </c>
      <c r="D1391">
        <v>138153.26999999999</v>
      </c>
      <c r="E1391" t="s">
        <v>16</v>
      </c>
      <c r="F1391">
        <v>13</v>
      </c>
      <c r="G1391" t="s">
        <v>21</v>
      </c>
      <c r="H1391" s="1">
        <v>45560</v>
      </c>
      <c r="I1391" s="1">
        <v>45573</v>
      </c>
      <c r="J1391" t="str">
        <f t="shared" si="21"/>
        <v>Sep-2024</v>
      </c>
    </row>
    <row r="1392" spans="1:10">
      <c r="A1392">
        <v>1391</v>
      </c>
      <c r="B1392">
        <v>14591</v>
      </c>
      <c r="C1392" t="s">
        <v>18</v>
      </c>
      <c r="D1392">
        <v>154057.84</v>
      </c>
      <c r="E1392" t="s">
        <v>16</v>
      </c>
      <c r="F1392">
        <v>31</v>
      </c>
      <c r="G1392" t="s">
        <v>25</v>
      </c>
      <c r="H1392" s="1">
        <v>45570</v>
      </c>
      <c r="I1392" s="1">
        <v>45601</v>
      </c>
      <c r="J1392" t="str">
        <f t="shared" si="21"/>
        <v>Oct-2024</v>
      </c>
    </row>
    <row r="1393" spans="1:10">
      <c r="A1393">
        <v>1392</v>
      </c>
      <c r="B1393">
        <v>13083</v>
      </c>
      <c r="C1393" t="s">
        <v>18</v>
      </c>
      <c r="D1393">
        <v>168772.62</v>
      </c>
      <c r="E1393" t="s">
        <v>19</v>
      </c>
      <c r="F1393">
        <v>8</v>
      </c>
      <c r="G1393" t="s">
        <v>25</v>
      </c>
      <c r="H1393" s="1">
        <v>45353</v>
      </c>
      <c r="I1393" s="1">
        <v>45361</v>
      </c>
      <c r="J1393" t="str">
        <f t="shared" si="21"/>
        <v>Mar-2024</v>
      </c>
    </row>
    <row r="1394" spans="1:10">
      <c r="A1394">
        <v>1393</v>
      </c>
      <c r="B1394">
        <v>10507</v>
      </c>
      <c r="C1394" t="s">
        <v>18</v>
      </c>
      <c r="D1394">
        <v>61974.48</v>
      </c>
      <c r="E1394" t="s">
        <v>24</v>
      </c>
      <c r="G1394" t="s">
        <v>20</v>
      </c>
      <c r="H1394" s="1">
        <v>45345</v>
      </c>
      <c r="J1394" t="str">
        <f t="shared" si="21"/>
        <v>Feb-2024</v>
      </c>
    </row>
    <row r="1395" spans="1:10">
      <c r="A1395">
        <v>1394</v>
      </c>
      <c r="B1395">
        <v>13924</v>
      </c>
      <c r="C1395" t="s">
        <v>23</v>
      </c>
      <c r="D1395">
        <v>186550.58</v>
      </c>
      <c r="E1395" t="s">
        <v>16</v>
      </c>
      <c r="F1395">
        <v>18</v>
      </c>
      <c r="G1395" t="s">
        <v>25</v>
      </c>
      <c r="H1395" s="1">
        <v>45360</v>
      </c>
      <c r="I1395" s="1">
        <v>45378</v>
      </c>
      <c r="J1395" t="str">
        <f t="shared" si="21"/>
        <v>Mar-2024</v>
      </c>
    </row>
    <row r="1396" spans="1:10">
      <c r="A1396">
        <v>1395</v>
      </c>
      <c r="B1396">
        <v>18872</v>
      </c>
      <c r="C1396" t="s">
        <v>18</v>
      </c>
      <c r="D1396">
        <v>112824.64</v>
      </c>
      <c r="E1396" t="s">
        <v>16</v>
      </c>
      <c r="F1396">
        <v>12</v>
      </c>
      <c r="G1396" t="s">
        <v>21</v>
      </c>
      <c r="H1396" s="1">
        <v>45533</v>
      </c>
      <c r="I1396" s="1">
        <v>45545</v>
      </c>
      <c r="J1396" t="str">
        <f t="shared" si="21"/>
        <v>Aug-2024</v>
      </c>
    </row>
    <row r="1397" spans="1:10">
      <c r="A1397">
        <v>1396</v>
      </c>
      <c r="B1397">
        <v>12612</v>
      </c>
      <c r="C1397" t="s">
        <v>15</v>
      </c>
      <c r="D1397">
        <v>140825.10999999999</v>
      </c>
      <c r="E1397" t="s">
        <v>16</v>
      </c>
      <c r="F1397">
        <v>13</v>
      </c>
      <c r="G1397" t="s">
        <v>25</v>
      </c>
      <c r="H1397" s="1">
        <v>45561</v>
      </c>
      <c r="I1397" s="1">
        <v>45574</v>
      </c>
      <c r="J1397" t="str">
        <f t="shared" si="21"/>
        <v>Sep-2024</v>
      </c>
    </row>
    <row r="1398" spans="1:10">
      <c r="A1398">
        <v>1397</v>
      </c>
      <c r="B1398">
        <v>14876</v>
      </c>
      <c r="C1398" t="s">
        <v>23</v>
      </c>
      <c r="D1398">
        <v>121364.08</v>
      </c>
      <c r="E1398" t="s">
        <v>16</v>
      </c>
      <c r="F1398">
        <v>4</v>
      </c>
      <c r="G1398" t="s">
        <v>17</v>
      </c>
      <c r="H1398" s="1">
        <v>45543</v>
      </c>
      <c r="I1398" s="1">
        <v>45547</v>
      </c>
      <c r="J1398" t="str">
        <f t="shared" si="21"/>
        <v>Sep-2024</v>
      </c>
    </row>
    <row r="1399" spans="1:10">
      <c r="A1399">
        <v>1398</v>
      </c>
      <c r="B1399">
        <v>18951</v>
      </c>
      <c r="C1399" t="s">
        <v>15</v>
      </c>
      <c r="D1399">
        <v>28934.31</v>
      </c>
      <c r="E1399" t="s">
        <v>16</v>
      </c>
      <c r="F1399">
        <v>22</v>
      </c>
      <c r="G1399" t="s">
        <v>17</v>
      </c>
      <c r="H1399" s="1">
        <v>45645</v>
      </c>
      <c r="I1399" s="1">
        <v>45667</v>
      </c>
      <c r="J1399" t="str">
        <f t="shared" si="21"/>
        <v>Dec-2024</v>
      </c>
    </row>
    <row r="1400" spans="1:10">
      <c r="A1400">
        <v>1399</v>
      </c>
      <c r="B1400">
        <v>14223</v>
      </c>
      <c r="C1400" t="s">
        <v>18</v>
      </c>
      <c r="D1400">
        <v>192807.36</v>
      </c>
      <c r="E1400" t="s">
        <v>16</v>
      </c>
      <c r="F1400">
        <v>15</v>
      </c>
      <c r="G1400" t="s">
        <v>20</v>
      </c>
      <c r="H1400" s="1">
        <v>45575</v>
      </c>
      <c r="I1400" s="1">
        <v>45590</v>
      </c>
      <c r="J1400" t="str">
        <f t="shared" si="21"/>
        <v>Oct-2024</v>
      </c>
    </row>
    <row r="1401" spans="1:10">
      <c r="A1401">
        <v>1400</v>
      </c>
      <c r="B1401">
        <v>13147</v>
      </c>
      <c r="C1401" t="s">
        <v>15</v>
      </c>
      <c r="D1401">
        <v>28960.74</v>
      </c>
      <c r="E1401" t="s">
        <v>24</v>
      </c>
      <c r="G1401" t="s">
        <v>21</v>
      </c>
      <c r="H1401" s="1">
        <v>45642</v>
      </c>
      <c r="J1401" t="str">
        <f t="shared" si="21"/>
        <v>Dec-2024</v>
      </c>
    </row>
    <row r="1402" spans="1:10">
      <c r="A1402">
        <v>1401</v>
      </c>
      <c r="B1402">
        <v>12193</v>
      </c>
      <c r="C1402" t="s">
        <v>23</v>
      </c>
      <c r="D1402">
        <v>54701.98</v>
      </c>
      <c r="E1402" t="s">
        <v>16</v>
      </c>
      <c r="F1402">
        <v>43</v>
      </c>
      <c r="G1402" t="s">
        <v>17</v>
      </c>
      <c r="H1402" s="1">
        <v>45362</v>
      </c>
      <c r="I1402" s="1">
        <v>45405</v>
      </c>
      <c r="J1402" t="str">
        <f t="shared" si="21"/>
        <v>Mar-2024</v>
      </c>
    </row>
    <row r="1403" spans="1:10">
      <c r="A1403">
        <v>1402</v>
      </c>
      <c r="B1403">
        <v>18082</v>
      </c>
      <c r="C1403" t="s">
        <v>23</v>
      </c>
      <c r="D1403">
        <v>163657.44</v>
      </c>
      <c r="E1403" t="s">
        <v>24</v>
      </c>
      <c r="G1403" t="s">
        <v>17</v>
      </c>
      <c r="H1403" s="1">
        <v>45614</v>
      </c>
      <c r="J1403" t="str">
        <f t="shared" si="21"/>
        <v>Nov-2024</v>
      </c>
    </row>
    <row r="1404" spans="1:10">
      <c r="A1404">
        <v>1403</v>
      </c>
      <c r="B1404">
        <v>12546</v>
      </c>
      <c r="C1404" t="s">
        <v>22</v>
      </c>
      <c r="D1404">
        <v>125626.41</v>
      </c>
      <c r="E1404" t="s">
        <v>19</v>
      </c>
      <c r="F1404">
        <v>11</v>
      </c>
      <c r="G1404" t="s">
        <v>21</v>
      </c>
      <c r="H1404" s="1">
        <v>45391</v>
      </c>
      <c r="I1404" s="1">
        <v>45402</v>
      </c>
      <c r="J1404" t="str">
        <f t="shared" si="21"/>
        <v>Apr-2024</v>
      </c>
    </row>
    <row r="1405" spans="1:10">
      <c r="A1405">
        <v>1404</v>
      </c>
      <c r="B1405">
        <v>15061</v>
      </c>
      <c r="C1405" t="s">
        <v>23</v>
      </c>
      <c r="D1405">
        <v>168439.09</v>
      </c>
      <c r="E1405" t="s">
        <v>19</v>
      </c>
      <c r="F1405">
        <v>37</v>
      </c>
      <c r="G1405" t="s">
        <v>25</v>
      </c>
      <c r="H1405" s="1">
        <v>45352</v>
      </c>
      <c r="I1405" s="1">
        <v>45389</v>
      </c>
      <c r="J1405" t="str">
        <f t="shared" si="21"/>
        <v>Mar-2024</v>
      </c>
    </row>
    <row r="1406" spans="1:10">
      <c r="A1406">
        <v>1405</v>
      </c>
      <c r="B1406">
        <v>14655</v>
      </c>
      <c r="C1406" t="s">
        <v>15</v>
      </c>
      <c r="D1406">
        <v>105568.56</v>
      </c>
      <c r="E1406" t="s">
        <v>16</v>
      </c>
      <c r="F1406">
        <v>11</v>
      </c>
      <c r="G1406" t="s">
        <v>25</v>
      </c>
      <c r="H1406" s="1">
        <v>45394</v>
      </c>
      <c r="I1406" s="1">
        <v>45405</v>
      </c>
      <c r="J1406" t="str">
        <f t="shared" si="21"/>
        <v>Apr-2024</v>
      </c>
    </row>
    <row r="1407" spans="1:10">
      <c r="A1407">
        <v>1406</v>
      </c>
      <c r="B1407">
        <v>11222</v>
      </c>
      <c r="C1407" t="s">
        <v>23</v>
      </c>
      <c r="D1407">
        <v>78513.679999999993</v>
      </c>
      <c r="E1407" t="s">
        <v>16</v>
      </c>
      <c r="F1407">
        <v>18</v>
      </c>
      <c r="G1407" t="s">
        <v>20</v>
      </c>
      <c r="H1407" s="1">
        <v>45410</v>
      </c>
      <c r="I1407" s="1">
        <v>45428</v>
      </c>
      <c r="J1407" t="str">
        <f t="shared" si="21"/>
        <v>Apr-2024</v>
      </c>
    </row>
    <row r="1408" spans="1:10">
      <c r="A1408">
        <v>1407</v>
      </c>
      <c r="B1408">
        <v>17750</v>
      </c>
      <c r="C1408" t="s">
        <v>18</v>
      </c>
      <c r="D1408">
        <v>184759.87</v>
      </c>
      <c r="E1408" t="s">
        <v>16</v>
      </c>
      <c r="F1408">
        <v>26</v>
      </c>
      <c r="G1408" t="s">
        <v>25</v>
      </c>
      <c r="H1408" s="1">
        <v>45308</v>
      </c>
      <c r="I1408" s="1">
        <v>45334</v>
      </c>
      <c r="J1408" t="str">
        <f t="shared" si="21"/>
        <v>Jan-2024</v>
      </c>
    </row>
    <row r="1409" spans="1:10">
      <c r="A1409">
        <v>1408</v>
      </c>
      <c r="B1409">
        <v>15019</v>
      </c>
      <c r="C1409" t="s">
        <v>23</v>
      </c>
      <c r="D1409">
        <v>12069.2</v>
      </c>
      <c r="E1409" t="s">
        <v>16</v>
      </c>
      <c r="F1409">
        <v>28</v>
      </c>
      <c r="G1409" t="s">
        <v>21</v>
      </c>
      <c r="H1409" s="1">
        <v>45596</v>
      </c>
      <c r="I1409" s="1">
        <v>45624</v>
      </c>
      <c r="J1409" t="str">
        <f t="shared" si="21"/>
        <v>Oct-2024</v>
      </c>
    </row>
    <row r="1410" spans="1:10">
      <c r="A1410">
        <v>1409</v>
      </c>
      <c r="B1410">
        <v>13574</v>
      </c>
      <c r="C1410" t="s">
        <v>18</v>
      </c>
      <c r="D1410">
        <v>171945.39</v>
      </c>
      <c r="E1410" t="s">
        <v>16</v>
      </c>
      <c r="F1410">
        <v>34</v>
      </c>
      <c r="G1410" t="s">
        <v>17</v>
      </c>
      <c r="H1410" s="1">
        <v>45482</v>
      </c>
      <c r="I1410" s="1">
        <v>45516</v>
      </c>
      <c r="J1410" t="str">
        <f t="shared" si="21"/>
        <v>Jul-2024</v>
      </c>
    </row>
    <row r="1411" spans="1:10">
      <c r="A1411">
        <v>1410</v>
      </c>
      <c r="B1411">
        <v>15723</v>
      </c>
      <c r="C1411" t="s">
        <v>23</v>
      </c>
      <c r="D1411">
        <v>50009.47</v>
      </c>
      <c r="E1411" t="s">
        <v>24</v>
      </c>
      <c r="G1411" t="s">
        <v>25</v>
      </c>
      <c r="H1411" s="1">
        <v>45503</v>
      </c>
      <c r="J1411" t="str">
        <f t="shared" ref="J1411:J1474" si="22">TEXT(H1411,"mmm-yyyy")</f>
        <v>Jul-2024</v>
      </c>
    </row>
    <row r="1412" spans="1:10">
      <c r="A1412">
        <v>1411</v>
      </c>
      <c r="B1412">
        <v>16546</v>
      </c>
      <c r="C1412" t="s">
        <v>23</v>
      </c>
      <c r="D1412">
        <v>170503.58</v>
      </c>
      <c r="E1412" t="s">
        <v>19</v>
      </c>
      <c r="F1412">
        <v>14</v>
      </c>
      <c r="G1412" t="s">
        <v>20</v>
      </c>
      <c r="H1412" s="1">
        <v>45369</v>
      </c>
      <c r="I1412" s="1">
        <v>45383</v>
      </c>
      <c r="J1412" t="str">
        <f t="shared" si="22"/>
        <v>Mar-2024</v>
      </c>
    </row>
    <row r="1413" spans="1:10">
      <c r="A1413">
        <v>1412</v>
      </c>
      <c r="B1413">
        <v>13023</v>
      </c>
      <c r="C1413" t="s">
        <v>23</v>
      </c>
      <c r="D1413">
        <v>32143.34</v>
      </c>
      <c r="E1413" t="s">
        <v>19</v>
      </c>
      <c r="F1413">
        <v>2</v>
      </c>
      <c r="G1413" t="s">
        <v>25</v>
      </c>
      <c r="H1413" s="1">
        <v>45337</v>
      </c>
      <c r="I1413" s="1">
        <v>45339</v>
      </c>
      <c r="J1413" t="str">
        <f t="shared" si="22"/>
        <v>Feb-2024</v>
      </c>
    </row>
    <row r="1414" spans="1:10">
      <c r="A1414">
        <v>1413</v>
      </c>
      <c r="B1414">
        <v>13280</v>
      </c>
      <c r="C1414" t="s">
        <v>23</v>
      </c>
      <c r="D1414">
        <v>118142.7</v>
      </c>
      <c r="E1414" t="s">
        <v>19</v>
      </c>
      <c r="F1414">
        <v>32</v>
      </c>
      <c r="G1414" t="s">
        <v>21</v>
      </c>
      <c r="H1414" s="1">
        <v>45384</v>
      </c>
      <c r="I1414" s="1">
        <v>45416</v>
      </c>
      <c r="J1414" t="str">
        <f t="shared" si="22"/>
        <v>Apr-2024</v>
      </c>
    </row>
    <row r="1415" spans="1:10">
      <c r="A1415">
        <v>1414</v>
      </c>
      <c r="B1415">
        <v>19263</v>
      </c>
      <c r="C1415" t="s">
        <v>22</v>
      </c>
      <c r="D1415">
        <v>178181.04</v>
      </c>
      <c r="E1415" t="s">
        <v>16</v>
      </c>
      <c r="F1415">
        <v>34</v>
      </c>
      <c r="G1415" t="s">
        <v>20</v>
      </c>
      <c r="H1415" s="1">
        <v>45304</v>
      </c>
      <c r="I1415" s="1">
        <v>45338</v>
      </c>
      <c r="J1415" t="str">
        <f t="shared" si="22"/>
        <v>Jan-2024</v>
      </c>
    </row>
    <row r="1416" spans="1:10">
      <c r="A1416">
        <v>1415</v>
      </c>
      <c r="B1416">
        <v>10540</v>
      </c>
      <c r="C1416" t="s">
        <v>22</v>
      </c>
      <c r="D1416">
        <v>97340.23</v>
      </c>
      <c r="E1416" t="s">
        <v>16</v>
      </c>
      <c r="F1416">
        <v>22</v>
      </c>
      <c r="G1416" t="s">
        <v>25</v>
      </c>
      <c r="H1416" s="1">
        <v>45519</v>
      </c>
      <c r="I1416" s="1">
        <v>45541</v>
      </c>
      <c r="J1416" t="str">
        <f t="shared" si="22"/>
        <v>Aug-2024</v>
      </c>
    </row>
    <row r="1417" spans="1:10">
      <c r="A1417">
        <v>1416</v>
      </c>
      <c r="B1417">
        <v>10510</v>
      </c>
      <c r="C1417" t="s">
        <v>23</v>
      </c>
      <c r="D1417">
        <v>150580.5</v>
      </c>
      <c r="E1417" t="s">
        <v>16</v>
      </c>
      <c r="F1417">
        <v>17</v>
      </c>
      <c r="G1417" t="s">
        <v>20</v>
      </c>
      <c r="H1417" s="1">
        <v>45592</v>
      </c>
      <c r="I1417" s="1">
        <v>45609</v>
      </c>
      <c r="J1417" t="str">
        <f t="shared" si="22"/>
        <v>Oct-2024</v>
      </c>
    </row>
    <row r="1418" spans="1:10">
      <c r="A1418">
        <v>1417</v>
      </c>
      <c r="B1418">
        <v>16162</v>
      </c>
      <c r="C1418" t="s">
        <v>18</v>
      </c>
      <c r="D1418">
        <v>161910.97</v>
      </c>
      <c r="E1418" t="s">
        <v>16</v>
      </c>
      <c r="F1418">
        <v>40</v>
      </c>
      <c r="G1418" t="s">
        <v>21</v>
      </c>
      <c r="H1418" s="1">
        <v>45308</v>
      </c>
      <c r="I1418" s="1">
        <v>45348</v>
      </c>
      <c r="J1418" t="str">
        <f t="shared" si="22"/>
        <v>Jan-2024</v>
      </c>
    </row>
    <row r="1419" spans="1:10">
      <c r="A1419">
        <v>1418</v>
      </c>
      <c r="B1419">
        <v>16702</v>
      </c>
      <c r="C1419" t="s">
        <v>23</v>
      </c>
      <c r="D1419">
        <v>148616.37</v>
      </c>
      <c r="E1419" t="s">
        <v>19</v>
      </c>
      <c r="F1419">
        <v>24</v>
      </c>
      <c r="G1419" t="s">
        <v>17</v>
      </c>
      <c r="H1419" s="1">
        <v>45594</v>
      </c>
      <c r="I1419" s="1">
        <v>45618</v>
      </c>
      <c r="J1419" t="str">
        <f t="shared" si="22"/>
        <v>Oct-2024</v>
      </c>
    </row>
    <row r="1420" spans="1:10">
      <c r="A1420">
        <v>1419</v>
      </c>
      <c r="B1420">
        <v>10344</v>
      </c>
      <c r="C1420" t="s">
        <v>18</v>
      </c>
      <c r="D1420">
        <v>185439.3</v>
      </c>
      <c r="E1420" t="s">
        <v>16</v>
      </c>
      <c r="F1420">
        <v>11</v>
      </c>
      <c r="G1420" t="s">
        <v>21</v>
      </c>
      <c r="H1420" s="1">
        <v>45353</v>
      </c>
      <c r="I1420" s="1">
        <v>45364</v>
      </c>
      <c r="J1420" t="str">
        <f t="shared" si="22"/>
        <v>Mar-2024</v>
      </c>
    </row>
    <row r="1421" spans="1:10">
      <c r="A1421">
        <v>1420</v>
      </c>
      <c r="B1421">
        <v>15179</v>
      </c>
      <c r="C1421" t="s">
        <v>15</v>
      </c>
      <c r="D1421">
        <v>92132.67</v>
      </c>
      <c r="E1421" t="s">
        <v>16</v>
      </c>
      <c r="F1421">
        <v>34</v>
      </c>
      <c r="G1421" t="s">
        <v>21</v>
      </c>
      <c r="H1421" s="1">
        <v>45334</v>
      </c>
      <c r="I1421" s="1">
        <v>45368</v>
      </c>
      <c r="J1421" t="str">
        <f t="shared" si="22"/>
        <v>Feb-2024</v>
      </c>
    </row>
    <row r="1422" spans="1:10">
      <c r="A1422">
        <v>1421</v>
      </c>
      <c r="B1422">
        <v>18083</v>
      </c>
      <c r="C1422" t="s">
        <v>22</v>
      </c>
      <c r="D1422">
        <v>38759.46</v>
      </c>
      <c r="E1422" t="s">
        <v>16</v>
      </c>
      <c r="F1422">
        <v>23</v>
      </c>
      <c r="G1422" t="s">
        <v>21</v>
      </c>
      <c r="H1422" s="1">
        <v>45359</v>
      </c>
      <c r="I1422" s="1">
        <v>45382</v>
      </c>
      <c r="J1422" t="str">
        <f t="shared" si="22"/>
        <v>Mar-2024</v>
      </c>
    </row>
    <row r="1423" spans="1:10">
      <c r="A1423">
        <v>1422</v>
      </c>
      <c r="B1423">
        <v>16372</v>
      </c>
      <c r="C1423" t="s">
        <v>23</v>
      </c>
      <c r="D1423">
        <v>14323.16</v>
      </c>
      <c r="E1423" t="s">
        <v>16</v>
      </c>
      <c r="F1423">
        <v>42</v>
      </c>
      <c r="G1423" t="s">
        <v>21</v>
      </c>
      <c r="H1423" s="1">
        <v>45503</v>
      </c>
      <c r="I1423" s="1">
        <v>45545</v>
      </c>
      <c r="J1423" t="str">
        <f t="shared" si="22"/>
        <v>Jul-2024</v>
      </c>
    </row>
    <row r="1424" spans="1:10">
      <c r="A1424">
        <v>1423</v>
      </c>
      <c r="B1424">
        <v>12480</v>
      </c>
      <c r="C1424" t="s">
        <v>18</v>
      </c>
      <c r="D1424">
        <v>53059.67</v>
      </c>
      <c r="E1424" t="s">
        <v>16</v>
      </c>
      <c r="F1424">
        <v>7</v>
      </c>
      <c r="G1424" t="s">
        <v>17</v>
      </c>
      <c r="H1424" s="1">
        <v>45494</v>
      </c>
      <c r="I1424" s="1">
        <v>45501</v>
      </c>
      <c r="J1424" t="str">
        <f t="shared" si="22"/>
        <v>Jul-2024</v>
      </c>
    </row>
    <row r="1425" spans="1:10">
      <c r="A1425">
        <v>1424</v>
      </c>
      <c r="B1425">
        <v>18590</v>
      </c>
      <c r="C1425" t="s">
        <v>23</v>
      </c>
      <c r="D1425">
        <v>32923.51</v>
      </c>
      <c r="E1425" t="s">
        <v>19</v>
      </c>
      <c r="F1425">
        <v>37</v>
      </c>
      <c r="G1425" t="s">
        <v>17</v>
      </c>
      <c r="H1425" s="1">
        <v>45505</v>
      </c>
      <c r="I1425" s="1">
        <v>45542</v>
      </c>
      <c r="J1425" t="str">
        <f t="shared" si="22"/>
        <v>Aug-2024</v>
      </c>
    </row>
    <row r="1426" spans="1:10">
      <c r="A1426">
        <v>1425</v>
      </c>
      <c r="B1426">
        <v>15819</v>
      </c>
      <c r="C1426" t="s">
        <v>22</v>
      </c>
      <c r="D1426">
        <v>113800</v>
      </c>
      <c r="E1426" t="s">
        <v>16</v>
      </c>
      <c r="F1426">
        <v>11</v>
      </c>
      <c r="G1426" t="s">
        <v>20</v>
      </c>
      <c r="H1426" s="1">
        <v>45400</v>
      </c>
      <c r="I1426" s="1">
        <v>45411</v>
      </c>
      <c r="J1426" t="str">
        <f t="shared" si="22"/>
        <v>Apr-2024</v>
      </c>
    </row>
    <row r="1427" spans="1:10">
      <c r="A1427">
        <v>1426</v>
      </c>
      <c r="B1427">
        <v>16742</v>
      </c>
      <c r="C1427" t="s">
        <v>23</v>
      </c>
      <c r="D1427">
        <v>41064.339999999997</v>
      </c>
      <c r="E1427" t="s">
        <v>16</v>
      </c>
      <c r="F1427">
        <v>17</v>
      </c>
      <c r="G1427" t="s">
        <v>25</v>
      </c>
      <c r="H1427" s="1">
        <v>45575</v>
      </c>
      <c r="I1427" s="1">
        <v>45592</v>
      </c>
      <c r="J1427" t="str">
        <f t="shared" si="22"/>
        <v>Oct-2024</v>
      </c>
    </row>
    <row r="1428" spans="1:10">
      <c r="A1428">
        <v>1427</v>
      </c>
      <c r="B1428">
        <v>19486</v>
      </c>
      <c r="C1428" t="s">
        <v>18</v>
      </c>
      <c r="D1428">
        <v>12592.07</v>
      </c>
      <c r="E1428" t="s">
        <v>16</v>
      </c>
      <c r="F1428">
        <v>14</v>
      </c>
      <c r="G1428" t="s">
        <v>17</v>
      </c>
      <c r="H1428" s="1">
        <v>45385</v>
      </c>
      <c r="I1428" s="1">
        <v>45399</v>
      </c>
      <c r="J1428" t="str">
        <f t="shared" si="22"/>
        <v>Apr-2024</v>
      </c>
    </row>
    <row r="1429" spans="1:10">
      <c r="A1429">
        <v>1428</v>
      </c>
      <c r="B1429">
        <v>16900</v>
      </c>
      <c r="C1429" t="s">
        <v>18</v>
      </c>
      <c r="D1429">
        <v>12018.02</v>
      </c>
      <c r="E1429" t="s">
        <v>16</v>
      </c>
      <c r="F1429">
        <v>21</v>
      </c>
      <c r="G1429" t="s">
        <v>17</v>
      </c>
      <c r="H1429" s="1">
        <v>45516</v>
      </c>
      <c r="I1429" s="1">
        <v>45537</v>
      </c>
      <c r="J1429" t="str">
        <f t="shared" si="22"/>
        <v>Aug-2024</v>
      </c>
    </row>
    <row r="1430" spans="1:10">
      <c r="A1430">
        <v>1429</v>
      </c>
      <c r="B1430">
        <v>15638</v>
      </c>
      <c r="C1430" t="s">
        <v>18</v>
      </c>
      <c r="D1430">
        <v>167156.04999999999</v>
      </c>
      <c r="E1430" t="s">
        <v>16</v>
      </c>
      <c r="F1430">
        <v>5</v>
      </c>
      <c r="G1430" t="s">
        <v>25</v>
      </c>
      <c r="H1430" s="1">
        <v>45516</v>
      </c>
      <c r="I1430" s="1">
        <v>45521</v>
      </c>
      <c r="J1430" t="str">
        <f t="shared" si="22"/>
        <v>Aug-2024</v>
      </c>
    </row>
    <row r="1431" spans="1:10">
      <c r="A1431">
        <v>1430</v>
      </c>
      <c r="B1431">
        <v>15900</v>
      </c>
      <c r="C1431" t="s">
        <v>23</v>
      </c>
      <c r="D1431">
        <v>120332.74</v>
      </c>
      <c r="E1431" t="s">
        <v>24</v>
      </c>
      <c r="G1431" t="s">
        <v>17</v>
      </c>
      <c r="H1431" s="1">
        <v>45530</v>
      </c>
      <c r="J1431" t="str">
        <f t="shared" si="22"/>
        <v>Aug-2024</v>
      </c>
    </row>
    <row r="1432" spans="1:10">
      <c r="A1432">
        <v>1431</v>
      </c>
      <c r="B1432">
        <v>15523</v>
      </c>
      <c r="C1432" t="s">
        <v>22</v>
      </c>
      <c r="D1432">
        <v>74826.63</v>
      </c>
      <c r="E1432" t="s">
        <v>16</v>
      </c>
      <c r="F1432">
        <v>23</v>
      </c>
      <c r="G1432" t="s">
        <v>21</v>
      </c>
      <c r="H1432" s="1">
        <v>45409</v>
      </c>
      <c r="I1432" s="1">
        <v>45432</v>
      </c>
      <c r="J1432" t="str">
        <f t="shared" si="22"/>
        <v>Apr-2024</v>
      </c>
    </row>
    <row r="1433" spans="1:10">
      <c r="A1433">
        <v>1432</v>
      </c>
      <c r="B1433">
        <v>13849</v>
      </c>
      <c r="C1433" t="s">
        <v>23</v>
      </c>
      <c r="D1433">
        <v>179374.47</v>
      </c>
      <c r="E1433" t="s">
        <v>16</v>
      </c>
      <c r="F1433">
        <v>30</v>
      </c>
      <c r="G1433" t="s">
        <v>21</v>
      </c>
      <c r="H1433" s="1">
        <v>45382</v>
      </c>
      <c r="I1433" s="1">
        <v>45412</v>
      </c>
      <c r="J1433" t="str">
        <f t="shared" si="22"/>
        <v>Mar-2024</v>
      </c>
    </row>
    <row r="1434" spans="1:10">
      <c r="A1434">
        <v>1433</v>
      </c>
      <c r="B1434">
        <v>11777</v>
      </c>
      <c r="C1434" t="s">
        <v>18</v>
      </c>
      <c r="D1434">
        <v>18688.34</v>
      </c>
      <c r="E1434" t="s">
        <v>16</v>
      </c>
      <c r="F1434">
        <v>17</v>
      </c>
      <c r="G1434" t="s">
        <v>25</v>
      </c>
      <c r="H1434" s="1">
        <v>45631</v>
      </c>
      <c r="I1434" s="1">
        <v>45648</v>
      </c>
      <c r="J1434" t="str">
        <f t="shared" si="22"/>
        <v>Dec-2024</v>
      </c>
    </row>
    <row r="1435" spans="1:10">
      <c r="A1435">
        <v>1434</v>
      </c>
      <c r="B1435">
        <v>18571</v>
      </c>
      <c r="C1435" t="s">
        <v>23</v>
      </c>
      <c r="D1435">
        <v>196162.8</v>
      </c>
      <c r="E1435" t="s">
        <v>16</v>
      </c>
      <c r="F1435">
        <v>44</v>
      </c>
      <c r="G1435" t="s">
        <v>20</v>
      </c>
      <c r="H1435" s="1">
        <v>45580</v>
      </c>
      <c r="I1435" s="1">
        <v>45624</v>
      </c>
      <c r="J1435" t="str">
        <f t="shared" si="22"/>
        <v>Oct-2024</v>
      </c>
    </row>
    <row r="1436" spans="1:10">
      <c r="A1436">
        <v>1435</v>
      </c>
      <c r="B1436">
        <v>13763</v>
      </c>
      <c r="C1436" t="s">
        <v>23</v>
      </c>
      <c r="D1436">
        <v>125176.9</v>
      </c>
      <c r="E1436" t="s">
        <v>16</v>
      </c>
      <c r="F1436">
        <v>44</v>
      </c>
      <c r="G1436" t="s">
        <v>20</v>
      </c>
      <c r="H1436" s="1">
        <v>45572</v>
      </c>
      <c r="I1436" s="1">
        <v>45616</v>
      </c>
      <c r="J1436" t="str">
        <f t="shared" si="22"/>
        <v>Oct-2024</v>
      </c>
    </row>
    <row r="1437" spans="1:10">
      <c r="A1437">
        <v>1436</v>
      </c>
      <c r="B1437">
        <v>19853</v>
      </c>
      <c r="C1437" t="s">
        <v>18</v>
      </c>
      <c r="D1437">
        <v>40775.53</v>
      </c>
      <c r="E1437" t="s">
        <v>16</v>
      </c>
      <c r="F1437">
        <v>24</v>
      </c>
      <c r="G1437" t="s">
        <v>25</v>
      </c>
      <c r="H1437" s="1">
        <v>45310</v>
      </c>
      <c r="I1437" s="1">
        <v>45334</v>
      </c>
      <c r="J1437" t="str">
        <f t="shared" si="22"/>
        <v>Jan-2024</v>
      </c>
    </row>
    <row r="1438" spans="1:10">
      <c r="A1438">
        <v>1437</v>
      </c>
      <c r="B1438">
        <v>13058</v>
      </c>
      <c r="C1438" t="s">
        <v>23</v>
      </c>
      <c r="D1438">
        <v>137418.47</v>
      </c>
      <c r="E1438" t="s">
        <v>16</v>
      </c>
      <c r="F1438">
        <v>31</v>
      </c>
      <c r="G1438" t="s">
        <v>25</v>
      </c>
      <c r="H1438" s="1">
        <v>45466</v>
      </c>
      <c r="I1438" s="1">
        <v>45497</v>
      </c>
      <c r="J1438" t="str">
        <f t="shared" si="22"/>
        <v>Jun-2024</v>
      </c>
    </row>
    <row r="1439" spans="1:10">
      <c r="A1439">
        <v>1438</v>
      </c>
      <c r="B1439">
        <v>19498</v>
      </c>
      <c r="C1439" t="s">
        <v>23</v>
      </c>
      <c r="D1439">
        <v>153859.35</v>
      </c>
      <c r="E1439" t="s">
        <v>19</v>
      </c>
      <c r="F1439">
        <v>31</v>
      </c>
      <c r="G1439" t="s">
        <v>21</v>
      </c>
      <c r="H1439" s="1">
        <v>45397</v>
      </c>
      <c r="I1439" s="1">
        <v>45428</v>
      </c>
      <c r="J1439" t="str">
        <f t="shared" si="22"/>
        <v>Apr-2024</v>
      </c>
    </row>
    <row r="1440" spans="1:10">
      <c r="A1440">
        <v>1439</v>
      </c>
      <c r="B1440">
        <v>12465</v>
      </c>
      <c r="C1440" t="s">
        <v>23</v>
      </c>
      <c r="D1440">
        <v>88721.84</v>
      </c>
      <c r="E1440" t="s">
        <v>16</v>
      </c>
      <c r="F1440">
        <v>44</v>
      </c>
      <c r="G1440" t="s">
        <v>20</v>
      </c>
      <c r="H1440" s="1">
        <v>45580</v>
      </c>
      <c r="I1440" s="1">
        <v>45624</v>
      </c>
      <c r="J1440" t="str">
        <f t="shared" si="22"/>
        <v>Oct-2024</v>
      </c>
    </row>
    <row r="1441" spans="1:10">
      <c r="A1441">
        <v>1440</v>
      </c>
      <c r="B1441">
        <v>14451</v>
      </c>
      <c r="C1441" t="s">
        <v>23</v>
      </c>
      <c r="D1441">
        <v>173018.36</v>
      </c>
      <c r="E1441" t="s">
        <v>16</v>
      </c>
      <c r="F1441">
        <v>4</v>
      </c>
      <c r="G1441" t="s">
        <v>17</v>
      </c>
      <c r="H1441" s="1">
        <v>45539</v>
      </c>
      <c r="I1441" s="1">
        <v>45543</v>
      </c>
      <c r="J1441" t="str">
        <f t="shared" si="22"/>
        <v>Sep-2024</v>
      </c>
    </row>
    <row r="1442" spans="1:10">
      <c r="A1442">
        <v>1441</v>
      </c>
      <c r="B1442">
        <v>10015</v>
      </c>
      <c r="C1442" t="s">
        <v>18</v>
      </c>
      <c r="D1442">
        <v>34392.82</v>
      </c>
      <c r="E1442" t="s">
        <v>16</v>
      </c>
      <c r="F1442">
        <v>25</v>
      </c>
      <c r="G1442" t="s">
        <v>21</v>
      </c>
      <c r="H1442" s="1">
        <v>45614</v>
      </c>
      <c r="I1442" s="1">
        <v>45639</v>
      </c>
      <c r="J1442" t="str">
        <f t="shared" si="22"/>
        <v>Nov-2024</v>
      </c>
    </row>
    <row r="1443" spans="1:10">
      <c r="A1443">
        <v>1442</v>
      </c>
      <c r="B1443">
        <v>14410</v>
      </c>
      <c r="C1443" t="s">
        <v>15</v>
      </c>
      <c r="D1443">
        <v>59373.33</v>
      </c>
      <c r="E1443" t="s">
        <v>16</v>
      </c>
      <c r="F1443">
        <v>38</v>
      </c>
      <c r="G1443" t="s">
        <v>25</v>
      </c>
      <c r="H1443" s="1">
        <v>45433</v>
      </c>
      <c r="I1443" s="1">
        <v>45471</v>
      </c>
      <c r="J1443" t="str">
        <f t="shared" si="22"/>
        <v>May-2024</v>
      </c>
    </row>
    <row r="1444" spans="1:10">
      <c r="A1444">
        <v>1443</v>
      </c>
      <c r="B1444">
        <v>12580</v>
      </c>
      <c r="C1444" t="s">
        <v>23</v>
      </c>
      <c r="D1444">
        <v>23231.01</v>
      </c>
      <c r="E1444" t="s">
        <v>19</v>
      </c>
      <c r="F1444">
        <v>14</v>
      </c>
      <c r="G1444" t="s">
        <v>20</v>
      </c>
      <c r="H1444" s="1">
        <v>45589</v>
      </c>
      <c r="I1444" s="1">
        <v>45603</v>
      </c>
      <c r="J1444" t="str">
        <f t="shared" si="22"/>
        <v>Oct-2024</v>
      </c>
    </row>
    <row r="1445" spans="1:10">
      <c r="A1445">
        <v>1444</v>
      </c>
      <c r="B1445">
        <v>15135</v>
      </c>
      <c r="C1445" t="s">
        <v>23</v>
      </c>
      <c r="D1445">
        <v>46121.18</v>
      </c>
      <c r="E1445" t="s">
        <v>24</v>
      </c>
      <c r="G1445" t="s">
        <v>17</v>
      </c>
      <c r="H1445" s="1">
        <v>45484</v>
      </c>
      <c r="J1445" t="str">
        <f t="shared" si="22"/>
        <v>Jul-2024</v>
      </c>
    </row>
    <row r="1446" spans="1:10">
      <c r="A1446">
        <v>1445</v>
      </c>
      <c r="B1446">
        <v>17948</v>
      </c>
      <c r="C1446" t="s">
        <v>23</v>
      </c>
      <c r="D1446">
        <v>51552.12</v>
      </c>
      <c r="E1446" t="s">
        <v>16</v>
      </c>
      <c r="F1446">
        <v>33</v>
      </c>
      <c r="G1446" t="s">
        <v>17</v>
      </c>
      <c r="H1446" s="1">
        <v>45642</v>
      </c>
      <c r="I1446" s="1">
        <v>45675</v>
      </c>
      <c r="J1446" t="str">
        <f t="shared" si="22"/>
        <v>Dec-2024</v>
      </c>
    </row>
    <row r="1447" spans="1:10">
      <c r="A1447">
        <v>1446</v>
      </c>
      <c r="B1447">
        <v>12592</v>
      </c>
      <c r="C1447" t="s">
        <v>23</v>
      </c>
      <c r="D1447">
        <v>183938.47</v>
      </c>
      <c r="E1447" t="s">
        <v>19</v>
      </c>
      <c r="F1447">
        <v>38</v>
      </c>
      <c r="G1447" t="s">
        <v>21</v>
      </c>
      <c r="H1447" s="1">
        <v>45594</v>
      </c>
      <c r="I1447" s="1">
        <v>45632</v>
      </c>
      <c r="J1447" t="str">
        <f t="shared" si="22"/>
        <v>Oct-2024</v>
      </c>
    </row>
    <row r="1448" spans="1:10">
      <c r="A1448">
        <v>1447</v>
      </c>
      <c r="B1448">
        <v>14789</v>
      </c>
      <c r="C1448" t="s">
        <v>18</v>
      </c>
      <c r="D1448">
        <v>20231.39</v>
      </c>
      <c r="E1448" t="s">
        <v>19</v>
      </c>
      <c r="F1448">
        <v>13</v>
      </c>
      <c r="G1448" t="s">
        <v>20</v>
      </c>
      <c r="H1448" s="1">
        <v>45582</v>
      </c>
      <c r="I1448" s="1">
        <v>45595</v>
      </c>
      <c r="J1448" t="str">
        <f t="shared" si="22"/>
        <v>Oct-2024</v>
      </c>
    </row>
    <row r="1449" spans="1:10">
      <c r="A1449">
        <v>1448</v>
      </c>
      <c r="B1449">
        <v>18260</v>
      </c>
      <c r="C1449" t="s">
        <v>18</v>
      </c>
      <c r="D1449">
        <v>88345.95</v>
      </c>
      <c r="E1449" t="s">
        <v>24</v>
      </c>
      <c r="G1449" t="s">
        <v>20</v>
      </c>
      <c r="H1449" s="1">
        <v>45623</v>
      </c>
      <c r="J1449" t="str">
        <f t="shared" si="22"/>
        <v>Nov-2024</v>
      </c>
    </row>
    <row r="1450" spans="1:10">
      <c r="A1450">
        <v>1449</v>
      </c>
      <c r="B1450">
        <v>18602</v>
      </c>
      <c r="C1450" t="s">
        <v>23</v>
      </c>
      <c r="D1450">
        <v>108817.74</v>
      </c>
      <c r="E1450" t="s">
        <v>16</v>
      </c>
      <c r="F1450">
        <v>25</v>
      </c>
      <c r="G1450" t="s">
        <v>25</v>
      </c>
      <c r="H1450" s="1">
        <v>45499</v>
      </c>
      <c r="I1450" s="1">
        <v>45524</v>
      </c>
      <c r="J1450" t="str">
        <f t="shared" si="22"/>
        <v>Jul-2024</v>
      </c>
    </row>
    <row r="1451" spans="1:10">
      <c r="A1451">
        <v>1450</v>
      </c>
      <c r="B1451">
        <v>17232</v>
      </c>
      <c r="C1451" t="s">
        <v>23</v>
      </c>
      <c r="D1451">
        <v>180245.15</v>
      </c>
      <c r="E1451" t="s">
        <v>16</v>
      </c>
      <c r="F1451">
        <v>17</v>
      </c>
      <c r="G1451" t="s">
        <v>20</v>
      </c>
      <c r="H1451" s="1">
        <v>45539</v>
      </c>
      <c r="I1451" s="1">
        <v>45556</v>
      </c>
      <c r="J1451" t="str">
        <f t="shared" si="22"/>
        <v>Sep-2024</v>
      </c>
    </row>
    <row r="1452" spans="1:10">
      <c r="A1452">
        <v>1451</v>
      </c>
      <c r="B1452">
        <v>18093</v>
      </c>
      <c r="C1452" t="s">
        <v>23</v>
      </c>
      <c r="D1452">
        <v>199550.76</v>
      </c>
      <c r="E1452" t="s">
        <v>16</v>
      </c>
      <c r="F1452">
        <v>33</v>
      </c>
      <c r="G1452" t="s">
        <v>20</v>
      </c>
      <c r="H1452" s="1">
        <v>45433</v>
      </c>
      <c r="I1452" s="1">
        <v>45466</v>
      </c>
      <c r="J1452" t="str">
        <f t="shared" si="22"/>
        <v>May-2024</v>
      </c>
    </row>
    <row r="1453" spans="1:10">
      <c r="A1453">
        <v>1452</v>
      </c>
      <c r="B1453">
        <v>10918</v>
      </c>
      <c r="C1453" t="s">
        <v>15</v>
      </c>
      <c r="D1453">
        <v>151910.68</v>
      </c>
      <c r="E1453" t="s">
        <v>19</v>
      </c>
      <c r="F1453">
        <v>35</v>
      </c>
      <c r="G1453" t="s">
        <v>21</v>
      </c>
      <c r="H1453" s="1">
        <v>45602</v>
      </c>
      <c r="I1453" s="1">
        <v>45637</v>
      </c>
      <c r="J1453" t="str">
        <f t="shared" si="22"/>
        <v>Nov-2024</v>
      </c>
    </row>
    <row r="1454" spans="1:10">
      <c r="A1454">
        <v>1453</v>
      </c>
      <c r="B1454">
        <v>14835</v>
      </c>
      <c r="C1454" t="s">
        <v>22</v>
      </c>
      <c r="D1454">
        <v>194304.24</v>
      </c>
      <c r="E1454" t="s">
        <v>16</v>
      </c>
      <c r="F1454">
        <v>36</v>
      </c>
      <c r="G1454" t="s">
        <v>20</v>
      </c>
      <c r="H1454" s="1">
        <v>45513</v>
      </c>
      <c r="I1454" s="1">
        <v>45549</v>
      </c>
      <c r="J1454" t="str">
        <f t="shared" si="22"/>
        <v>Aug-2024</v>
      </c>
    </row>
    <row r="1455" spans="1:10">
      <c r="A1455">
        <v>1454</v>
      </c>
      <c r="B1455">
        <v>19682</v>
      </c>
      <c r="C1455" t="s">
        <v>23</v>
      </c>
      <c r="D1455">
        <v>158484.72</v>
      </c>
      <c r="E1455" t="s">
        <v>16</v>
      </c>
      <c r="F1455">
        <v>33</v>
      </c>
      <c r="G1455" t="s">
        <v>17</v>
      </c>
      <c r="H1455" s="1">
        <v>45516</v>
      </c>
      <c r="I1455" s="1">
        <v>45549</v>
      </c>
      <c r="J1455" t="str">
        <f t="shared" si="22"/>
        <v>Aug-2024</v>
      </c>
    </row>
    <row r="1456" spans="1:10">
      <c r="A1456">
        <v>1455</v>
      </c>
      <c r="B1456">
        <v>13343</v>
      </c>
      <c r="C1456" t="s">
        <v>23</v>
      </c>
      <c r="D1456">
        <v>192824.51</v>
      </c>
      <c r="E1456" t="s">
        <v>16</v>
      </c>
      <c r="F1456">
        <v>18</v>
      </c>
      <c r="G1456" t="s">
        <v>21</v>
      </c>
      <c r="H1456" s="1">
        <v>45645</v>
      </c>
      <c r="I1456" s="1">
        <v>45663</v>
      </c>
      <c r="J1456" t="str">
        <f t="shared" si="22"/>
        <v>Dec-2024</v>
      </c>
    </row>
    <row r="1457" spans="1:10">
      <c r="A1457">
        <v>1456</v>
      </c>
      <c r="B1457">
        <v>12486</v>
      </c>
      <c r="C1457" t="s">
        <v>15</v>
      </c>
      <c r="D1457">
        <v>142917.79</v>
      </c>
      <c r="E1457" t="s">
        <v>16</v>
      </c>
      <c r="F1457">
        <v>3</v>
      </c>
      <c r="G1457" t="s">
        <v>21</v>
      </c>
      <c r="H1457" s="1">
        <v>45475</v>
      </c>
      <c r="I1457" s="1">
        <v>45478</v>
      </c>
      <c r="J1457" t="str">
        <f t="shared" si="22"/>
        <v>Jul-2024</v>
      </c>
    </row>
    <row r="1458" spans="1:10">
      <c r="A1458">
        <v>1457</v>
      </c>
      <c r="B1458">
        <v>16873</v>
      </c>
      <c r="C1458" t="s">
        <v>22</v>
      </c>
      <c r="D1458">
        <v>20553.87</v>
      </c>
      <c r="E1458" t="s">
        <v>16</v>
      </c>
      <c r="F1458">
        <v>27</v>
      </c>
      <c r="G1458" t="s">
        <v>25</v>
      </c>
      <c r="H1458" s="1">
        <v>45655</v>
      </c>
      <c r="I1458" s="1">
        <v>45682</v>
      </c>
      <c r="J1458" t="str">
        <f t="shared" si="22"/>
        <v>Dec-2024</v>
      </c>
    </row>
    <row r="1459" spans="1:10">
      <c r="A1459">
        <v>1458</v>
      </c>
      <c r="B1459">
        <v>10272</v>
      </c>
      <c r="C1459" t="s">
        <v>23</v>
      </c>
      <c r="D1459">
        <v>83374.44</v>
      </c>
      <c r="E1459" t="s">
        <v>19</v>
      </c>
      <c r="F1459">
        <v>18</v>
      </c>
      <c r="G1459" t="s">
        <v>20</v>
      </c>
      <c r="H1459" s="1">
        <v>45596</v>
      </c>
      <c r="I1459" s="1">
        <v>45614</v>
      </c>
      <c r="J1459" t="str">
        <f t="shared" si="22"/>
        <v>Oct-2024</v>
      </c>
    </row>
    <row r="1460" spans="1:10">
      <c r="A1460">
        <v>1459</v>
      </c>
      <c r="B1460">
        <v>14554</v>
      </c>
      <c r="C1460" t="s">
        <v>23</v>
      </c>
      <c r="D1460">
        <v>131086.47</v>
      </c>
      <c r="E1460" t="s">
        <v>16</v>
      </c>
      <c r="F1460">
        <v>39</v>
      </c>
      <c r="G1460" t="s">
        <v>25</v>
      </c>
      <c r="H1460" s="1">
        <v>45479</v>
      </c>
      <c r="I1460" s="1">
        <v>45518</v>
      </c>
      <c r="J1460" t="str">
        <f t="shared" si="22"/>
        <v>Jul-2024</v>
      </c>
    </row>
    <row r="1461" spans="1:10">
      <c r="A1461">
        <v>1460</v>
      </c>
      <c r="B1461">
        <v>10819</v>
      </c>
      <c r="C1461" t="s">
        <v>23</v>
      </c>
      <c r="D1461">
        <v>73390.11</v>
      </c>
      <c r="E1461" t="s">
        <v>19</v>
      </c>
      <c r="F1461">
        <v>3</v>
      </c>
      <c r="G1461" t="s">
        <v>17</v>
      </c>
      <c r="H1461" s="1">
        <v>45404</v>
      </c>
      <c r="I1461" s="1">
        <v>45407</v>
      </c>
      <c r="J1461" t="str">
        <f t="shared" si="22"/>
        <v>Apr-2024</v>
      </c>
    </row>
    <row r="1462" spans="1:10">
      <c r="A1462">
        <v>1461</v>
      </c>
      <c r="B1462">
        <v>15292</v>
      </c>
      <c r="C1462" t="s">
        <v>18</v>
      </c>
      <c r="D1462">
        <v>58309.86</v>
      </c>
      <c r="E1462" t="s">
        <v>16</v>
      </c>
      <c r="F1462">
        <v>9</v>
      </c>
      <c r="G1462" t="s">
        <v>21</v>
      </c>
      <c r="H1462" s="1">
        <v>45472</v>
      </c>
      <c r="I1462" s="1">
        <v>45481</v>
      </c>
      <c r="J1462" t="str">
        <f t="shared" si="22"/>
        <v>Jun-2024</v>
      </c>
    </row>
    <row r="1463" spans="1:10">
      <c r="A1463">
        <v>1462</v>
      </c>
      <c r="B1463">
        <v>12615</v>
      </c>
      <c r="C1463" t="s">
        <v>23</v>
      </c>
      <c r="D1463">
        <v>117592.86</v>
      </c>
      <c r="E1463" t="s">
        <v>16</v>
      </c>
      <c r="F1463">
        <v>7</v>
      </c>
      <c r="G1463" t="s">
        <v>21</v>
      </c>
      <c r="H1463" s="1">
        <v>45490</v>
      </c>
      <c r="I1463" s="1">
        <v>45497</v>
      </c>
      <c r="J1463" t="str">
        <f t="shared" si="22"/>
        <v>Jul-2024</v>
      </c>
    </row>
    <row r="1464" spans="1:10">
      <c r="A1464">
        <v>1463</v>
      </c>
      <c r="B1464">
        <v>16069</v>
      </c>
      <c r="C1464" t="s">
        <v>23</v>
      </c>
      <c r="D1464">
        <v>187032.87</v>
      </c>
      <c r="E1464" t="s">
        <v>16</v>
      </c>
      <c r="F1464">
        <v>10</v>
      </c>
      <c r="G1464" t="s">
        <v>21</v>
      </c>
      <c r="H1464" s="1">
        <v>45361</v>
      </c>
      <c r="I1464" s="1">
        <v>45371</v>
      </c>
      <c r="J1464" t="str">
        <f t="shared" si="22"/>
        <v>Mar-2024</v>
      </c>
    </row>
    <row r="1465" spans="1:10">
      <c r="A1465">
        <v>1464</v>
      </c>
      <c r="B1465">
        <v>15640</v>
      </c>
      <c r="C1465" t="s">
        <v>18</v>
      </c>
      <c r="D1465">
        <v>11821.47</v>
      </c>
      <c r="E1465" t="s">
        <v>16</v>
      </c>
      <c r="F1465">
        <v>2</v>
      </c>
      <c r="G1465" t="s">
        <v>17</v>
      </c>
      <c r="H1465" s="1">
        <v>45377</v>
      </c>
      <c r="I1465" s="1">
        <v>45379</v>
      </c>
      <c r="J1465" t="str">
        <f t="shared" si="22"/>
        <v>Mar-2024</v>
      </c>
    </row>
    <row r="1466" spans="1:10">
      <c r="A1466">
        <v>1465</v>
      </c>
      <c r="B1466">
        <v>13984</v>
      </c>
      <c r="C1466" t="s">
        <v>23</v>
      </c>
      <c r="D1466">
        <v>155000.07999999999</v>
      </c>
      <c r="E1466" t="s">
        <v>16</v>
      </c>
      <c r="F1466">
        <v>6</v>
      </c>
      <c r="G1466" t="s">
        <v>17</v>
      </c>
      <c r="H1466" s="1">
        <v>45330</v>
      </c>
      <c r="I1466" s="1">
        <v>45336</v>
      </c>
      <c r="J1466" t="str">
        <f t="shared" si="22"/>
        <v>Feb-2024</v>
      </c>
    </row>
    <row r="1467" spans="1:10">
      <c r="A1467">
        <v>1466</v>
      </c>
      <c r="B1467">
        <v>14890</v>
      </c>
      <c r="C1467" t="s">
        <v>18</v>
      </c>
      <c r="D1467">
        <v>145931.82</v>
      </c>
      <c r="E1467" t="s">
        <v>16</v>
      </c>
      <c r="F1467">
        <v>40</v>
      </c>
      <c r="G1467" t="s">
        <v>25</v>
      </c>
      <c r="H1467" s="1">
        <v>45422</v>
      </c>
      <c r="I1467" s="1">
        <v>45462</v>
      </c>
      <c r="J1467" t="str">
        <f t="shared" si="22"/>
        <v>May-2024</v>
      </c>
    </row>
    <row r="1468" spans="1:10">
      <c r="A1468">
        <v>1467</v>
      </c>
      <c r="B1468">
        <v>17701</v>
      </c>
      <c r="C1468" t="s">
        <v>23</v>
      </c>
      <c r="D1468">
        <v>192970.92</v>
      </c>
      <c r="E1468" t="s">
        <v>16</v>
      </c>
      <c r="F1468">
        <v>10</v>
      </c>
      <c r="G1468" t="s">
        <v>25</v>
      </c>
      <c r="H1468" s="1">
        <v>45301</v>
      </c>
      <c r="I1468" s="1">
        <v>45311</v>
      </c>
      <c r="J1468" t="str">
        <f t="shared" si="22"/>
        <v>Jan-2024</v>
      </c>
    </row>
    <row r="1469" spans="1:10">
      <c r="A1469">
        <v>1468</v>
      </c>
      <c r="B1469">
        <v>15191</v>
      </c>
      <c r="C1469" t="s">
        <v>23</v>
      </c>
      <c r="D1469">
        <v>186488.69</v>
      </c>
      <c r="E1469" t="s">
        <v>19</v>
      </c>
      <c r="F1469">
        <v>15</v>
      </c>
      <c r="G1469" t="s">
        <v>25</v>
      </c>
      <c r="H1469" s="1">
        <v>45294</v>
      </c>
      <c r="I1469" s="1">
        <v>45309</v>
      </c>
      <c r="J1469" t="str">
        <f t="shared" si="22"/>
        <v>Jan-2024</v>
      </c>
    </row>
    <row r="1470" spans="1:10">
      <c r="A1470">
        <v>1469</v>
      </c>
      <c r="B1470">
        <v>12981</v>
      </c>
      <c r="C1470" t="s">
        <v>18</v>
      </c>
      <c r="D1470">
        <v>153635.35</v>
      </c>
      <c r="E1470" t="s">
        <v>16</v>
      </c>
      <c r="F1470">
        <v>28</v>
      </c>
      <c r="G1470" t="s">
        <v>20</v>
      </c>
      <c r="H1470" s="1">
        <v>45593</v>
      </c>
      <c r="I1470" s="1">
        <v>45621</v>
      </c>
      <c r="J1470" t="str">
        <f t="shared" si="22"/>
        <v>Oct-2024</v>
      </c>
    </row>
    <row r="1471" spans="1:10">
      <c r="A1471">
        <v>1470</v>
      </c>
      <c r="B1471">
        <v>13039</v>
      </c>
      <c r="C1471" t="s">
        <v>23</v>
      </c>
      <c r="D1471">
        <v>106479.71</v>
      </c>
      <c r="E1471" t="s">
        <v>16</v>
      </c>
      <c r="F1471">
        <v>10</v>
      </c>
      <c r="G1471" t="s">
        <v>21</v>
      </c>
      <c r="H1471" s="1">
        <v>45441</v>
      </c>
      <c r="I1471" s="1">
        <v>45451</v>
      </c>
      <c r="J1471" t="str">
        <f t="shared" si="22"/>
        <v>May-2024</v>
      </c>
    </row>
    <row r="1472" spans="1:10">
      <c r="A1472">
        <v>1471</v>
      </c>
      <c r="B1472">
        <v>14935</v>
      </c>
      <c r="C1472" t="s">
        <v>22</v>
      </c>
      <c r="D1472">
        <v>44832.17</v>
      </c>
      <c r="E1472" t="s">
        <v>16</v>
      </c>
      <c r="F1472">
        <v>37</v>
      </c>
      <c r="G1472" t="s">
        <v>21</v>
      </c>
      <c r="H1472" s="1">
        <v>45358</v>
      </c>
      <c r="I1472" s="1">
        <v>45395</v>
      </c>
      <c r="J1472" t="str">
        <f t="shared" si="22"/>
        <v>Mar-2024</v>
      </c>
    </row>
    <row r="1473" spans="1:10">
      <c r="A1473">
        <v>1472</v>
      </c>
      <c r="B1473">
        <v>10602</v>
      </c>
      <c r="C1473" t="s">
        <v>18</v>
      </c>
      <c r="D1473">
        <v>111320.97</v>
      </c>
      <c r="E1473" t="s">
        <v>16</v>
      </c>
      <c r="F1473">
        <v>30</v>
      </c>
      <c r="G1473" t="s">
        <v>25</v>
      </c>
      <c r="H1473" s="1">
        <v>45484</v>
      </c>
      <c r="I1473" s="1">
        <v>45514</v>
      </c>
      <c r="J1473" t="str">
        <f t="shared" si="22"/>
        <v>Jul-2024</v>
      </c>
    </row>
    <row r="1474" spans="1:10">
      <c r="A1474">
        <v>1473</v>
      </c>
      <c r="B1474">
        <v>17459</v>
      </c>
      <c r="C1474" t="s">
        <v>23</v>
      </c>
      <c r="D1474">
        <v>154243.64000000001</v>
      </c>
      <c r="E1474" t="s">
        <v>16</v>
      </c>
      <c r="F1474">
        <v>21</v>
      </c>
      <c r="G1474" t="s">
        <v>21</v>
      </c>
      <c r="H1474" s="1">
        <v>45388</v>
      </c>
      <c r="I1474" s="1">
        <v>45409</v>
      </c>
      <c r="J1474" t="str">
        <f t="shared" si="22"/>
        <v>Apr-2024</v>
      </c>
    </row>
    <row r="1475" spans="1:10">
      <c r="A1475">
        <v>1474</v>
      </c>
      <c r="B1475">
        <v>17419</v>
      </c>
      <c r="C1475" t="s">
        <v>18</v>
      </c>
      <c r="D1475">
        <v>179655.5</v>
      </c>
      <c r="E1475" t="s">
        <v>16</v>
      </c>
      <c r="F1475">
        <v>16</v>
      </c>
      <c r="G1475" t="s">
        <v>25</v>
      </c>
      <c r="H1475" s="1">
        <v>45310</v>
      </c>
      <c r="I1475" s="1">
        <v>45326</v>
      </c>
      <c r="J1475" t="str">
        <f t="shared" ref="J1475:J1538" si="23">TEXT(H1475,"mmm-yyyy")</f>
        <v>Jan-2024</v>
      </c>
    </row>
    <row r="1476" spans="1:10">
      <c r="A1476">
        <v>1475</v>
      </c>
      <c r="B1476">
        <v>19624</v>
      </c>
      <c r="C1476" t="s">
        <v>23</v>
      </c>
      <c r="D1476">
        <v>158993.84</v>
      </c>
      <c r="E1476" t="s">
        <v>16</v>
      </c>
      <c r="F1476">
        <v>37</v>
      </c>
      <c r="G1476" t="s">
        <v>20</v>
      </c>
      <c r="H1476" s="1">
        <v>45609</v>
      </c>
      <c r="I1476" s="1">
        <v>45646</v>
      </c>
      <c r="J1476" t="str">
        <f t="shared" si="23"/>
        <v>Nov-2024</v>
      </c>
    </row>
    <row r="1477" spans="1:10">
      <c r="A1477">
        <v>1476</v>
      </c>
      <c r="B1477">
        <v>18447</v>
      </c>
      <c r="C1477" t="s">
        <v>22</v>
      </c>
      <c r="D1477">
        <v>43077.05</v>
      </c>
      <c r="E1477" t="s">
        <v>16</v>
      </c>
      <c r="F1477">
        <v>4</v>
      </c>
      <c r="G1477" t="s">
        <v>20</v>
      </c>
      <c r="H1477" s="1">
        <v>45389</v>
      </c>
      <c r="I1477" s="1">
        <v>45393</v>
      </c>
      <c r="J1477" t="str">
        <f t="shared" si="23"/>
        <v>Apr-2024</v>
      </c>
    </row>
    <row r="1478" spans="1:10">
      <c r="A1478">
        <v>1477</v>
      </c>
      <c r="B1478">
        <v>17692</v>
      </c>
      <c r="C1478" t="s">
        <v>23</v>
      </c>
      <c r="D1478">
        <v>121938.83</v>
      </c>
      <c r="E1478" t="s">
        <v>16</v>
      </c>
      <c r="F1478">
        <v>24</v>
      </c>
      <c r="G1478" t="s">
        <v>17</v>
      </c>
      <c r="H1478" s="1">
        <v>45348</v>
      </c>
      <c r="I1478" s="1">
        <v>45372</v>
      </c>
      <c r="J1478" t="str">
        <f t="shared" si="23"/>
        <v>Feb-2024</v>
      </c>
    </row>
    <row r="1479" spans="1:10">
      <c r="A1479">
        <v>1478</v>
      </c>
      <c r="B1479">
        <v>12487</v>
      </c>
      <c r="C1479" t="s">
        <v>18</v>
      </c>
      <c r="D1479">
        <v>69773.820000000007</v>
      </c>
      <c r="E1479" t="s">
        <v>19</v>
      </c>
      <c r="F1479">
        <v>10</v>
      </c>
      <c r="G1479" t="s">
        <v>20</v>
      </c>
      <c r="H1479" s="1">
        <v>45642</v>
      </c>
      <c r="I1479" s="1">
        <v>45652</v>
      </c>
      <c r="J1479" t="str">
        <f t="shared" si="23"/>
        <v>Dec-2024</v>
      </c>
    </row>
    <row r="1480" spans="1:10">
      <c r="A1480">
        <v>1479</v>
      </c>
      <c r="B1480">
        <v>11358</v>
      </c>
      <c r="C1480" t="s">
        <v>23</v>
      </c>
      <c r="D1480">
        <v>6795.11</v>
      </c>
      <c r="E1480" t="s">
        <v>16</v>
      </c>
      <c r="F1480">
        <v>31</v>
      </c>
      <c r="G1480" t="s">
        <v>25</v>
      </c>
      <c r="H1480" s="1">
        <v>45398</v>
      </c>
      <c r="I1480" s="1">
        <v>45429</v>
      </c>
      <c r="J1480" t="str">
        <f t="shared" si="23"/>
        <v>Apr-2024</v>
      </c>
    </row>
    <row r="1481" spans="1:10">
      <c r="A1481">
        <v>1480</v>
      </c>
      <c r="B1481">
        <v>10689</v>
      </c>
      <c r="C1481" t="s">
        <v>23</v>
      </c>
      <c r="D1481">
        <v>44043.08</v>
      </c>
      <c r="E1481" t="s">
        <v>16</v>
      </c>
      <c r="F1481">
        <v>20</v>
      </c>
      <c r="G1481" t="s">
        <v>20</v>
      </c>
      <c r="H1481" s="1">
        <v>45379</v>
      </c>
      <c r="I1481" s="1">
        <v>45399</v>
      </c>
      <c r="J1481" t="str">
        <f t="shared" si="23"/>
        <v>Mar-2024</v>
      </c>
    </row>
    <row r="1482" spans="1:10">
      <c r="A1482">
        <v>1481</v>
      </c>
      <c r="B1482">
        <v>18499</v>
      </c>
      <c r="C1482" t="s">
        <v>15</v>
      </c>
      <c r="D1482">
        <v>27078.03</v>
      </c>
      <c r="E1482" t="s">
        <v>19</v>
      </c>
      <c r="F1482">
        <v>39</v>
      </c>
      <c r="G1482" t="s">
        <v>17</v>
      </c>
      <c r="H1482" s="1">
        <v>45432</v>
      </c>
      <c r="I1482" s="1">
        <v>45471</v>
      </c>
      <c r="J1482" t="str">
        <f t="shared" si="23"/>
        <v>May-2024</v>
      </c>
    </row>
    <row r="1483" spans="1:10">
      <c r="A1483">
        <v>1482</v>
      </c>
      <c r="B1483">
        <v>16131</v>
      </c>
      <c r="C1483" t="s">
        <v>15</v>
      </c>
      <c r="D1483">
        <v>169330.23</v>
      </c>
      <c r="E1483" t="s">
        <v>16</v>
      </c>
      <c r="F1483">
        <v>4</v>
      </c>
      <c r="G1483" t="s">
        <v>21</v>
      </c>
      <c r="H1483" s="1">
        <v>45435</v>
      </c>
      <c r="I1483" s="1">
        <v>45439</v>
      </c>
      <c r="J1483" t="str">
        <f t="shared" si="23"/>
        <v>May-2024</v>
      </c>
    </row>
    <row r="1484" spans="1:10">
      <c r="A1484">
        <v>1483</v>
      </c>
      <c r="B1484">
        <v>19888</v>
      </c>
      <c r="C1484" t="s">
        <v>23</v>
      </c>
      <c r="D1484">
        <v>55408.72</v>
      </c>
      <c r="E1484" t="s">
        <v>16</v>
      </c>
      <c r="F1484">
        <v>4</v>
      </c>
      <c r="G1484" t="s">
        <v>25</v>
      </c>
      <c r="H1484" s="1">
        <v>45343</v>
      </c>
      <c r="I1484" s="1">
        <v>45347</v>
      </c>
      <c r="J1484" t="str">
        <f t="shared" si="23"/>
        <v>Feb-2024</v>
      </c>
    </row>
    <row r="1485" spans="1:10">
      <c r="A1485">
        <v>1484</v>
      </c>
      <c r="B1485">
        <v>13166</v>
      </c>
      <c r="C1485" t="s">
        <v>23</v>
      </c>
      <c r="D1485">
        <v>60516.1</v>
      </c>
      <c r="E1485" t="s">
        <v>16</v>
      </c>
      <c r="F1485">
        <v>35</v>
      </c>
      <c r="G1485" t="s">
        <v>21</v>
      </c>
      <c r="H1485" s="1">
        <v>45503</v>
      </c>
      <c r="I1485" s="1">
        <v>45538</v>
      </c>
      <c r="J1485" t="str">
        <f t="shared" si="23"/>
        <v>Jul-2024</v>
      </c>
    </row>
    <row r="1486" spans="1:10">
      <c r="A1486">
        <v>1485</v>
      </c>
      <c r="B1486">
        <v>18600</v>
      </c>
      <c r="C1486" t="s">
        <v>15</v>
      </c>
      <c r="D1486">
        <v>192187.63</v>
      </c>
      <c r="E1486" t="s">
        <v>16</v>
      </c>
      <c r="F1486">
        <v>3</v>
      </c>
      <c r="G1486" t="s">
        <v>17</v>
      </c>
      <c r="H1486" s="1">
        <v>45332</v>
      </c>
      <c r="I1486" s="1">
        <v>45335</v>
      </c>
      <c r="J1486" t="str">
        <f t="shared" si="23"/>
        <v>Feb-2024</v>
      </c>
    </row>
    <row r="1487" spans="1:10">
      <c r="A1487">
        <v>1486</v>
      </c>
      <c r="B1487">
        <v>10825</v>
      </c>
      <c r="C1487" t="s">
        <v>22</v>
      </c>
      <c r="D1487">
        <v>78921.91</v>
      </c>
      <c r="E1487" t="s">
        <v>16</v>
      </c>
      <c r="F1487">
        <v>28</v>
      </c>
      <c r="G1487" t="s">
        <v>17</v>
      </c>
      <c r="H1487" s="1">
        <v>45595</v>
      </c>
      <c r="I1487" s="1">
        <v>45623</v>
      </c>
      <c r="J1487" t="str">
        <f t="shared" si="23"/>
        <v>Oct-2024</v>
      </c>
    </row>
    <row r="1488" spans="1:10">
      <c r="A1488">
        <v>1487</v>
      </c>
      <c r="B1488">
        <v>11191</v>
      </c>
      <c r="C1488" t="s">
        <v>23</v>
      </c>
      <c r="D1488">
        <v>6869.2</v>
      </c>
      <c r="E1488" t="s">
        <v>16</v>
      </c>
      <c r="F1488">
        <v>24</v>
      </c>
      <c r="G1488" t="s">
        <v>17</v>
      </c>
      <c r="H1488" s="1">
        <v>45382</v>
      </c>
      <c r="I1488" s="1">
        <v>45406</v>
      </c>
      <c r="J1488" t="str">
        <f t="shared" si="23"/>
        <v>Mar-2024</v>
      </c>
    </row>
    <row r="1489" spans="1:10">
      <c r="A1489">
        <v>1488</v>
      </c>
      <c r="B1489">
        <v>15647</v>
      </c>
      <c r="C1489" t="s">
        <v>23</v>
      </c>
      <c r="D1489">
        <v>60350</v>
      </c>
      <c r="E1489" t="s">
        <v>24</v>
      </c>
      <c r="G1489" t="s">
        <v>21</v>
      </c>
      <c r="H1489" s="1">
        <v>45330</v>
      </c>
      <c r="J1489" t="str">
        <f t="shared" si="23"/>
        <v>Feb-2024</v>
      </c>
    </row>
    <row r="1490" spans="1:10">
      <c r="A1490">
        <v>1489</v>
      </c>
      <c r="B1490">
        <v>16785</v>
      </c>
      <c r="C1490" t="s">
        <v>23</v>
      </c>
      <c r="D1490">
        <v>28263.42</v>
      </c>
      <c r="E1490" t="s">
        <v>19</v>
      </c>
      <c r="F1490">
        <v>33</v>
      </c>
      <c r="G1490" t="s">
        <v>21</v>
      </c>
      <c r="H1490" s="1">
        <v>45304</v>
      </c>
      <c r="I1490" s="1">
        <v>45337</v>
      </c>
      <c r="J1490" t="str">
        <f t="shared" si="23"/>
        <v>Jan-2024</v>
      </c>
    </row>
    <row r="1491" spans="1:10">
      <c r="A1491">
        <v>1490</v>
      </c>
      <c r="B1491">
        <v>16813</v>
      </c>
      <c r="C1491" t="s">
        <v>15</v>
      </c>
      <c r="D1491">
        <v>25047.67</v>
      </c>
      <c r="E1491" t="s">
        <v>16</v>
      </c>
      <c r="F1491">
        <v>36</v>
      </c>
      <c r="G1491" t="s">
        <v>21</v>
      </c>
      <c r="H1491" s="1">
        <v>45387</v>
      </c>
      <c r="I1491" s="1">
        <v>45423</v>
      </c>
      <c r="J1491" t="str">
        <f t="shared" si="23"/>
        <v>Apr-2024</v>
      </c>
    </row>
    <row r="1492" spans="1:10">
      <c r="A1492">
        <v>1491</v>
      </c>
      <c r="B1492">
        <v>19966</v>
      </c>
      <c r="C1492" t="s">
        <v>23</v>
      </c>
      <c r="D1492">
        <v>20110.02</v>
      </c>
      <c r="E1492" t="s">
        <v>16</v>
      </c>
      <c r="F1492">
        <v>41</v>
      </c>
      <c r="G1492" t="s">
        <v>21</v>
      </c>
      <c r="H1492" s="1">
        <v>45400</v>
      </c>
      <c r="I1492" s="1">
        <v>45441</v>
      </c>
      <c r="J1492" t="str">
        <f t="shared" si="23"/>
        <v>Apr-2024</v>
      </c>
    </row>
    <row r="1493" spans="1:10">
      <c r="A1493">
        <v>1492</v>
      </c>
      <c r="B1493">
        <v>15641</v>
      </c>
      <c r="C1493" t="s">
        <v>23</v>
      </c>
      <c r="D1493">
        <v>120685.6</v>
      </c>
      <c r="E1493" t="s">
        <v>16</v>
      </c>
      <c r="F1493">
        <v>19</v>
      </c>
      <c r="G1493" t="s">
        <v>17</v>
      </c>
      <c r="H1493" s="1">
        <v>45395</v>
      </c>
      <c r="I1493" s="1">
        <v>45414</v>
      </c>
      <c r="J1493" t="str">
        <f t="shared" si="23"/>
        <v>Apr-2024</v>
      </c>
    </row>
    <row r="1494" spans="1:10">
      <c r="A1494">
        <v>1493</v>
      </c>
      <c r="B1494">
        <v>10533</v>
      </c>
      <c r="C1494" t="s">
        <v>18</v>
      </c>
      <c r="D1494">
        <v>41922.81</v>
      </c>
      <c r="E1494" t="s">
        <v>16</v>
      </c>
      <c r="F1494">
        <v>28</v>
      </c>
      <c r="G1494" t="s">
        <v>17</v>
      </c>
      <c r="H1494" s="1">
        <v>45645</v>
      </c>
      <c r="I1494" s="1">
        <v>45673</v>
      </c>
      <c r="J1494" t="str">
        <f t="shared" si="23"/>
        <v>Dec-2024</v>
      </c>
    </row>
    <row r="1495" spans="1:10">
      <c r="A1495">
        <v>1494</v>
      </c>
      <c r="B1495">
        <v>16510</v>
      </c>
      <c r="C1495" t="s">
        <v>23</v>
      </c>
      <c r="D1495">
        <v>75442.34</v>
      </c>
      <c r="E1495" t="s">
        <v>16</v>
      </c>
      <c r="F1495">
        <v>12</v>
      </c>
      <c r="G1495" t="s">
        <v>25</v>
      </c>
      <c r="H1495" s="1">
        <v>45522</v>
      </c>
      <c r="I1495" s="1">
        <v>45534</v>
      </c>
      <c r="J1495" t="str">
        <f t="shared" si="23"/>
        <v>Aug-2024</v>
      </c>
    </row>
    <row r="1496" spans="1:10">
      <c r="A1496">
        <v>1495</v>
      </c>
      <c r="B1496">
        <v>11207</v>
      </c>
      <c r="C1496" t="s">
        <v>23</v>
      </c>
      <c r="D1496">
        <v>173093.45</v>
      </c>
      <c r="E1496" t="s">
        <v>16</v>
      </c>
      <c r="F1496">
        <v>40</v>
      </c>
      <c r="G1496" t="s">
        <v>25</v>
      </c>
      <c r="H1496" s="1">
        <v>45334</v>
      </c>
      <c r="I1496" s="1">
        <v>45374</v>
      </c>
      <c r="J1496" t="str">
        <f t="shared" si="23"/>
        <v>Feb-2024</v>
      </c>
    </row>
    <row r="1497" spans="1:10">
      <c r="A1497">
        <v>1496</v>
      </c>
      <c r="B1497">
        <v>18608</v>
      </c>
      <c r="C1497" t="s">
        <v>23</v>
      </c>
      <c r="D1497">
        <v>87745.94</v>
      </c>
      <c r="E1497" t="s">
        <v>16</v>
      </c>
      <c r="F1497">
        <v>20</v>
      </c>
      <c r="G1497" t="s">
        <v>21</v>
      </c>
      <c r="H1497" s="1">
        <v>45500</v>
      </c>
      <c r="I1497" s="1">
        <v>45520</v>
      </c>
      <c r="J1497" t="str">
        <f t="shared" si="23"/>
        <v>Jul-2024</v>
      </c>
    </row>
    <row r="1498" spans="1:10">
      <c r="A1498">
        <v>1497</v>
      </c>
      <c r="B1498">
        <v>11237</v>
      </c>
      <c r="C1498" t="s">
        <v>23</v>
      </c>
      <c r="D1498">
        <v>183559.81</v>
      </c>
      <c r="E1498" t="s">
        <v>16</v>
      </c>
      <c r="F1498">
        <v>26</v>
      </c>
      <c r="G1498" t="s">
        <v>20</v>
      </c>
      <c r="H1498" s="1">
        <v>45379</v>
      </c>
      <c r="I1498" s="1">
        <v>45405</v>
      </c>
      <c r="J1498" t="str">
        <f t="shared" si="23"/>
        <v>Mar-2024</v>
      </c>
    </row>
    <row r="1499" spans="1:10">
      <c r="A1499">
        <v>1498</v>
      </c>
      <c r="B1499">
        <v>14943</v>
      </c>
      <c r="C1499" t="s">
        <v>23</v>
      </c>
      <c r="D1499">
        <v>102097.92</v>
      </c>
      <c r="E1499" t="s">
        <v>24</v>
      </c>
      <c r="G1499" t="s">
        <v>20</v>
      </c>
      <c r="H1499" s="1">
        <v>45384</v>
      </c>
      <c r="J1499" t="str">
        <f t="shared" si="23"/>
        <v>Apr-2024</v>
      </c>
    </row>
    <row r="1500" spans="1:10">
      <c r="A1500">
        <v>1499</v>
      </c>
      <c r="B1500">
        <v>14765</v>
      </c>
      <c r="C1500" t="s">
        <v>18</v>
      </c>
      <c r="D1500">
        <v>82773.14</v>
      </c>
      <c r="E1500" t="s">
        <v>16</v>
      </c>
      <c r="F1500">
        <v>32</v>
      </c>
      <c r="G1500" t="s">
        <v>17</v>
      </c>
      <c r="H1500" s="1">
        <v>45465</v>
      </c>
      <c r="I1500" s="1">
        <v>45497</v>
      </c>
      <c r="J1500" t="str">
        <f t="shared" si="23"/>
        <v>Jun-2024</v>
      </c>
    </row>
    <row r="1501" spans="1:10">
      <c r="A1501">
        <v>1500</v>
      </c>
      <c r="B1501">
        <v>14836</v>
      </c>
      <c r="C1501" t="s">
        <v>23</v>
      </c>
      <c r="D1501">
        <v>151325.84</v>
      </c>
      <c r="E1501" t="s">
        <v>24</v>
      </c>
      <c r="G1501" t="s">
        <v>17</v>
      </c>
      <c r="H1501" s="1">
        <v>45417</v>
      </c>
      <c r="J1501" t="str">
        <f t="shared" si="23"/>
        <v>May-2024</v>
      </c>
    </row>
    <row r="1502" spans="1:10">
      <c r="A1502">
        <v>1501</v>
      </c>
      <c r="B1502">
        <v>10459</v>
      </c>
      <c r="C1502" t="s">
        <v>18</v>
      </c>
      <c r="D1502">
        <v>19269.14</v>
      </c>
      <c r="E1502" t="s">
        <v>24</v>
      </c>
      <c r="G1502" t="s">
        <v>17</v>
      </c>
      <c r="H1502" s="1">
        <v>45400</v>
      </c>
      <c r="J1502" t="str">
        <f t="shared" si="23"/>
        <v>Apr-2024</v>
      </c>
    </row>
    <row r="1503" spans="1:10">
      <c r="A1503">
        <v>1502</v>
      </c>
      <c r="B1503">
        <v>18841</v>
      </c>
      <c r="C1503" t="s">
        <v>15</v>
      </c>
      <c r="D1503">
        <v>22448.28</v>
      </c>
      <c r="E1503" t="s">
        <v>16</v>
      </c>
      <c r="F1503">
        <v>6</v>
      </c>
      <c r="G1503" t="s">
        <v>25</v>
      </c>
      <c r="H1503" s="1">
        <v>45338</v>
      </c>
      <c r="I1503" s="1">
        <v>45344</v>
      </c>
      <c r="J1503" t="str">
        <f t="shared" si="23"/>
        <v>Feb-2024</v>
      </c>
    </row>
    <row r="1504" spans="1:10">
      <c r="A1504">
        <v>1503</v>
      </c>
      <c r="B1504">
        <v>10119</v>
      </c>
      <c r="C1504" t="s">
        <v>18</v>
      </c>
      <c r="D1504">
        <v>132134.87</v>
      </c>
      <c r="E1504" t="s">
        <v>19</v>
      </c>
      <c r="F1504">
        <v>15</v>
      </c>
      <c r="G1504" t="s">
        <v>25</v>
      </c>
      <c r="H1504" s="1">
        <v>45505</v>
      </c>
      <c r="I1504" s="1">
        <v>45520</v>
      </c>
      <c r="J1504" t="str">
        <f t="shared" si="23"/>
        <v>Aug-2024</v>
      </c>
    </row>
    <row r="1505" spans="1:10">
      <c r="A1505">
        <v>1504</v>
      </c>
      <c r="B1505">
        <v>14768</v>
      </c>
      <c r="C1505" t="s">
        <v>23</v>
      </c>
      <c r="D1505">
        <v>99953.44</v>
      </c>
      <c r="E1505" t="s">
        <v>16</v>
      </c>
      <c r="F1505">
        <v>19</v>
      </c>
      <c r="G1505" t="s">
        <v>17</v>
      </c>
      <c r="H1505" s="1">
        <v>45383</v>
      </c>
      <c r="I1505" s="1">
        <v>45402</v>
      </c>
      <c r="J1505" t="str">
        <f t="shared" si="23"/>
        <v>Apr-2024</v>
      </c>
    </row>
    <row r="1506" spans="1:10">
      <c r="A1506">
        <v>1505</v>
      </c>
      <c r="B1506">
        <v>15980</v>
      </c>
      <c r="C1506" t="s">
        <v>23</v>
      </c>
      <c r="D1506">
        <v>159130.97</v>
      </c>
      <c r="E1506" t="s">
        <v>16</v>
      </c>
      <c r="F1506">
        <v>37</v>
      </c>
      <c r="G1506" t="s">
        <v>17</v>
      </c>
      <c r="H1506" s="1">
        <v>45472</v>
      </c>
      <c r="I1506" s="1">
        <v>45509</v>
      </c>
      <c r="J1506" t="str">
        <f t="shared" si="23"/>
        <v>Jun-2024</v>
      </c>
    </row>
    <row r="1507" spans="1:10">
      <c r="A1507">
        <v>1506</v>
      </c>
      <c r="B1507">
        <v>18509</v>
      </c>
      <c r="C1507" t="s">
        <v>23</v>
      </c>
      <c r="D1507">
        <v>183672.81</v>
      </c>
      <c r="E1507" t="s">
        <v>16</v>
      </c>
      <c r="F1507">
        <v>5</v>
      </c>
      <c r="G1507" t="s">
        <v>17</v>
      </c>
      <c r="H1507" s="1">
        <v>45332</v>
      </c>
      <c r="I1507" s="1">
        <v>45337</v>
      </c>
      <c r="J1507" t="str">
        <f t="shared" si="23"/>
        <v>Feb-2024</v>
      </c>
    </row>
    <row r="1508" spans="1:10">
      <c r="A1508">
        <v>1507</v>
      </c>
      <c r="B1508">
        <v>16481</v>
      </c>
      <c r="C1508" t="s">
        <v>23</v>
      </c>
      <c r="D1508">
        <v>80731.539999999994</v>
      </c>
      <c r="E1508" t="s">
        <v>16</v>
      </c>
      <c r="F1508">
        <v>25</v>
      </c>
      <c r="G1508" t="s">
        <v>20</v>
      </c>
      <c r="H1508" s="1">
        <v>45550</v>
      </c>
      <c r="I1508" s="1">
        <v>45575</v>
      </c>
      <c r="J1508" t="str">
        <f t="shared" si="23"/>
        <v>Sep-2024</v>
      </c>
    </row>
    <row r="1509" spans="1:10">
      <c r="A1509">
        <v>1508</v>
      </c>
      <c r="B1509">
        <v>16298</v>
      </c>
      <c r="C1509" t="s">
        <v>23</v>
      </c>
      <c r="D1509">
        <v>121299.96</v>
      </c>
      <c r="E1509" t="s">
        <v>16</v>
      </c>
      <c r="F1509">
        <v>14</v>
      </c>
      <c r="G1509" t="s">
        <v>25</v>
      </c>
      <c r="H1509" s="1">
        <v>45412</v>
      </c>
      <c r="I1509" s="1">
        <v>45426</v>
      </c>
      <c r="J1509" t="str">
        <f t="shared" si="23"/>
        <v>Apr-2024</v>
      </c>
    </row>
    <row r="1510" spans="1:10">
      <c r="A1510">
        <v>1509</v>
      </c>
      <c r="B1510">
        <v>19059</v>
      </c>
      <c r="C1510" t="s">
        <v>18</v>
      </c>
      <c r="D1510">
        <v>102635.84</v>
      </c>
      <c r="E1510" t="s">
        <v>16</v>
      </c>
      <c r="F1510">
        <v>22</v>
      </c>
      <c r="G1510" t="s">
        <v>20</v>
      </c>
      <c r="H1510" s="1">
        <v>45368</v>
      </c>
      <c r="I1510" s="1">
        <v>45390</v>
      </c>
      <c r="J1510" t="str">
        <f t="shared" si="23"/>
        <v>Mar-2024</v>
      </c>
    </row>
    <row r="1511" spans="1:10">
      <c r="A1511">
        <v>1510</v>
      </c>
      <c r="B1511">
        <v>13226</v>
      </c>
      <c r="C1511" t="s">
        <v>23</v>
      </c>
      <c r="D1511">
        <v>196414.07999999999</v>
      </c>
      <c r="E1511" t="s">
        <v>16</v>
      </c>
      <c r="F1511">
        <v>34</v>
      </c>
      <c r="G1511" t="s">
        <v>20</v>
      </c>
      <c r="H1511" s="1">
        <v>45386</v>
      </c>
      <c r="I1511" s="1">
        <v>45420</v>
      </c>
      <c r="J1511" t="str">
        <f t="shared" si="23"/>
        <v>Apr-2024</v>
      </c>
    </row>
    <row r="1512" spans="1:10">
      <c r="A1512">
        <v>1511</v>
      </c>
      <c r="B1512">
        <v>18585</v>
      </c>
      <c r="C1512" t="s">
        <v>23</v>
      </c>
      <c r="D1512">
        <v>167061.46</v>
      </c>
      <c r="E1512" t="s">
        <v>16</v>
      </c>
      <c r="F1512">
        <v>21</v>
      </c>
      <c r="G1512" t="s">
        <v>17</v>
      </c>
      <c r="H1512" s="1">
        <v>45560</v>
      </c>
      <c r="I1512" s="1">
        <v>45581</v>
      </c>
      <c r="J1512" t="str">
        <f t="shared" si="23"/>
        <v>Sep-2024</v>
      </c>
    </row>
    <row r="1513" spans="1:10">
      <c r="A1513">
        <v>1512</v>
      </c>
      <c r="B1513">
        <v>12552</v>
      </c>
      <c r="C1513" t="s">
        <v>23</v>
      </c>
      <c r="D1513">
        <v>182788.85</v>
      </c>
      <c r="E1513" t="s">
        <v>16</v>
      </c>
      <c r="F1513">
        <v>6</v>
      </c>
      <c r="G1513" t="s">
        <v>17</v>
      </c>
      <c r="H1513" s="1">
        <v>45652</v>
      </c>
      <c r="I1513" s="1">
        <v>45658</v>
      </c>
      <c r="J1513" t="str">
        <f t="shared" si="23"/>
        <v>Dec-2024</v>
      </c>
    </row>
    <row r="1514" spans="1:10">
      <c r="A1514">
        <v>1513</v>
      </c>
      <c r="B1514">
        <v>15378</v>
      </c>
      <c r="C1514" t="s">
        <v>18</v>
      </c>
      <c r="D1514">
        <v>54596.32</v>
      </c>
      <c r="E1514" t="s">
        <v>16</v>
      </c>
      <c r="F1514">
        <v>25</v>
      </c>
      <c r="G1514" t="s">
        <v>21</v>
      </c>
      <c r="H1514" s="1">
        <v>45309</v>
      </c>
      <c r="I1514" s="1">
        <v>45334</v>
      </c>
      <c r="J1514" t="str">
        <f t="shared" si="23"/>
        <v>Jan-2024</v>
      </c>
    </row>
    <row r="1515" spans="1:10">
      <c r="A1515">
        <v>1514</v>
      </c>
      <c r="B1515">
        <v>13228</v>
      </c>
      <c r="C1515" t="s">
        <v>23</v>
      </c>
      <c r="D1515">
        <v>155642.65</v>
      </c>
      <c r="E1515" t="s">
        <v>16</v>
      </c>
      <c r="F1515">
        <v>36</v>
      </c>
      <c r="G1515" t="s">
        <v>21</v>
      </c>
      <c r="H1515" s="1">
        <v>45584</v>
      </c>
      <c r="I1515" s="1">
        <v>45620</v>
      </c>
      <c r="J1515" t="str">
        <f t="shared" si="23"/>
        <v>Oct-2024</v>
      </c>
    </row>
    <row r="1516" spans="1:10">
      <c r="A1516">
        <v>1515</v>
      </c>
      <c r="B1516">
        <v>10076</v>
      </c>
      <c r="C1516" t="s">
        <v>18</v>
      </c>
      <c r="D1516">
        <v>56767.28</v>
      </c>
      <c r="E1516" t="s">
        <v>16</v>
      </c>
      <c r="F1516">
        <v>31</v>
      </c>
      <c r="G1516" t="s">
        <v>20</v>
      </c>
      <c r="H1516" s="1">
        <v>45462</v>
      </c>
      <c r="I1516" s="1">
        <v>45493</v>
      </c>
      <c r="J1516" t="str">
        <f t="shared" si="23"/>
        <v>Jun-2024</v>
      </c>
    </row>
    <row r="1517" spans="1:10">
      <c r="A1517">
        <v>1516</v>
      </c>
      <c r="B1517">
        <v>13410</v>
      </c>
      <c r="C1517" t="s">
        <v>23</v>
      </c>
      <c r="D1517">
        <v>45704.79</v>
      </c>
      <c r="E1517" t="s">
        <v>16</v>
      </c>
      <c r="F1517">
        <v>29</v>
      </c>
      <c r="G1517" t="s">
        <v>25</v>
      </c>
      <c r="H1517" s="1">
        <v>45453</v>
      </c>
      <c r="I1517" s="1">
        <v>45482</v>
      </c>
      <c r="J1517" t="str">
        <f t="shared" si="23"/>
        <v>Jun-2024</v>
      </c>
    </row>
    <row r="1518" spans="1:10">
      <c r="A1518">
        <v>1517</v>
      </c>
      <c r="B1518">
        <v>10408</v>
      </c>
      <c r="C1518" t="s">
        <v>15</v>
      </c>
      <c r="D1518">
        <v>189131.9</v>
      </c>
      <c r="E1518" t="s">
        <v>16</v>
      </c>
      <c r="F1518">
        <v>8</v>
      </c>
      <c r="G1518" t="s">
        <v>17</v>
      </c>
      <c r="H1518" s="1">
        <v>45602</v>
      </c>
      <c r="I1518" s="1">
        <v>45610</v>
      </c>
      <c r="J1518" t="str">
        <f t="shared" si="23"/>
        <v>Nov-2024</v>
      </c>
    </row>
    <row r="1519" spans="1:10">
      <c r="A1519">
        <v>1518</v>
      </c>
      <c r="B1519">
        <v>14092</v>
      </c>
      <c r="C1519" t="s">
        <v>15</v>
      </c>
      <c r="D1519">
        <v>8764.36</v>
      </c>
      <c r="E1519" t="s">
        <v>19</v>
      </c>
      <c r="F1519">
        <v>43</v>
      </c>
      <c r="G1519" t="s">
        <v>17</v>
      </c>
      <c r="H1519" s="1">
        <v>45343</v>
      </c>
      <c r="I1519" s="1">
        <v>45386</v>
      </c>
      <c r="J1519" t="str">
        <f t="shared" si="23"/>
        <v>Feb-2024</v>
      </c>
    </row>
    <row r="1520" spans="1:10">
      <c r="A1520">
        <v>1519</v>
      </c>
      <c r="B1520">
        <v>12267</v>
      </c>
      <c r="C1520" t="s">
        <v>23</v>
      </c>
      <c r="D1520">
        <v>193250.8</v>
      </c>
      <c r="E1520" t="s">
        <v>16</v>
      </c>
      <c r="F1520">
        <v>36</v>
      </c>
      <c r="G1520" t="s">
        <v>20</v>
      </c>
      <c r="H1520" s="1">
        <v>45327</v>
      </c>
      <c r="I1520" s="1">
        <v>45363</v>
      </c>
      <c r="J1520" t="str">
        <f t="shared" si="23"/>
        <v>Feb-2024</v>
      </c>
    </row>
    <row r="1521" spans="1:10">
      <c r="A1521">
        <v>1520</v>
      </c>
      <c r="B1521">
        <v>18935</v>
      </c>
      <c r="C1521" t="s">
        <v>23</v>
      </c>
      <c r="D1521">
        <v>34106.07</v>
      </c>
      <c r="E1521" t="s">
        <v>16</v>
      </c>
      <c r="F1521">
        <v>31</v>
      </c>
      <c r="G1521" t="s">
        <v>21</v>
      </c>
      <c r="H1521" s="1">
        <v>45478</v>
      </c>
      <c r="I1521" s="1">
        <v>45509</v>
      </c>
      <c r="J1521" t="str">
        <f t="shared" si="23"/>
        <v>Jul-2024</v>
      </c>
    </row>
    <row r="1522" spans="1:10">
      <c r="A1522">
        <v>1521</v>
      </c>
      <c r="B1522">
        <v>14528</v>
      </c>
      <c r="C1522" t="s">
        <v>23</v>
      </c>
      <c r="D1522">
        <v>164790.43</v>
      </c>
      <c r="E1522" t="s">
        <v>16</v>
      </c>
      <c r="F1522">
        <v>35</v>
      </c>
      <c r="G1522" t="s">
        <v>25</v>
      </c>
      <c r="H1522" s="1">
        <v>45539</v>
      </c>
      <c r="I1522" s="1">
        <v>45574</v>
      </c>
      <c r="J1522" t="str">
        <f t="shared" si="23"/>
        <v>Sep-2024</v>
      </c>
    </row>
    <row r="1523" spans="1:10">
      <c r="A1523">
        <v>1522</v>
      </c>
      <c r="B1523">
        <v>15574</v>
      </c>
      <c r="C1523" t="s">
        <v>23</v>
      </c>
      <c r="D1523">
        <v>58804.9</v>
      </c>
      <c r="E1523" t="s">
        <v>19</v>
      </c>
      <c r="F1523">
        <v>40</v>
      </c>
      <c r="G1523" t="s">
        <v>21</v>
      </c>
      <c r="H1523" s="1">
        <v>45343</v>
      </c>
      <c r="I1523" s="1">
        <v>45383</v>
      </c>
      <c r="J1523" t="str">
        <f t="shared" si="23"/>
        <v>Feb-2024</v>
      </c>
    </row>
    <row r="1524" spans="1:10">
      <c r="A1524">
        <v>1523</v>
      </c>
      <c r="B1524">
        <v>15773</v>
      </c>
      <c r="C1524" t="s">
        <v>18</v>
      </c>
      <c r="D1524">
        <v>73386.95</v>
      </c>
      <c r="E1524" t="s">
        <v>16</v>
      </c>
      <c r="F1524">
        <v>10</v>
      </c>
      <c r="G1524" t="s">
        <v>21</v>
      </c>
      <c r="H1524" s="1">
        <v>45310</v>
      </c>
      <c r="I1524" s="1">
        <v>45320</v>
      </c>
      <c r="J1524" t="str">
        <f t="shared" si="23"/>
        <v>Jan-2024</v>
      </c>
    </row>
    <row r="1525" spans="1:10">
      <c r="A1525">
        <v>1524</v>
      </c>
      <c r="B1525">
        <v>13834</v>
      </c>
      <c r="C1525" t="s">
        <v>15</v>
      </c>
      <c r="D1525">
        <v>47267.75</v>
      </c>
      <c r="E1525" t="s">
        <v>16</v>
      </c>
      <c r="F1525">
        <v>13</v>
      </c>
      <c r="G1525" t="s">
        <v>21</v>
      </c>
      <c r="H1525" s="1">
        <v>45383</v>
      </c>
      <c r="I1525" s="1">
        <v>45396</v>
      </c>
      <c r="J1525" t="str">
        <f t="shared" si="23"/>
        <v>Apr-2024</v>
      </c>
    </row>
    <row r="1526" spans="1:10">
      <c r="A1526">
        <v>1525</v>
      </c>
      <c r="B1526">
        <v>13997</v>
      </c>
      <c r="C1526" t="s">
        <v>18</v>
      </c>
      <c r="D1526">
        <v>119175.24</v>
      </c>
      <c r="E1526" t="s">
        <v>16</v>
      </c>
      <c r="F1526">
        <v>30</v>
      </c>
      <c r="G1526" t="s">
        <v>21</v>
      </c>
      <c r="H1526" s="1">
        <v>45430</v>
      </c>
      <c r="I1526" s="1">
        <v>45460</v>
      </c>
      <c r="J1526" t="str">
        <f t="shared" si="23"/>
        <v>May-2024</v>
      </c>
    </row>
    <row r="1527" spans="1:10">
      <c r="A1527">
        <v>1526</v>
      </c>
      <c r="B1527">
        <v>17307</v>
      </c>
      <c r="C1527" t="s">
        <v>15</v>
      </c>
      <c r="D1527">
        <v>72878.63</v>
      </c>
      <c r="E1527" t="s">
        <v>16</v>
      </c>
      <c r="F1527">
        <v>11</v>
      </c>
      <c r="G1527" t="s">
        <v>17</v>
      </c>
      <c r="H1527" s="1">
        <v>45595</v>
      </c>
      <c r="I1527" s="1">
        <v>45606</v>
      </c>
      <c r="J1527" t="str">
        <f t="shared" si="23"/>
        <v>Oct-2024</v>
      </c>
    </row>
    <row r="1528" spans="1:10">
      <c r="A1528">
        <v>1527</v>
      </c>
      <c r="B1528">
        <v>19179</v>
      </c>
      <c r="C1528" t="s">
        <v>23</v>
      </c>
      <c r="D1528">
        <v>133191.64000000001</v>
      </c>
      <c r="E1528" t="s">
        <v>16</v>
      </c>
      <c r="F1528">
        <v>28</v>
      </c>
      <c r="G1528" t="s">
        <v>17</v>
      </c>
      <c r="H1528" s="1">
        <v>45648</v>
      </c>
      <c r="I1528" s="1">
        <v>45676</v>
      </c>
      <c r="J1528" t="str">
        <f t="shared" si="23"/>
        <v>Dec-2024</v>
      </c>
    </row>
    <row r="1529" spans="1:10">
      <c r="A1529">
        <v>1528</v>
      </c>
      <c r="B1529">
        <v>15617</v>
      </c>
      <c r="C1529" t="s">
        <v>23</v>
      </c>
      <c r="D1529">
        <v>8051.23</v>
      </c>
      <c r="E1529" t="s">
        <v>16</v>
      </c>
      <c r="F1529">
        <v>20</v>
      </c>
      <c r="G1529" t="s">
        <v>21</v>
      </c>
      <c r="H1529" s="1">
        <v>45511</v>
      </c>
      <c r="I1529" s="1">
        <v>45531</v>
      </c>
      <c r="J1529" t="str">
        <f t="shared" si="23"/>
        <v>Aug-2024</v>
      </c>
    </row>
    <row r="1530" spans="1:10">
      <c r="A1530">
        <v>1529</v>
      </c>
      <c r="B1530">
        <v>12701</v>
      </c>
      <c r="C1530" t="s">
        <v>18</v>
      </c>
      <c r="D1530">
        <v>17553.099999999999</v>
      </c>
      <c r="E1530" t="s">
        <v>24</v>
      </c>
      <c r="G1530" t="s">
        <v>25</v>
      </c>
      <c r="H1530" s="1">
        <v>45390</v>
      </c>
      <c r="J1530" t="str">
        <f t="shared" si="23"/>
        <v>Apr-2024</v>
      </c>
    </row>
    <row r="1531" spans="1:10">
      <c r="A1531">
        <v>1530</v>
      </c>
      <c r="B1531">
        <v>13712</v>
      </c>
      <c r="C1531" t="s">
        <v>23</v>
      </c>
      <c r="D1531">
        <v>24433.919999999998</v>
      </c>
      <c r="E1531" t="s">
        <v>16</v>
      </c>
      <c r="F1531">
        <v>43</v>
      </c>
      <c r="G1531" t="s">
        <v>20</v>
      </c>
      <c r="H1531" s="1">
        <v>45527</v>
      </c>
      <c r="I1531" s="1">
        <v>45570</v>
      </c>
      <c r="J1531" t="str">
        <f t="shared" si="23"/>
        <v>Aug-2024</v>
      </c>
    </row>
    <row r="1532" spans="1:10">
      <c r="A1532">
        <v>1531</v>
      </c>
      <c r="B1532">
        <v>13907</v>
      </c>
      <c r="C1532" t="s">
        <v>18</v>
      </c>
      <c r="D1532">
        <v>86703.77</v>
      </c>
      <c r="E1532" t="s">
        <v>16</v>
      </c>
      <c r="F1532">
        <v>38</v>
      </c>
      <c r="G1532" t="s">
        <v>25</v>
      </c>
      <c r="H1532" s="1">
        <v>45498</v>
      </c>
      <c r="I1532" s="1">
        <v>45536</v>
      </c>
      <c r="J1532" t="str">
        <f t="shared" si="23"/>
        <v>Jul-2024</v>
      </c>
    </row>
    <row r="1533" spans="1:10">
      <c r="A1533">
        <v>1532</v>
      </c>
      <c r="B1533">
        <v>18946</v>
      </c>
      <c r="C1533" t="s">
        <v>23</v>
      </c>
      <c r="D1533">
        <v>163885.25</v>
      </c>
      <c r="E1533" t="s">
        <v>19</v>
      </c>
      <c r="F1533">
        <v>33</v>
      </c>
      <c r="G1533" t="s">
        <v>25</v>
      </c>
      <c r="H1533" s="1">
        <v>45435</v>
      </c>
      <c r="I1533" s="1">
        <v>45468</v>
      </c>
      <c r="J1533" t="str">
        <f t="shared" si="23"/>
        <v>May-2024</v>
      </c>
    </row>
    <row r="1534" spans="1:10">
      <c r="A1534">
        <v>1533</v>
      </c>
      <c r="B1534">
        <v>10675</v>
      </c>
      <c r="C1534" t="s">
        <v>23</v>
      </c>
      <c r="D1534">
        <v>178194.69</v>
      </c>
      <c r="E1534" t="s">
        <v>16</v>
      </c>
      <c r="F1534">
        <v>16</v>
      </c>
      <c r="G1534" t="s">
        <v>25</v>
      </c>
      <c r="H1534" s="1">
        <v>45490</v>
      </c>
      <c r="I1534" s="1">
        <v>45506</v>
      </c>
      <c r="J1534" t="str">
        <f t="shared" si="23"/>
        <v>Jul-2024</v>
      </c>
    </row>
    <row r="1535" spans="1:10">
      <c r="A1535">
        <v>1534</v>
      </c>
      <c r="B1535">
        <v>14927</v>
      </c>
      <c r="C1535" t="s">
        <v>22</v>
      </c>
      <c r="D1535">
        <v>52738.09</v>
      </c>
      <c r="E1535" t="s">
        <v>19</v>
      </c>
      <c r="F1535">
        <v>22</v>
      </c>
      <c r="G1535" t="s">
        <v>21</v>
      </c>
      <c r="H1535" s="1">
        <v>45594</v>
      </c>
      <c r="I1535" s="1">
        <v>45616</v>
      </c>
      <c r="J1535" t="str">
        <f t="shared" si="23"/>
        <v>Oct-2024</v>
      </c>
    </row>
    <row r="1536" spans="1:10">
      <c r="A1536">
        <v>1535</v>
      </c>
      <c r="B1536">
        <v>15349</v>
      </c>
      <c r="C1536" t="s">
        <v>23</v>
      </c>
      <c r="D1536">
        <v>117002.1</v>
      </c>
      <c r="E1536" t="s">
        <v>16</v>
      </c>
      <c r="F1536">
        <v>4</v>
      </c>
      <c r="G1536" t="s">
        <v>17</v>
      </c>
      <c r="H1536" s="1">
        <v>45614</v>
      </c>
      <c r="I1536" s="1">
        <v>45618</v>
      </c>
      <c r="J1536" t="str">
        <f t="shared" si="23"/>
        <v>Nov-2024</v>
      </c>
    </row>
    <row r="1537" spans="1:10">
      <c r="A1537">
        <v>1536</v>
      </c>
      <c r="B1537">
        <v>16168</v>
      </c>
      <c r="C1537" t="s">
        <v>22</v>
      </c>
      <c r="D1537">
        <v>154831.17000000001</v>
      </c>
      <c r="E1537" t="s">
        <v>19</v>
      </c>
      <c r="F1537">
        <v>9</v>
      </c>
      <c r="G1537" t="s">
        <v>25</v>
      </c>
      <c r="H1537" s="1">
        <v>45578</v>
      </c>
      <c r="I1537" s="1">
        <v>45587</v>
      </c>
      <c r="J1537" t="str">
        <f t="shared" si="23"/>
        <v>Oct-2024</v>
      </c>
    </row>
    <row r="1538" spans="1:10">
      <c r="A1538">
        <v>1537</v>
      </c>
      <c r="B1538">
        <v>19902</v>
      </c>
      <c r="C1538" t="s">
        <v>22</v>
      </c>
      <c r="D1538">
        <v>61321.74</v>
      </c>
      <c r="E1538" t="s">
        <v>16</v>
      </c>
      <c r="F1538">
        <v>7</v>
      </c>
      <c r="G1538" t="s">
        <v>21</v>
      </c>
      <c r="H1538" s="1">
        <v>45623</v>
      </c>
      <c r="I1538" s="1">
        <v>45630</v>
      </c>
      <c r="J1538" t="str">
        <f t="shared" si="23"/>
        <v>Nov-2024</v>
      </c>
    </row>
    <row r="1539" spans="1:10">
      <c r="A1539">
        <v>1538</v>
      </c>
      <c r="B1539">
        <v>13475</v>
      </c>
      <c r="C1539" t="s">
        <v>18</v>
      </c>
      <c r="D1539">
        <v>84756.51</v>
      </c>
      <c r="E1539" t="s">
        <v>19</v>
      </c>
      <c r="F1539">
        <v>30</v>
      </c>
      <c r="G1539" t="s">
        <v>25</v>
      </c>
      <c r="H1539" s="1">
        <v>45555</v>
      </c>
      <c r="I1539" s="1">
        <v>45585</v>
      </c>
      <c r="J1539" t="str">
        <f t="shared" ref="J1539:J1602" si="24">TEXT(H1539,"mmm-yyyy")</f>
        <v>Sep-2024</v>
      </c>
    </row>
    <row r="1540" spans="1:10">
      <c r="A1540">
        <v>1539</v>
      </c>
      <c r="B1540">
        <v>16816</v>
      </c>
      <c r="C1540" t="s">
        <v>18</v>
      </c>
      <c r="D1540">
        <v>107174.97</v>
      </c>
      <c r="E1540" t="s">
        <v>19</v>
      </c>
      <c r="F1540">
        <v>20</v>
      </c>
      <c r="G1540" t="s">
        <v>25</v>
      </c>
      <c r="H1540" s="1">
        <v>45508</v>
      </c>
      <c r="I1540" s="1">
        <v>45528</v>
      </c>
      <c r="J1540" t="str">
        <f t="shared" si="24"/>
        <v>Aug-2024</v>
      </c>
    </row>
    <row r="1541" spans="1:10">
      <c r="A1541">
        <v>1540</v>
      </c>
      <c r="B1541">
        <v>10541</v>
      </c>
      <c r="C1541" t="s">
        <v>18</v>
      </c>
      <c r="D1541">
        <v>31300.6</v>
      </c>
      <c r="E1541" t="s">
        <v>16</v>
      </c>
      <c r="F1541">
        <v>18</v>
      </c>
      <c r="G1541" t="s">
        <v>21</v>
      </c>
      <c r="H1541" s="1">
        <v>45480</v>
      </c>
      <c r="I1541" s="1">
        <v>45498</v>
      </c>
      <c r="J1541" t="str">
        <f t="shared" si="24"/>
        <v>Jul-2024</v>
      </c>
    </row>
    <row r="1542" spans="1:10">
      <c r="A1542">
        <v>1541</v>
      </c>
      <c r="B1542">
        <v>10164</v>
      </c>
      <c r="C1542" t="s">
        <v>15</v>
      </c>
      <c r="D1542">
        <v>10066.549999999999</v>
      </c>
      <c r="E1542" t="s">
        <v>16</v>
      </c>
      <c r="F1542">
        <v>11</v>
      </c>
      <c r="G1542" t="s">
        <v>17</v>
      </c>
      <c r="H1542" s="1">
        <v>45335</v>
      </c>
      <c r="I1542" s="1">
        <v>45346</v>
      </c>
      <c r="J1542" t="str">
        <f t="shared" si="24"/>
        <v>Feb-2024</v>
      </c>
    </row>
    <row r="1543" spans="1:10">
      <c r="A1543">
        <v>1542</v>
      </c>
      <c r="B1543">
        <v>17092</v>
      </c>
      <c r="C1543" t="s">
        <v>23</v>
      </c>
      <c r="D1543">
        <v>34797.129999999997</v>
      </c>
      <c r="E1543" t="s">
        <v>16</v>
      </c>
      <c r="F1543">
        <v>34</v>
      </c>
      <c r="G1543" t="s">
        <v>17</v>
      </c>
      <c r="H1543" s="1">
        <v>45582</v>
      </c>
      <c r="I1543" s="1">
        <v>45616</v>
      </c>
      <c r="J1543" t="str">
        <f t="shared" si="24"/>
        <v>Oct-2024</v>
      </c>
    </row>
    <row r="1544" spans="1:10">
      <c r="A1544">
        <v>1543</v>
      </c>
      <c r="B1544">
        <v>10984</v>
      </c>
      <c r="C1544" t="s">
        <v>23</v>
      </c>
      <c r="D1544">
        <v>127236.46</v>
      </c>
      <c r="E1544" t="s">
        <v>24</v>
      </c>
      <c r="G1544" t="s">
        <v>20</v>
      </c>
      <c r="H1544" s="1">
        <v>45480</v>
      </c>
      <c r="J1544" t="str">
        <f t="shared" si="24"/>
        <v>Jul-2024</v>
      </c>
    </row>
    <row r="1545" spans="1:10">
      <c r="A1545">
        <v>1544</v>
      </c>
      <c r="B1545">
        <v>12661</v>
      </c>
      <c r="C1545" t="s">
        <v>18</v>
      </c>
      <c r="D1545">
        <v>19355.560000000001</v>
      </c>
      <c r="E1545" t="s">
        <v>16</v>
      </c>
      <c r="F1545">
        <v>28</v>
      </c>
      <c r="G1545" t="s">
        <v>21</v>
      </c>
      <c r="H1545" s="1">
        <v>45485</v>
      </c>
      <c r="I1545" s="1">
        <v>45513</v>
      </c>
      <c r="J1545" t="str">
        <f t="shared" si="24"/>
        <v>Jul-2024</v>
      </c>
    </row>
    <row r="1546" spans="1:10">
      <c r="A1546">
        <v>1545</v>
      </c>
      <c r="B1546">
        <v>14468</v>
      </c>
      <c r="C1546" t="s">
        <v>23</v>
      </c>
      <c r="D1546">
        <v>41990.79</v>
      </c>
      <c r="E1546" t="s">
        <v>16</v>
      </c>
      <c r="F1546">
        <v>43</v>
      </c>
      <c r="G1546" t="s">
        <v>20</v>
      </c>
      <c r="H1546" s="1">
        <v>45561</v>
      </c>
      <c r="I1546" s="1">
        <v>45604</v>
      </c>
      <c r="J1546" t="str">
        <f t="shared" si="24"/>
        <v>Sep-2024</v>
      </c>
    </row>
    <row r="1547" spans="1:10">
      <c r="A1547">
        <v>1546</v>
      </c>
      <c r="B1547">
        <v>10617</v>
      </c>
      <c r="C1547" t="s">
        <v>23</v>
      </c>
      <c r="D1547">
        <v>70881.509999999995</v>
      </c>
      <c r="E1547" t="s">
        <v>16</v>
      </c>
      <c r="F1547">
        <v>13</v>
      </c>
      <c r="G1547" t="s">
        <v>20</v>
      </c>
      <c r="H1547" s="1">
        <v>45551</v>
      </c>
      <c r="I1547" s="1">
        <v>45564</v>
      </c>
      <c r="J1547" t="str">
        <f t="shared" si="24"/>
        <v>Sep-2024</v>
      </c>
    </row>
    <row r="1548" spans="1:10">
      <c r="A1548">
        <v>1547</v>
      </c>
      <c r="B1548">
        <v>18260</v>
      </c>
      <c r="C1548" t="s">
        <v>23</v>
      </c>
      <c r="D1548">
        <v>20184.66</v>
      </c>
      <c r="E1548" t="s">
        <v>16</v>
      </c>
      <c r="F1548">
        <v>3</v>
      </c>
      <c r="G1548" t="s">
        <v>20</v>
      </c>
      <c r="H1548" s="1">
        <v>45530</v>
      </c>
      <c r="I1548" s="1">
        <v>45533</v>
      </c>
      <c r="J1548" t="str">
        <f t="shared" si="24"/>
        <v>Aug-2024</v>
      </c>
    </row>
    <row r="1549" spans="1:10">
      <c r="A1549">
        <v>1548</v>
      </c>
      <c r="B1549">
        <v>15639</v>
      </c>
      <c r="C1549" t="s">
        <v>18</v>
      </c>
      <c r="D1549">
        <v>42381.36</v>
      </c>
      <c r="E1549" t="s">
        <v>16</v>
      </c>
      <c r="F1549">
        <v>11</v>
      </c>
      <c r="G1549" t="s">
        <v>17</v>
      </c>
      <c r="H1549" s="1">
        <v>45403</v>
      </c>
      <c r="I1549" s="1">
        <v>45414</v>
      </c>
      <c r="J1549" t="str">
        <f t="shared" si="24"/>
        <v>Apr-2024</v>
      </c>
    </row>
    <row r="1550" spans="1:10">
      <c r="A1550">
        <v>1549</v>
      </c>
      <c r="B1550">
        <v>14196</v>
      </c>
      <c r="C1550" t="s">
        <v>15</v>
      </c>
      <c r="D1550">
        <v>182697.61</v>
      </c>
      <c r="E1550" t="s">
        <v>24</v>
      </c>
      <c r="G1550" t="s">
        <v>21</v>
      </c>
      <c r="H1550" s="1">
        <v>45360</v>
      </c>
      <c r="J1550" t="str">
        <f t="shared" si="24"/>
        <v>Mar-2024</v>
      </c>
    </row>
    <row r="1551" spans="1:10">
      <c r="A1551">
        <v>1550</v>
      </c>
      <c r="B1551">
        <v>10000</v>
      </c>
      <c r="C1551" t="s">
        <v>23</v>
      </c>
      <c r="D1551">
        <v>8763.33</v>
      </c>
      <c r="E1551" t="s">
        <v>16</v>
      </c>
      <c r="F1551">
        <v>24</v>
      </c>
      <c r="G1551" t="s">
        <v>20</v>
      </c>
      <c r="H1551" s="1">
        <v>45340</v>
      </c>
      <c r="I1551" s="1">
        <v>45364</v>
      </c>
      <c r="J1551" t="str">
        <f t="shared" si="24"/>
        <v>Feb-2024</v>
      </c>
    </row>
    <row r="1552" spans="1:10">
      <c r="A1552">
        <v>1551</v>
      </c>
      <c r="B1552">
        <v>18377</v>
      </c>
      <c r="C1552" t="s">
        <v>22</v>
      </c>
      <c r="D1552">
        <v>132419.23000000001</v>
      </c>
      <c r="E1552" t="s">
        <v>19</v>
      </c>
      <c r="F1552">
        <v>2</v>
      </c>
      <c r="G1552" t="s">
        <v>21</v>
      </c>
      <c r="H1552" s="1">
        <v>45602</v>
      </c>
      <c r="I1552" s="1">
        <v>45604</v>
      </c>
      <c r="J1552" t="str">
        <f t="shared" si="24"/>
        <v>Nov-2024</v>
      </c>
    </row>
    <row r="1553" spans="1:10">
      <c r="A1553">
        <v>1552</v>
      </c>
      <c r="B1553">
        <v>14438</v>
      </c>
      <c r="C1553" t="s">
        <v>18</v>
      </c>
      <c r="D1553">
        <v>79959.740000000005</v>
      </c>
      <c r="E1553" t="s">
        <v>16</v>
      </c>
      <c r="F1553">
        <v>34</v>
      </c>
      <c r="G1553" t="s">
        <v>21</v>
      </c>
      <c r="H1553" s="1">
        <v>45442</v>
      </c>
      <c r="I1553" s="1">
        <v>45476</v>
      </c>
      <c r="J1553" t="str">
        <f t="shared" si="24"/>
        <v>May-2024</v>
      </c>
    </row>
    <row r="1554" spans="1:10">
      <c r="A1554">
        <v>1553</v>
      </c>
      <c r="B1554">
        <v>14808</v>
      </c>
      <c r="C1554" t="s">
        <v>15</v>
      </c>
      <c r="D1554">
        <v>136166.5</v>
      </c>
      <c r="E1554" t="s">
        <v>16</v>
      </c>
      <c r="F1554">
        <v>27</v>
      </c>
      <c r="G1554" t="s">
        <v>17</v>
      </c>
      <c r="H1554" s="1">
        <v>45530</v>
      </c>
      <c r="I1554" s="1">
        <v>45557</v>
      </c>
      <c r="J1554" t="str">
        <f t="shared" si="24"/>
        <v>Aug-2024</v>
      </c>
    </row>
    <row r="1555" spans="1:10">
      <c r="A1555">
        <v>1554</v>
      </c>
      <c r="B1555">
        <v>13079</v>
      </c>
      <c r="C1555" t="s">
        <v>18</v>
      </c>
      <c r="D1555">
        <v>119794.89</v>
      </c>
      <c r="E1555" t="s">
        <v>16</v>
      </c>
      <c r="F1555">
        <v>16</v>
      </c>
      <c r="G1555" t="s">
        <v>20</v>
      </c>
      <c r="H1555" s="1">
        <v>45628</v>
      </c>
      <c r="I1555" s="1">
        <v>45644</v>
      </c>
      <c r="J1555" t="str">
        <f t="shared" si="24"/>
        <v>Dec-2024</v>
      </c>
    </row>
    <row r="1556" spans="1:10">
      <c r="A1556">
        <v>1555</v>
      </c>
      <c r="B1556">
        <v>16719</v>
      </c>
      <c r="C1556" t="s">
        <v>18</v>
      </c>
      <c r="D1556">
        <v>48582.26</v>
      </c>
      <c r="E1556" t="s">
        <v>16</v>
      </c>
      <c r="F1556">
        <v>23</v>
      </c>
      <c r="G1556" t="s">
        <v>20</v>
      </c>
      <c r="H1556" s="1">
        <v>45406</v>
      </c>
      <c r="I1556" s="1">
        <v>45429</v>
      </c>
      <c r="J1556" t="str">
        <f t="shared" si="24"/>
        <v>Apr-2024</v>
      </c>
    </row>
    <row r="1557" spans="1:10">
      <c r="A1557">
        <v>1556</v>
      </c>
      <c r="B1557">
        <v>18327</v>
      </c>
      <c r="C1557" t="s">
        <v>23</v>
      </c>
      <c r="D1557">
        <v>170205.85</v>
      </c>
      <c r="E1557" t="s">
        <v>24</v>
      </c>
      <c r="G1557" t="s">
        <v>21</v>
      </c>
      <c r="H1557" s="1">
        <v>45366</v>
      </c>
      <c r="J1557" t="str">
        <f t="shared" si="24"/>
        <v>Mar-2024</v>
      </c>
    </row>
    <row r="1558" spans="1:10">
      <c r="A1558">
        <v>1557</v>
      </c>
      <c r="B1558">
        <v>16018</v>
      </c>
      <c r="C1558" t="s">
        <v>15</v>
      </c>
      <c r="D1558">
        <v>100928.37</v>
      </c>
      <c r="E1558" t="s">
        <v>19</v>
      </c>
      <c r="F1558">
        <v>2</v>
      </c>
      <c r="G1558" t="s">
        <v>25</v>
      </c>
      <c r="H1558" s="1">
        <v>45389</v>
      </c>
      <c r="I1558" s="1">
        <v>45391</v>
      </c>
      <c r="J1558" t="str">
        <f t="shared" si="24"/>
        <v>Apr-2024</v>
      </c>
    </row>
    <row r="1559" spans="1:10">
      <c r="A1559">
        <v>1558</v>
      </c>
      <c r="B1559">
        <v>10382</v>
      </c>
      <c r="C1559" t="s">
        <v>23</v>
      </c>
      <c r="D1559">
        <v>165394.51999999999</v>
      </c>
      <c r="E1559" t="s">
        <v>16</v>
      </c>
      <c r="F1559">
        <v>27</v>
      </c>
      <c r="G1559" t="s">
        <v>17</v>
      </c>
      <c r="H1559" s="1">
        <v>45402</v>
      </c>
      <c r="I1559" s="1">
        <v>45429</v>
      </c>
      <c r="J1559" t="str">
        <f t="shared" si="24"/>
        <v>Apr-2024</v>
      </c>
    </row>
    <row r="1560" spans="1:10">
      <c r="A1560">
        <v>1559</v>
      </c>
      <c r="B1560">
        <v>10927</v>
      </c>
      <c r="C1560" t="s">
        <v>15</v>
      </c>
      <c r="D1560">
        <v>84172.44</v>
      </c>
      <c r="E1560" t="s">
        <v>16</v>
      </c>
      <c r="F1560">
        <v>22</v>
      </c>
      <c r="G1560" t="s">
        <v>17</v>
      </c>
      <c r="H1560" s="1">
        <v>45648</v>
      </c>
      <c r="I1560" s="1">
        <v>45670</v>
      </c>
      <c r="J1560" t="str">
        <f t="shared" si="24"/>
        <v>Dec-2024</v>
      </c>
    </row>
    <row r="1561" spans="1:10">
      <c r="A1561">
        <v>1560</v>
      </c>
      <c r="B1561">
        <v>15059</v>
      </c>
      <c r="C1561" t="s">
        <v>22</v>
      </c>
      <c r="D1561">
        <v>197013.68</v>
      </c>
      <c r="E1561" t="s">
        <v>16</v>
      </c>
      <c r="F1561">
        <v>42</v>
      </c>
      <c r="G1561" t="s">
        <v>17</v>
      </c>
      <c r="H1561" s="1">
        <v>45576</v>
      </c>
      <c r="I1561" s="1">
        <v>45618</v>
      </c>
      <c r="J1561" t="str">
        <f t="shared" si="24"/>
        <v>Oct-2024</v>
      </c>
    </row>
    <row r="1562" spans="1:10">
      <c r="A1562">
        <v>1561</v>
      </c>
      <c r="B1562">
        <v>10560</v>
      </c>
      <c r="C1562" t="s">
        <v>23</v>
      </c>
      <c r="D1562">
        <v>155245.42000000001</v>
      </c>
      <c r="E1562" t="s">
        <v>24</v>
      </c>
      <c r="G1562" t="s">
        <v>17</v>
      </c>
      <c r="H1562" s="1">
        <v>45547</v>
      </c>
      <c r="J1562" t="str">
        <f t="shared" si="24"/>
        <v>Sep-2024</v>
      </c>
    </row>
    <row r="1563" spans="1:10">
      <c r="A1563">
        <v>1562</v>
      </c>
      <c r="B1563">
        <v>11189</v>
      </c>
      <c r="C1563" t="s">
        <v>23</v>
      </c>
      <c r="D1563">
        <v>193360.29</v>
      </c>
      <c r="E1563" t="s">
        <v>19</v>
      </c>
      <c r="F1563">
        <v>40</v>
      </c>
      <c r="G1563" t="s">
        <v>20</v>
      </c>
      <c r="H1563" s="1">
        <v>45609</v>
      </c>
      <c r="I1563" s="1">
        <v>45649</v>
      </c>
      <c r="J1563" t="str">
        <f t="shared" si="24"/>
        <v>Nov-2024</v>
      </c>
    </row>
    <row r="1564" spans="1:10">
      <c r="A1564">
        <v>1563</v>
      </c>
      <c r="B1564">
        <v>10897</v>
      </c>
      <c r="C1564" t="s">
        <v>18</v>
      </c>
      <c r="D1564">
        <v>105293.66</v>
      </c>
      <c r="E1564" t="s">
        <v>19</v>
      </c>
      <c r="F1564">
        <v>17</v>
      </c>
      <c r="G1564" t="s">
        <v>20</v>
      </c>
      <c r="H1564" s="1">
        <v>45600</v>
      </c>
      <c r="I1564" s="1">
        <v>45617</v>
      </c>
      <c r="J1564" t="str">
        <f t="shared" si="24"/>
        <v>Nov-2024</v>
      </c>
    </row>
    <row r="1565" spans="1:10">
      <c r="A1565">
        <v>1564</v>
      </c>
      <c r="B1565">
        <v>12368</v>
      </c>
      <c r="C1565" t="s">
        <v>23</v>
      </c>
      <c r="D1565">
        <v>97369.77</v>
      </c>
      <c r="E1565" t="s">
        <v>16</v>
      </c>
      <c r="F1565">
        <v>33</v>
      </c>
      <c r="G1565" t="s">
        <v>25</v>
      </c>
      <c r="H1565" s="1">
        <v>45408</v>
      </c>
      <c r="I1565" s="1">
        <v>45441</v>
      </c>
      <c r="J1565" t="str">
        <f t="shared" si="24"/>
        <v>Apr-2024</v>
      </c>
    </row>
    <row r="1566" spans="1:10">
      <c r="A1566">
        <v>1565</v>
      </c>
      <c r="B1566">
        <v>19930</v>
      </c>
      <c r="C1566" t="s">
        <v>15</v>
      </c>
      <c r="D1566">
        <v>152313.49</v>
      </c>
      <c r="E1566" t="s">
        <v>16</v>
      </c>
      <c r="F1566">
        <v>17</v>
      </c>
      <c r="G1566" t="s">
        <v>17</v>
      </c>
      <c r="H1566" s="1">
        <v>45467</v>
      </c>
      <c r="I1566" s="1">
        <v>45484</v>
      </c>
      <c r="J1566" t="str">
        <f t="shared" si="24"/>
        <v>Jun-2024</v>
      </c>
    </row>
    <row r="1567" spans="1:10">
      <c r="A1567">
        <v>1566</v>
      </c>
      <c r="B1567">
        <v>14953</v>
      </c>
      <c r="C1567" t="s">
        <v>23</v>
      </c>
      <c r="D1567">
        <v>176656.8</v>
      </c>
      <c r="E1567" t="s">
        <v>16</v>
      </c>
      <c r="F1567">
        <v>14</v>
      </c>
      <c r="G1567" t="s">
        <v>17</v>
      </c>
      <c r="H1567" s="1">
        <v>45519</v>
      </c>
      <c r="I1567" s="1">
        <v>45533</v>
      </c>
      <c r="J1567" t="str">
        <f t="shared" si="24"/>
        <v>Aug-2024</v>
      </c>
    </row>
    <row r="1568" spans="1:10">
      <c r="A1568">
        <v>1567</v>
      </c>
      <c r="B1568">
        <v>17898</v>
      </c>
      <c r="C1568" t="s">
        <v>23</v>
      </c>
      <c r="D1568">
        <v>193008.43</v>
      </c>
      <c r="E1568" t="s">
        <v>16</v>
      </c>
      <c r="F1568">
        <v>43</v>
      </c>
      <c r="G1568" t="s">
        <v>21</v>
      </c>
      <c r="H1568" s="1">
        <v>45638</v>
      </c>
      <c r="I1568" s="1">
        <v>45681</v>
      </c>
      <c r="J1568" t="str">
        <f t="shared" si="24"/>
        <v>Dec-2024</v>
      </c>
    </row>
    <row r="1569" spans="1:10">
      <c r="A1569">
        <v>1568</v>
      </c>
      <c r="B1569">
        <v>14380</v>
      </c>
      <c r="C1569" t="s">
        <v>22</v>
      </c>
      <c r="D1569">
        <v>68287.62</v>
      </c>
      <c r="E1569" t="s">
        <v>16</v>
      </c>
      <c r="F1569">
        <v>33</v>
      </c>
      <c r="G1569" t="s">
        <v>20</v>
      </c>
      <c r="H1569" s="1">
        <v>45397</v>
      </c>
      <c r="I1569" s="1">
        <v>45430</v>
      </c>
      <c r="J1569" t="str">
        <f t="shared" si="24"/>
        <v>Apr-2024</v>
      </c>
    </row>
    <row r="1570" spans="1:10">
      <c r="A1570">
        <v>1569</v>
      </c>
      <c r="B1570">
        <v>12398</v>
      </c>
      <c r="C1570" t="s">
        <v>18</v>
      </c>
      <c r="D1570">
        <v>160747.39000000001</v>
      </c>
      <c r="E1570" t="s">
        <v>16</v>
      </c>
      <c r="F1570">
        <v>42</v>
      </c>
      <c r="G1570" t="s">
        <v>17</v>
      </c>
      <c r="H1570" s="1">
        <v>45633</v>
      </c>
      <c r="I1570" s="1">
        <v>45675</v>
      </c>
      <c r="J1570" t="str">
        <f t="shared" si="24"/>
        <v>Dec-2024</v>
      </c>
    </row>
    <row r="1571" spans="1:10">
      <c r="A1571">
        <v>1570</v>
      </c>
      <c r="B1571">
        <v>16226</v>
      </c>
      <c r="C1571" t="s">
        <v>15</v>
      </c>
      <c r="D1571">
        <v>46075.89</v>
      </c>
      <c r="E1571" t="s">
        <v>16</v>
      </c>
      <c r="F1571">
        <v>25</v>
      </c>
      <c r="G1571" t="s">
        <v>25</v>
      </c>
      <c r="H1571" s="1">
        <v>45530</v>
      </c>
      <c r="I1571" s="1">
        <v>45555</v>
      </c>
      <c r="J1571" t="str">
        <f t="shared" si="24"/>
        <v>Aug-2024</v>
      </c>
    </row>
    <row r="1572" spans="1:10">
      <c r="A1572">
        <v>1571</v>
      </c>
      <c r="B1572">
        <v>15743</v>
      </c>
      <c r="C1572" t="s">
        <v>23</v>
      </c>
      <c r="D1572">
        <v>111387</v>
      </c>
      <c r="E1572" t="s">
        <v>19</v>
      </c>
      <c r="F1572">
        <v>14</v>
      </c>
      <c r="G1572" t="s">
        <v>25</v>
      </c>
      <c r="H1572" s="1">
        <v>45391</v>
      </c>
      <c r="I1572" s="1">
        <v>45405</v>
      </c>
      <c r="J1572" t="str">
        <f t="shared" si="24"/>
        <v>Apr-2024</v>
      </c>
    </row>
    <row r="1573" spans="1:10">
      <c r="A1573">
        <v>1572</v>
      </c>
      <c r="B1573">
        <v>19585</v>
      </c>
      <c r="C1573" t="s">
        <v>18</v>
      </c>
      <c r="D1573">
        <v>40070.39</v>
      </c>
      <c r="E1573" t="s">
        <v>19</v>
      </c>
      <c r="F1573">
        <v>12</v>
      </c>
      <c r="G1573" t="s">
        <v>20</v>
      </c>
      <c r="H1573" s="1">
        <v>45467</v>
      </c>
      <c r="I1573" s="1">
        <v>45479</v>
      </c>
      <c r="J1573" t="str">
        <f t="shared" si="24"/>
        <v>Jun-2024</v>
      </c>
    </row>
    <row r="1574" spans="1:10">
      <c r="A1574">
        <v>1573</v>
      </c>
      <c r="B1574">
        <v>12588</v>
      </c>
      <c r="C1574" t="s">
        <v>18</v>
      </c>
      <c r="D1574">
        <v>72742.490000000005</v>
      </c>
      <c r="E1574" t="s">
        <v>16</v>
      </c>
      <c r="F1574">
        <v>16</v>
      </c>
      <c r="G1574" t="s">
        <v>25</v>
      </c>
      <c r="H1574" s="1">
        <v>45641</v>
      </c>
      <c r="I1574" s="1">
        <v>45657</v>
      </c>
      <c r="J1574" t="str">
        <f t="shared" si="24"/>
        <v>Dec-2024</v>
      </c>
    </row>
    <row r="1575" spans="1:10">
      <c r="A1575">
        <v>1574</v>
      </c>
      <c r="B1575">
        <v>16356</v>
      </c>
      <c r="C1575" t="s">
        <v>18</v>
      </c>
      <c r="D1575">
        <v>186614.88</v>
      </c>
      <c r="E1575" t="s">
        <v>16</v>
      </c>
      <c r="F1575">
        <v>11</v>
      </c>
      <c r="G1575" t="s">
        <v>25</v>
      </c>
      <c r="H1575" s="1">
        <v>45540</v>
      </c>
      <c r="I1575" s="1">
        <v>45551</v>
      </c>
      <c r="J1575" t="str">
        <f t="shared" si="24"/>
        <v>Sep-2024</v>
      </c>
    </row>
    <row r="1576" spans="1:10">
      <c r="A1576">
        <v>1575</v>
      </c>
      <c r="B1576">
        <v>13685</v>
      </c>
      <c r="C1576" t="s">
        <v>18</v>
      </c>
      <c r="D1576">
        <v>33487.69</v>
      </c>
      <c r="E1576" t="s">
        <v>16</v>
      </c>
      <c r="F1576">
        <v>43</v>
      </c>
      <c r="G1576" t="s">
        <v>20</v>
      </c>
      <c r="H1576" s="1">
        <v>45367</v>
      </c>
      <c r="I1576" s="1">
        <v>45410</v>
      </c>
      <c r="J1576" t="str">
        <f t="shared" si="24"/>
        <v>Mar-2024</v>
      </c>
    </row>
    <row r="1577" spans="1:10">
      <c r="A1577">
        <v>1576</v>
      </c>
      <c r="B1577">
        <v>19121</v>
      </c>
      <c r="C1577" t="s">
        <v>18</v>
      </c>
      <c r="D1577">
        <v>128318.17</v>
      </c>
      <c r="E1577" t="s">
        <v>19</v>
      </c>
      <c r="F1577">
        <v>42</v>
      </c>
      <c r="G1577" t="s">
        <v>17</v>
      </c>
      <c r="H1577" s="1">
        <v>45294</v>
      </c>
      <c r="I1577" s="1">
        <v>45336</v>
      </c>
      <c r="J1577" t="str">
        <f t="shared" si="24"/>
        <v>Jan-2024</v>
      </c>
    </row>
    <row r="1578" spans="1:10">
      <c r="A1578">
        <v>1577</v>
      </c>
      <c r="B1578">
        <v>14309</v>
      </c>
      <c r="C1578" t="s">
        <v>23</v>
      </c>
      <c r="D1578">
        <v>120626.08</v>
      </c>
      <c r="E1578" t="s">
        <v>19</v>
      </c>
      <c r="F1578">
        <v>4</v>
      </c>
      <c r="G1578" t="s">
        <v>17</v>
      </c>
      <c r="H1578" s="1">
        <v>45372</v>
      </c>
      <c r="I1578" s="1">
        <v>45376</v>
      </c>
      <c r="J1578" t="str">
        <f t="shared" si="24"/>
        <v>Mar-2024</v>
      </c>
    </row>
    <row r="1579" spans="1:10">
      <c r="A1579">
        <v>1578</v>
      </c>
      <c r="B1579">
        <v>14399</v>
      </c>
      <c r="C1579" t="s">
        <v>23</v>
      </c>
      <c r="D1579">
        <v>28543.98</v>
      </c>
      <c r="E1579" t="s">
        <v>19</v>
      </c>
      <c r="F1579">
        <v>17</v>
      </c>
      <c r="G1579" t="s">
        <v>25</v>
      </c>
      <c r="H1579" s="1">
        <v>45652</v>
      </c>
      <c r="I1579" s="1">
        <v>45669</v>
      </c>
      <c r="J1579" t="str">
        <f t="shared" si="24"/>
        <v>Dec-2024</v>
      </c>
    </row>
    <row r="1580" spans="1:10">
      <c r="A1580">
        <v>1579</v>
      </c>
      <c r="B1580">
        <v>13226</v>
      </c>
      <c r="C1580" t="s">
        <v>18</v>
      </c>
      <c r="D1580">
        <v>68565.91</v>
      </c>
      <c r="E1580" t="s">
        <v>19</v>
      </c>
      <c r="F1580">
        <v>18</v>
      </c>
      <c r="G1580" t="s">
        <v>25</v>
      </c>
      <c r="H1580" s="1">
        <v>45579</v>
      </c>
      <c r="I1580" s="1">
        <v>45597</v>
      </c>
      <c r="J1580" t="str">
        <f t="shared" si="24"/>
        <v>Oct-2024</v>
      </c>
    </row>
    <row r="1581" spans="1:10">
      <c r="A1581">
        <v>1580</v>
      </c>
      <c r="B1581">
        <v>11403</v>
      </c>
      <c r="C1581" t="s">
        <v>23</v>
      </c>
      <c r="D1581">
        <v>114781.39</v>
      </c>
      <c r="E1581" t="s">
        <v>16</v>
      </c>
      <c r="F1581">
        <v>26</v>
      </c>
      <c r="G1581" t="s">
        <v>17</v>
      </c>
      <c r="H1581" s="1">
        <v>45299</v>
      </c>
      <c r="I1581" s="1">
        <v>45325</v>
      </c>
      <c r="J1581" t="str">
        <f t="shared" si="24"/>
        <v>Jan-2024</v>
      </c>
    </row>
    <row r="1582" spans="1:10">
      <c r="A1582">
        <v>1581</v>
      </c>
      <c r="B1582">
        <v>18391</v>
      </c>
      <c r="C1582" t="s">
        <v>18</v>
      </c>
      <c r="D1582">
        <v>41499.83</v>
      </c>
      <c r="E1582" t="s">
        <v>16</v>
      </c>
      <c r="F1582">
        <v>31</v>
      </c>
      <c r="G1582" t="s">
        <v>20</v>
      </c>
      <c r="H1582" s="1">
        <v>45378</v>
      </c>
      <c r="I1582" s="1">
        <v>45409</v>
      </c>
      <c r="J1582" t="str">
        <f t="shared" si="24"/>
        <v>Mar-2024</v>
      </c>
    </row>
    <row r="1583" spans="1:10">
      <c r="A1583">
        <v>1582</v>
      </c>
      <c r="B1583">
        <v>12285</v>
      </c>
      <c r="C1583" t="s">
        <v>23</v>
      </c>
      <c r="D1583">
        <v>161121.60999999999</v>
      </c>
      <c r="E1583" t="s">
        <v>16</v>
      </c>
      <c r="F1583">
        <v>36</v>
      </c>
      <c r="G1583" t="s">
        <v>25</v>
      </c>
      <c r="H1583" s="1">
        <v>45577</v>
      </c>
      <c r="I1583" s="1">
        <v>45613</v>
      </c>
      <c r="J1583" t="str">
        <f t="shared" si="24"/>
        <v>Oct-2024</v>
      </c>
    </row>
    <row r="1584" spans="1:10">
      <c r="A1584">
        <v>1583</v>
      </c>
      <c r="B1584">
        <v>18862</v>
      </c>
      <c r="C1584" t="s">
        <v>18</v>
      </c>
      <c r="D1584">
        <v>194570.52</v>
      </c>
      <c r="E1584" t="s">
        <v>16</v>
      </c>
      <c r="F1584">
        <v>38</v>
      </c>
      <c r="G1584" t="s">
        <v>21</v>
      </c>
      <c r="H1584" s="1">
        <v>45365</v>
      </c>
      <c r="I1584" s="1">
        <v>45403</v>
      </c>
      <c r="J1584" t="str">
        <f t="shared" si="24"/>
        <v>Mar-2024</v>
      </c>
    </row>
    <row r="1585" spans="1:10">
      <c r="A1585">
        <v>1584</v>
      </c>
      <c r="B1585">
        <v>11728</v>
      </c>
      <c r="C1585" t="s">
        <v>18</v>
      </c>
      <c r="D1585">
        <v>46878.080000000002</v>
      </c>
      <c r="E1585" t="s">
        <v>19</v>
      </c>
      <c r="F1585">
        <v>14</v>
      </c>
      <c r="G1585" t="s">
        <v>20</v>
      </c>
      <c r="H1585" s="1">
        <v>45414</v>
      </c>
      <c r="I1585" s="1">
        <v>45428</v>
      </c>
      <c r="J1585" t="str">
        <f t="shared" si="24"/>
        <v>May-2024</v>
      </c>
    </row>
    <row r="1586" spans="1:10">
      <c r="A1586">
        <v>1585</v>
      </c>
      <c r="B1586">
        <v>11249</v>
      </c>
      <c r="C1586" t="s">
        <v>23</v>
      </c>
      <c r="D1586">
        <v>41447.83</v>
      </c>
      <c r="E1586" t="s">
        <v>16</v>
      </c>
      <c r="F1586">
        <v>25</v>
      </c>
      <c r="G1586" t="s">
        <v>25</v>
      </c>
      <c r="H1586" s="1">
        <v>45585</v>
      </c>
      <c r="I1586" s="1">
        <v>45610</v>
      </c>
      <c r="J1586" t="str">
        <f t="shared" si="24"/>
        <v>Oct-2024</v>
      </c>
    </row>
    <row r="1587" spans="1:10">
      <c r="A1587">
        <v>1586</v>
      </c>
      <c r="B1587">
        <v>10878</v>
      </c>
      <c r="C1587" t="s">
        <v>23</v>
      </c>
      <c r="D1587">
        <v>93712.34</v>
      </c>
      <c r="E1587" t="s">
        <v>16</v>
      </c>
      <c r="F1587">
        <v>39</v>
      </c>
      <c r="G1587" t="s">
        <v>25</v>
      </c>
      <c r="H1587" s="1">
        <v>45434</v>
      </c>
      <c r="I1587" s="1">
        <v>45473</v>
      </c>
      <c r="J1587" t="str">
        <f t="shared" si="24"/>
        <v>May-2024</v>
      </c>
    </row>
    <row r="1588" spans="1:10">
      <c r="A1588">
        <v>1587</v>
      </c>
      <c r="B1588">
        <v>12523</v>
      </c>
      <c r="C1588" t="s">
        <v>23</v>
      </c>
      <c r="D1588">
        <v>150814.23000000001</v>
      </c>
      <c r="E1588" t="s">
        <v>16</v>
      </c>
      <c r="F1588">
        <v>27</v>
      </c>
      <c r="G1588" t="s">
        <v>21</v>
      </c>
      <c r="H1588" s="1">
        <v>45449</v>
      </c>
      <c r="I1588" s="1">
        <v>45476</v>
      </c>
      <c r="J1588" t="str">
        <f t="shared" si="24"/>
        <v>Jun-2024</v>
      </c>
    </row>
    <row r="1589" spans="1:10">
      <c r="A1589">
        <v>1588</v>
      </c>
      <c r="B1589">
        <v>10497</v>
      </c>
      <c r="C1589" t="s">
        <v>18</v>
      </c>
      <c r="D1589">
        <v>59912.12</v>
      </c>
      <c r="E1589" t="s">
        <v>24</v>
      </c>
      <c r="G1589" t="s">
        <v>21</v>
      </c>
      <c r="H1589" s="1">
        <v>45400</v>
      </c>
      <c r="J1589" t="str">
        <f t="shared" si="24"/>
        <v>Apr-2024</v>
      </c>
    </row>
    <row r="1590" spans="1:10">
      <c r="A1590">
        <v>1589</v>
      </c>
      <c r="B1590">
        <v>19169</v>
      </c>
      <c r="C1590" t="s">
        <v>15</v>
      </c>
      <c r="D1590">
        <v>8876.58</v>
      </c>
      <c r="E1590" t="s">
        <v>16</v>
      </c>
      <c r="F1590">
        <v>20</v>
      </c>
      <c r="G1590" t="s">
        <v>17</v>
      </c>
      <c r="H1590" s="1">
        <v>45625</v>
      </c>
      <c r="I1590" s="1">
        <v>45645</v>
      </c>
      <c r="J1590" t="str">
        <f t="shared" si="24"/>
        <v>Nov-2024</v>
      </c>
    </row>
    <row r="1591" spans="1:10">
      <c r="A1591">
        <v>1590</v>
      </c>
      <c r="B1591">
        <v>17702</v>
      </c>
      <c r="C1591" t="s">
        <v>23</v>
      </c>
      <c r="D1591">
        <v>110538.02</v>
      </c>
      <c r="E1591" t="s">
        <v>16</v>
      </c>
      <c r="F1591">
        <v>29</v>
      </c>
      <c r="G1591" t="s">
        <v>20</v>
      </c>
      <c r="H1591" s="1">
        <v>45486</v>
      </c>
      <c r="I1591" s="1">
        <v>45515</v>
      </c>
      <c r="J1591" t="str">
        <f t="shared" si="24"/>
        <v>Jul-2024</v>
      </c>
    </row>
    <row r="1592" spans="1:10">
      <c r="A1592">
        <v>1591</v>
      </c>
      <c r="B1592">
        <v>17578</v>
      </c>
      <c r="C1592" t="s">
        <v>18</v>
      </c>
      <c r="D1592">
        <v>191537.11</v>
      </c>
      <c r="E1592" t="s">
        <v>16</v>
      </c>
      <c r="F1592">
        <v>8</v>
      </c>
      <c r="G1592" t="s">
        <v>20</v>
      </c>
      <c r="H1592" s="1">
        <v>45327</v>
      </c>
      <c r="I1592" s="1">
        <v>45335</v>
      </c>
      <c r="J1592" t="str">
        <f t="shared" si="24"/>
        <v>Feb-2024</v>
      </c>
    </row>
    <row r="1593" spans="1:10">
      <c r="A1593">
        <v>1592</v>
      </c>
      <c r="B1593">
        <v>14879</v>
      </c>
      <c r="C1593" t="s">
        <v>23</v>
      </c>
      <c r="D1593">
        <v>81298.990000000005</v>
      </c>
      <c r="E1593" t="s">
        <v>16</v>
      </c>
      <c r="F1593">
        <v>23</v>
      </c>
      <c r="G1593" t="s">
        <v>17</v>
      </c>
      <c r="H1593" s="1">
        <v>45381</v>
      </c>
      <c r="I1593" s="1">
        <v>45404</v>
      </c>
      <c r="J1593" t="str">
        <f t="shared" si="24"/>
        <v>Mar-2024</v>
      </c>
    </row>
    <row r="1594" spans="1:10">
      <c r="A1594">
        <v>1593</v>
      </c>
      <c r="B1594">
        <v>10538</v>
      </c>
      <c r="C1594" t="s">
        <v>23</v>
      </c>
      <c r="D1594">
        <v>86926.24</v>
      </c>
      <c r="E1594" t="s">
        <v>16</v>
      </c>
      <c r="F1594">
        <v>31</v>
      </c>
      <c r="G1594" t="s">
        <v>20</v>
      </c>
      <c r="H1594" s="1">
        <v>45587</v>
      </c>
      <c r="I1594" s="1">
        <v>45618</v>
      </c>
      <c r="J1594" t="str">
        <f t="shared" si="24"/>
        <v>Oct-2024</v>
      </c>
    </row>
    <row r="1595" spans="1:10">
      <c r="A1595">
        <v>1594</v>
      </c>
      <c r="B1595">
        <v>19092</v>
      </c>
      <c r="C1595" t="s">
        <v>22</v>
      </c>
      <c r="D1595">
        <v>193935.83</v>
      </c>
      <c r="E1595" t="s">
        <v>19</v>
      </c>
      <c r="F1595">
        <v>38</v>
      </c>
      <c r="G1595" t="s">
        <v>20</v>
      </c>
      <c r="H1595" s="1">
        <v>45621</v>
      </c>
      <c r="I1595" s="1">
        <v>45659</v>
      </c>
      <c r="J1595" t="str">
        <f t="shared" si="24"/>
        <v>Nov-2024</v>
      </c>
    </row>
    <row r="1596" spans="1:10">
      <c r="A1596">
        <v>1595</v>
      </c>
      <c r="B1596">
        <v>11466</v>
      </c>
      <c r="C1596" t="s">
        <v>23</v>
      </c>
      <c r="D1596">
        <v>140448.48000000001</v>
      </c>
      <c r="E1596" t="s">
        <v>16</v>
      </c>
      <c r="F1596">
        <v>17</v>
      </c>
      <c r="G1596" t="s">
        <v>20</v>
      </c>
      <c r="H1596" s="1">
        <v>45492</v>
      </c>
      <c r="I1596" s="1">
        <v>45509</v>
      </c>
      <c r="J1596" t="str">
        <f t="shared" si="24"/>
        <v>Jul-2024</v>
      </c>
    </row>
    <row r="1597" spans="1:10">
      <c r="A1597">
        <v>1596</v>
      </c>
      <c r="B1597">
        <v>17714</v>
      </c>
      <c r="C1597" t="s">
        <v>23</v>
      </c>
      <c r="D1597">
        <v>145238.51999999999</v>
      </c>
      <c r="E1597" t="s">
        <v>19</v>
      </c>
      <c r="F1597">
        <v>37</v>
      </c>
      <c r="G1597" t="s">
        <v>20</v>
      </c>
      <c r="H1597" s="1">
        <v>45337</v>
      </c>
      <c r="I1597" s="1">
        <v>45374</v>
      </c>
      <c r="J1597" t="str">
        <f t="shared" si="24"/>
        <v>Feb-2024</v>
      </c>
    </row>
    <row r="1598" spans="1:10">
      <c r="A1598">
        <v>1597</v>
      </c>
      <c r="B1598">
        <v>11733</v>
      </c>
      <c r="C1598" t="s">
        <v>23</v>
      </c>
      <c r="D1598">
        <v>114726.89</v>
      </c>
      <c r="E1598" t="s">
        <v>16</v>
      </c>
      <c r="F1598">
        <v>6</v>
      </c>
      <c r="G1598" t="s">
        <v>20</v>
      </c>
      <c r="H1598" s="1">
        <v>45398</v>
      </c>
      <c r="I1598" s="1">
        <v>45404</v>
      </c>
      <c r="J1598" t="str">
        <f t="shared" si="24"/>
        <v>Apr-2024</v>
      </c>
    </row>
    <row r="1599" spans="1:10">
      <c r="A1599">
        <v>1598</v>
      </c>
      <c r="B1599">
        <v>10490</v>
      </c>
      <c r="C1599" t="s">
        <v>23</v>
      </c>
      <c r="D1599">
        <v>195048.8</v>
      </c>
      <c r="E1599" t="s">
        <v>16</v>
      </c>
      <c r="F1599">
        <v>30</v>
      </c>
      <c r="G1599" t="s">
        <v>21</v>
      </c>
      <c r="H1599" s="1">
        <v>45461</v>
      </c>
      <c r="I1599" s="1">
        <v>45491</v>
      </c>
      <c r="J1599" t="str">
        <f t="shared" si="24"/>
        <v>Jun-2024</v>
      </c>
    </row>
    <row r="1600" spans="1:10">
      <c r="A1600">
        <v>1599</v>
      </c>
      <c r="B1600">
        <v>11709</v>
      </c>
      <c r="C1600" t="s">
        <v>23</v>
      </c>
      <c r="D1600">
        <v>139328.95999999999</v>
      </c>
      <c r="E1600" t="s">
        <v>24</v>
      </c>
      <c r="G1600" t="s">
        <v>20</v>
      </c>
      <c r="H1600" s="1">
        <v>45437</v>
      </c>
      <c r="J1600" t="str">
        <f t="shared" si="24"/>
        <v>May-2024</v>
      </c>
    </row>
    <row r="1601" spans="1:10">
      <c r="A1601">
        <v>1600</v>
      </c>
      <c r="B1601">
        <v>19945</v>
      </c>
      <c r="C1601" t="s">
        <v>23</v>
      </c>
      <c r="D1601">
        <v>179531.39</v>
      </c>
      <c r="E1601" t="s">
        <v>16</v>
      </c>
      <c r="F1601">
        <v>7</v>
      </c>
      <c r="G1601" t="s">
        <v>21</v>
      </c>
      <c r="H1601" s="1">
        <v>45647</v>
      </c>
      <c r="I1601" s="1">
        <v>45654</v>
      </c>
      <c r="J1601" t="str">
        <f t="shared" si="24"/>
        <v>Dec-2024</v>
      </c>
    </row>
    <row r="1602" spans="1:10">
      <c r="A1602">
        <v>1601</v>
      </c>
      <c r="B1602">
        <v>16711</v>
      </c>
      <c r="C1602" t="s">
        <v>18</v>
      </c>
      <c r="D1602">
        <v>141378.88</v>
      </c>
      <c r="E1602" t="s">
        <v>16</v>
      </c>
      <c r="F1602">
        <v>37</v>
      </c>
      <c r="G1602" t="s">
        <v>20</v>
      </c>
      <c r="H1602" s="1">
        <v>45469</v>
      </c>
      <c r="I1602" s="1">
        <v>45506</v>
      </c>
      <c r="J1602" t="str">
        <f t="shared" si="24"/>
        <v>Jun-2024</v>
      </c>
    </row>
    <row r="1603" spans="1:10">
      <c r="A1603">
        <v>1602</v>
      </c>
      <c r="B1603">
        <v>11918</v>
      </c>
      <c r="C1603" t="s">
        <v>23</v>
      </c>
      <c r="D1603">
        <v>148347.59</v>
      </c>
      <c r="E1603" t="s">
        <v>19</v>
      </c>
      <c r="F1603">
        <v>34</v>
      </c>
      <c r="G1603" t="s">
        <v>17</v>
      </c>
      <c r="H1603" s="1">
        <v>45352</v>
      </c>
      <c r="I1603" s="1">
        <v>45386</v>
      </c>
      <c r="J1603" t="str">
        <f t="shared" ref="J1603:J1666" si="25">TEXT(H1603,"mmm-yyyy")</f>
        <v>Mar-2024</v>
      </c>
    </row>
    <row r="1604" spans="1:10">
      <c r="A1604">
        <v>1603</v>
      </c>
      <c r="B1604">
        <v>18166</v>
      </c>
      <c r="C1604" t="s">
        <v>18</v>
      </c>
      <c r="D1604">
        <v>61630.13</v>
      </c>
      <c r="E1604" t="s">
        <v>16</v>
      </c>
      <c r="F1604">
        <v>42</v>
      </c>
      <c r="G1604" t="s">
        <v>25</v>
      </c>
      <c r="H1604" s="1">
        <v>45294</v>
      </c>
      <c r="I1604" s="1">
        <v>45336</v>
      </c>
      <c r="J1604" t="str">
        <f t="shared" si="25"/>
        <v>Jan-2024</v>
      </c>
    </row>
    <row r="1605" spans="1:10">
      <c r="A1605">
        <v>1604</v>
      </c>
      <c r="B1605">
        <v>16025</v>
      </c>
      <c r="C1605" t="s">
        <v>23</v>
      </c>
      <c r="D1605">
        <v>64178.35</v>
      </c>
      <c r="E1605" t="s">
        <v>19</v>
      </c>
      <c r="F1605">
        <v>17</v>
      </c>
      <c r="G1605" t="s">
        <v>21</v>
      </c>
      <c r="H1605" s="1">
        <v>45373</v>
      </c>
      <c r="I1605" s="1">
        <v>45390</v>
      </c>
      <c r="J1605" t="str">
        <f t="shared" si="25"/>
        <v>Mar-2024</v>
      </c>
    </row>
    <row r="1606" spans="1:10">
      <c r="A1606">
        <v>1605</v>
      </c>
      <c r="B1606">
        <v>19678</v>
      </c>
      <c r="C1606" t="s">
        <v>23</v>
      </c>
      <c r="D1606">
        <v>157682.01</v>
      </c>
      <c r="E1606" t="s">
        <v>16</v>
      </c>
      <c r="F1606">
        <v>35</v>
      </c>
      <c r="G1606" t="s">
        <v>20</v>
      </c>
      <c r="H1606" s="1">
        <v>45554</v>
      </c>
      <c r="I1606" s="1">
        <v>45589</v>
      </c>
      <c r="J1606" t="str">
        <f t="shared" si="25"/>
        <v>Sep-2024</v>
      </c>
    </row>
    <row r="1607" spans="1:10">
      <c r="A1607">
        <v>1606</v>
      </c>
      <c r="B1607">
        <v>16099</v>
      </c>
      <c r="C1607" t="s">
        <v>18</v>
      </c>
      <c r="D1607">
        <v>62857.73</v>
      </c>
      <c r="E1607" t="s">
        <v>16</v>
      </c>
      <c r="F1607">
        <v>44</v>
      </c>
      <c r="G1607" t="s">
        <v>17</v>
      </c>
      <c r="H1607" s="1">
        <v>45578</v>
      </c>
      <c r="I1607" s="1">
        <v>45622</v>
      </c>
      <c r="J1607" t="str">
        <f t="shared" si="25"/>
        <v>Oct-2024</v>
      </c>
    </row>
    <row r="1608" spans="1:10">
      <c r="A1608">
        <v>1607</v>
      </c>
      <c r="B1608">
        <v>19692</v>
      </c>
      <c r="C1608" t="s">
        <v>22</v>
      </c>
      <c r="D1608">
        <v>114740.16</v>
      </c>
      <c r="E1608" t="s">
        <v>16</v>
      </c>
      <c r="F1608">
        <v>27</v>
      </c>
      <c r="G1608" t="s">
        <v>25</v>
      </c>
      <c r="H1608" s="1">
        <v>45612</v>
      </c>
      <c r="I1608" s="1">
        <v>45639</v>
      </c>
      <c r="J1608" t="str">
        <f t="shared" si="25"/>
        <v>Nov-2024</v>
      </c>
    </row>
    <row r="1609" spans="1:10">
      <c r="A1609">
        <v>1608</v>
      </c>
      <c r="B1609">
        <v>10197</v>
      </c>
      <c r="C1609" t="s">
        <v>23</v>
      </c>
      <c r="D1609">
        <v>53623.7</v>
      </c>
      <c r="E1609" t="s">
        <v>19</v>
      </c>
      <c r="F1609">
        <v>38</v>
      </c>
      <c r="G1609" t="s">
        <v>21</v>
      </c>
      <c r="H1609" s="1">
        <v>45386</v>
      </c>
      <c r="I1609" s="1">
        <v>45424</v>
      </c>
      <c r="J1609" t="str">
        <f t="shared" si="25"/>
        <v>Apr-2024</v>
      </c>
    </row>
    <row r="1610" spans="1:10">
      <c r="A1610">
        <v>1609</v>
      </c>
      <c r="B1610">
        <v>19726</v>
      </c>
      <c r="C1610" t="s">
        <v>15</v>
      </c>
      <c r="D1610">
        <v>164311.76</v>
      </c>
      <c r="E1610" t="s">
        <v>16</v>
      </c>
      <c r="F1610">
        <v>14</v>
      </c>
      <c r="G1610" t="s">
        <v>25</v>
      </c>
      <c r="H1610" s="1">
        <v>45355</v>
      </c>
      <c r="I1610" s="1">
        <v>45369</v>
      </c>
      <c r="J1610" t="str">
        <f t="shared" si="25"/>
        <v>Mar-2024</v>
      </c>
    </row>
    <row r="1611" spans="1:10">
      <c r="A1611">
        <v>1610</v>
      </c>
      <c r="B1611">
        <v>11713</v>
      </c>
      <c r="C1611" t="s">
        <v>18</v>
      </c>
      <c r="D1611">
        <v>26547.759999999998</v>
      </c>
      <c r="E1611" t="s">
        <v>19</v>
      </c>
      <c r="F1611">
        <v>18</v>
      </c>
      <c r="G1611" t="s">
        <v>17</v>
      </c>
      <c r="H1611" s="1">
        <v>45537</v>
      </c>
      <c r="I1611" s="1">
        <v>45555</v>
      </c>
      <c r="J1611" t="str">
        <f t="shared" si="25"/>
        <v>Sep-2024</v>
      </c>
    </row>
    <row r="1612" spans="1:10">
      <c r="A1612">
        <v>1611</v>
      </c>
      <c r="B1612">
        <v>19540</v>
      </c>
      <c r="C1612" t="s">
        <v>18</v>
      </c>
      <c r="D1612">
        <v>166742.09</v>
      </c>
      <c r="E1612" t="s">
        <v>24</v>
      </c>
      <c r="G1612" t="s">
        <v>21</v>
      </c>
      <c r="H1612" s="1">
        <v>45368</v>
      </c>
      <c r="J1612" t="str">
        <f t="shared" si="25"/>
        <v>Mar-2024</v>
      </c>
    </row>
    <row r="1613" spans="1:10">
      <c r="A1613">
        <v>1612</v>
      </c>
      <c r="B1613">
        <v>14783</v>
      </c>
      <c r="C1613" t="s">
        <v>18</v>
      </c>
      <c r="D1613">
        <v>122532.31</v>
      </c>
      <c r="E1613" t="s">
        <v>16</v>
      </c>
      <c r="F1613">
        <v>33</v>
      </c>
      <c r="G1613" t="s">
        <v>25</v>
      </c>
      <c r="H1613" s="1">
        <v>45550</v>
      </c>
      <c r="I1613" s="1">
        <v>45583</v>
      </c>
      <c r="J1613" t="str">
        <f t="shared" si="25"/>
        <v>Sep-2024</v>
      </c>
    </row>
    <row r="1614" spans="1:10">
      <c r="A1614">
        <v>1613</v>
      </c>
      <c r="B1614">
        <v>18102</v>
      </c>
      <c r="C1614" t="s">
        <v>23</v>
      </c>
      <c r="D1614">
        <v>41447.360000000001</v>
      </c>
      <c r="E1614" t="s">
        <v>16</v>
      </c>
      <c r="F1614">
        <v>29</v>
      </c>
      <c r="G1614" t="s">
        <v>20</v>
      </c>
      <c r="H1614" s="1">
        <v>45384</v>
      </c>
      <c r="I1614" s="1">
        <v>45413</v>
      </c>
      <c r="J1614" t="str">
        <f t="shared" si="25"/>
        <v>Apr-2024</v>
      </c>
    </row>
    <row r="1615" spans="1:10">
      <c r="A1615">
        <v>1614</v>
      </c>
      <c r="B1615">
        <v>13844</v>
      </c>
      <c r="C1615" t="s">
        <v>23</v>
      </c>
      <c r="D1615">
        <v>110696.9</v>
      </c>
      <c r="E1615" t="s">
        <v>16</v>
      </c>
      <c r="F1615">
        <v>30</v>
      </c>
      <c r="G1615" t="s">
        <v>21</v>
      </c>
      <c r="H1615" s="1">
        <v>45582</v>
      </c>
      <c r="I1615" s="1">
        <v>45612</v>
      </c>
      <c r="J1615" t="str">
        <f t="shared" si="25"/>
        <v>Oct-2024</v>
      </c>
    </row>
    <row r="1616" spans="1:10">
      <c r="A1616">
        <v>1615</v>
      </c>
      <c r="B1616">
        <v>10595</v>
      </c>
      <c r="C1616" t="s">
        <v>18</v>
      </c>
      <c r="D1616">
        <v>60087.27</v>
      </c>
      <c r="E1616" t="s">
        <v>16</v>
      </c>
      <c r="F1616">
        <v>26</v>
      </c>
      <c r="G1616" t="s">
        <v>25</v>
      </c>
      <c r="H1616" s="1">
        <v>45562</v>
      </c>
      <c r="I1616" s="1">
        <v>45588</v>
      </c>
      <c r="J1616" t="str">
        <f t="shared" si="25"/>
        <v>Sep-2024</v>
      </c>
    </row>
    <row r="1617" spans="1:10">
      <c r="A1617">
        <v>1616</v>
      </c>
      <c r="B1617">
        <v>18330</v>
      </c>
      <c r="C1617" t="s">
        <v>23</v>
      </c>
      <c r="D1617">
        <v>68076.13</v>
      </c>
      <c r="E1617" t="s">
        <v>16</v>
      </c>
      <c r="F1617">
        <v>23</v>
      </c>
      <c r="G1617" t="s">
        <v>17</v>
      </c>
      <c r="H1617" s="1">
        <v>45312</v>
      </c>
      <c r="I1617" s="1">
        <v>45335</v>
      </c>
      <c r="J1617" t="str">
        <f t="shared" si="25"/>
        <v>Jan-2024</v>
      </c>
    </row>
    <row r="1618" spans="1:10">
      <c r="A1618">
        <v>1617</v>
      </c>
      <c r="B1618">
        <v>11014</v>
      </c>
      <c r="C1618" t="s">
        <v>22</v>
      </c>
      <c r="D1618">
        <v>73547.97</v>
      </c>
      <c r="E1618" t="s">
        <v>16</v>
      </c>
      <c r="F1618">
        <v>28</v>
      </c>
      <c r="G1618" t="s">
        <v>17</v>
      </c>
      <c r="H1618" s="1">
        <v>45353</v>
      </c>
      <c r="I1618" s="1">
        <v>45381</v>
      </c>
      <c r="J1618" t="str">
        <f t="shared" si="25"/>
        <v>Mar-2024</v>
      </c>
    </row>
    <row r="1619" spans="1:10">
      <c r="A1619">
        <v>1618</v>
      </c>
      <c r="B1619">
        <v>10241</v>
      </c>
      <c r="C1619" t="s">
        <v>23</v>
      </c>
      <c r="D1619">
        <v>17347.25</v>
      </c>
      <c r="E1619" t="s">
        <v>24</v>
      </c>
      <c r="G1619" t="s">
        <v>21</v>
      </c>
      <c r="H1619" s="1">
        <v>45630</v>
      </c>
      <c r="J1619" t="str">
        <f t="shared" si="25"/>
        <v>Dec-2024</v>
      </c>
    </row>
    <row r="1620" spans="1:10">
      <c r="A1620">
        <v>1619</v>
      </c>
      <c r="B1620">
        <v>12363</v>
      </c>
      <c r="C1620" t="s">
        <v>23</v>
      </c>
      <c r="D1620">
        <v>197262.53</v>
      </c>
      <c r="E1620" t="s">
        <v>24</v>
      </c>
      <c r="G1620" t="s">
        <v>25</v>
      </c>
      <c r="H1620" s="1">
        <v>45551</v>
      </c>
      <c r="J1620" t="str">
        <f t="shared" si="25"/>
        <v>Sep-2024</v>
      </c>
    </row>
    <row r="1621" spans="1:10">
      <c r="A1621">
        <v>1620</v>
      </c>
      <c r="B1621">
        <v>10732</v>
      </c>
      <c r="C1621" t="s">
        <v>18</v>
      </c>
      <c r="D1621">
        <v>11149.25</v>
      </c>
      <c r="E1621" t="s">
        <v>19</v>
      </c>
      <c r="F1621">
        <v>25</v>
      </c>
      <c r="G1621" t="s">
        <v>21</v>
      </c>
      <c r="H1621" s="1">
        <v>45528</v>
      </c>
      <c r="I1621" s="1">
        <v>45553</v>
      </c>
      <c r="J1621" t="str">
        <f t="shared" si="25"/>
        <v>Aug-2024</v>
      </c>
    </row>
    <row r="1622" spans="1:10">
      <c r="A1622">
        <v>1621</v>
      </c>
      <c r="B1622">
        <v>10134</v>
      </c>
      <c r="C1622" t="s">
        <v>23</v>
      </c>
      <c r="D1622">
        <v>134186.89000000001</v>
      </c>
      <c r="E1622" t="s">
        <v>19</v>
      </c>
      <c r="F1622">
        <v>9</v>
      </c>
      <c r="G1622" t="s">
        <v>21</v>
      </c>
      <c r="H1622" s="1">
        <v>45432</v>
      </c>
      <c r="I1622" s="1">
        <v>45441</v>
      </c>
      <c r="J1622" t="str">
        <f t="shared" si="25"/>
        <v>May-2024</v>
      </c>
    </row>
    <row r="1623" spans="1:10">
      <c r="A1623">
        <v>1622</v>
      </c>
      <c r="B1623">
        <v>13761</v>
      </c>
      <c r="C1623" t="s">
        <v>18</v>
      </c>
      <c r="D1623">
        <v>77389.39</v>
      </c>
      <c r="E1623" t="s">
        <v>16</v>
      </c>
      <c r="F1623">
        <v>15</v>
      </c>
      <c r="G1623" t="s">
        <v>25</v>
      </c>
      <c r="H1623" s="1">
        <v>45458</v>
      </c>
      <c r="I1623" s="1">
        <v>45473</v>
      </c>
      <c r="J1623" t="str">
        <f t="shared" si="25"/>
        <v>Jun-2024</v>
      </c>
    </row>
    <row r="1624" spans="1:10">
      <c r="A1624">
        <v>1623</v>
      </c>
      <c r="B1624">
        <v>12626</v>
      </c>
      <c r="C1624" t="s">
        <v>18</v>
      </c>
      <c r="D1624">
        <v>130972.01</v>
      </c>
      <c r="E1624" t="s">
        <v>16</v>
      </c>
      <c r="F1624">
        <v>40</v>
      </c>
      <c r="G1624" t="s">
        <v>25</v>
      </c>
      <c r="H1624" s="1">
        <v>45358</v>
      </c>
      <c r="I1624" s="1">
        <v>45398</v>
      </c>
      <c r="J1624" t="str">
        <f t="shared" si="25"/>
        <v>Mar-2024</v>
      </c>
    </row>
    <row r="1625" spans="1:10">
      <c r="A1625">
        <v>1624</v>
      </c>
      <c r="B1625">
        <v>17179</v>
      </c>
      <c r="C1625" t="s">
        <v>22</v>
      </c>
      <c r="D1625">
        <v>74468.41</v>
      </c>
      <c r="E1625" t="s">
        <v>19</v>
      </c>
      <c r="F1625">
        <v>15</v>
      </c>
      <c r="G1625" t="s">
        <v>20</v>
      </c>
      <c r="H1625" s="1">
        <v>45641</v>
      </c>
      <c r="I1625" s="1">
        <v>45656</v>
      </c>
      <c r="J1625" t="str">
        <f t="shared" si="25"/>
        <v>Dec-2024</v>
      </c>
    </row>
    <row r="1626" spans="1:10">
      <c r="A1626">
        <v>1625</v>
      </c>
      <c r="B1626">
        <v>11510</v>
      </c>
      <c r="C1626" t="s">
        <v>18</v>
      </c>
      <c r="D1626">
        <v>136381.38</v>
      </c>
      <c r="E1626" t="s">
        <v>16</v>
      </c>
      <c r="F1626">
        <v>6</v>
      </c>
      <c r="G1626" t="s">
        <v>25</v>
      </c>
      <c r="H1626" s="1">
        <v>45349</v>
      </c>
      <c r="I1626" s="1">
        <v>45355</v>
      </c>
      <c r="J1626" t="str">
        <f t="shared" si="25"/>
        <v>Feb-2024</v>
      </c>
    </row>
    <row r="1627" spans="1:10">
      <c r="A1627">
        <v>1626</v>
      </c>
      <c r="B1627">
        <v>12796</v>
      </c>
      <c r="C1627" t="s">
        <v>18</v>
      </c>
      <c r="D1627">
        <v>147200.92000000001</v>
      </c>
      <c r="E1627" t="s">
        <v>24</v>
      </c>
      <c r="G1627" t="s">
        <v>17</v>
      </c>
      <c r="H1627" s="1">
        <v>45503</v>
      </c>
      <c r="J1627" t="str">
        <f t="shared" si="25"/>
        <v>Jul-2024</v>
      </c>
    </row>
    <row r="1628" spans="1:10">
      <c r="A1628">
        <v>1627</v>
      </c>
      <c r="B1628">
        <v>16907</v>
      </c>
      <c r="C1628" t="s">
        <v>18</v>
      </c>
      <c r="D1628">
        <v>139657.76</v>
      </c>
      <c r="E1628" t="s">
        <v>16</v>
      </c>
      <c r="F1628">
        <v>16</v>
      </c>
      <c r="G1628" t="s">
        <v>21</v>
      </c>
      <c r="H1628" s="1">
        <v>45421</v>
      </c>
      <c r="I1628" s="1">
        <v>45437</v>
      </c>
      <c r="J1628" t="str">
        <f t="shared" si="25"/>
        <v>May-2024</v>
      </c>
    </row>
    <row r="1629" spans="1:10">
      <c r="A1629">
        <v>1628</v>
      </c>
      <c r="B1629">
        <v>14512</v>
      </c>
      <c r="C1629" t="s">
        <v>22</v>
      </c>
      <c r="D1629">
        <v>27222.59</v>
      </c>
      <c r="E1629" t="s">
        <v>16</v>
      </c>
      <c r="F1629">
        <v>37</v>
      </c>
      <c r="G1629" t="s">
        <v>21</v>
      </c>
      <c r="H1629" s="1">
        <v>45316</v>
      </c>
      <c r="I1629" s="1">
        <v>45353</v>
      </c>
      <c r="J1629" t="str">
        <f t="shared" si="25"/>
        <v>Jan-2024</v>
      </c>
    </row>
    <row r="1630" spans="1:10">
      <c r="A1630">
        <v>1629</v>
      </c>
      <c r="B1630">
        <v>14302</v>
      </c>
      <c r="C1630" t="s">
        <v>23</v>
      </c>
      <c r="D1630">
        <v>133094.18</v>
      </c>
      <c r="E1630" t="s">
        <v>19</v>
      </c>
      <c r="F1630">
        <v>34</v>
      </c>
      <c r="G1630" t="s">
        <v>17</v>
      </c>
      <c r="H1630" s="1">
        <v>45302</v>
      </c>
      <c r="I1630" s="1">
        <v>45336</v>
      </c>
      <c r="J1630" t="str">
        <f t="shared" si="25"/>
        <v>Jan-2024</v>
      </c>
    </row>
    <row r="1631" spans="1:10">
      <c r="A1631">
        <v>1630</v>
      </c>
      <c r="B1631">
        <v>11643</v>
      </c>
      <c r="C1631" t="s">
        <v>23</v>
      </c>
      <c r="D1631">
        <v>59597.57</v>
      </c>
      <c r="E1631" t="s">
        <v>24</v>
      </c>
      <c r="G1631" t="s">
        <v>25</v>
      </c>
      <c r="H1631" s="1">
        <v>45548</v>
      </c>
      <c r="J1631" t="str">
        <f t="shared" si="25"/>
        <v>Sep-2024</v>
      </c>
    </row>
    <row r="1632" spans="1:10">
      <c r="A1632">
        <v>1631</v>
      </c>
      <c r="B1632">
        <v>14406</v>
      </c>
      <c r="C1632" t="s">
        <v>23</v>
      </c>
      <c r="D1632">
        <v>10616.27</v>
      </c>
      <c r="E1632" t="s">
        <v>16</v>
      </c>
      <c r="F1632">
        <v>21</v>
      </c>
      <c r="G1632" t="s">
        <v>17</v>
      </c>
      <c r="H1632" s="1">
        <v>45595</v>
      </c>
      <c r="I1632" s="1">
        <v>45616</v>
      </c>
      <c r="J1632" t="str">
        <f t="shared" si="25"/>
        <v>Oct-2024</v>
      </c>
    </row>
    <row r="1633" spans="1:10">
      <c r="A1633">
        <v>1632</v>
      </c>
      <c r="B1633">
        <v>13364</v>
      </c>
      <c r="C1633" t="s">
        <v>23</v>
      </c>
      <c r="D1633">
        <v>85891.98</v>
      </c>
      <c r="E1633" t="s">
        <v>19</v>
      </c>
      <c r="F1633">
        <v>2</v>
      </c>
      <c r="G1633" t="s">
        <v>17</v>
      </c>
      <c r="H1633" s="1">
        <v>45372</v>
      </c>
      <c r="I1633" s="1">
        <v>45374</v>
      </c>
      <c r="J1633" t="str">
        <f t="shared" si="25"/>
        <v>Mar-2024</v>
      </c>
    </row>
    <row r="1634" spans="1:10">
      <c r="A1634">
        <v>1633</v>
      </c>
      <c r="B1634">
        <v>16768</v>
      </c>
      <c r="C1634" t="s">
        <v>18</v>
      </c>
      <c r="D1634">
        <v>89540.91</v>
      </c>
      <c r="E1634" t="s">
        <v>16</v>
      </c>
      <c r="F1634">
        <v>17</v>
      </c>
      <c r="G1634" t="s">
        <v>20</v>
      </c>
      <c r="H1634" s="1">
        <v>45577</v>
      </c>
      <c r="I1634" s="1">
        <v>45594</v>
      </c>
      <c r="J1634" t="str">
        <f t="shared" si="25"/>
        <v>Oct-2024</v>
      </c>
    </row>
    <row r="1635" spans="1:10">
      <c r="A1635">
        <v>1634</v>
      </c>
      <c r="B1635">
        <v>19591</v>
      </c>
      <c r="C1635" t="s">
        <v>18</v>
      </c>
      <c r="D1635">
        <v>96098.96</v>
      </c>
      <c r="E1635" t="s">
        <v>16</v>
      </c>
      <c r="F1635">
        <v>19</v>
      </c>
      <c r="G1635" t="s">
        <v>17</v>
      </c>
      <c r="H1635" s="1">
        <v>45310</v>
      </c>
      <c r="I1635" s="1">
        <v>45329</v>
      </c>
      <c r="J1635" t="str">
        <f t="shared" si="25"/>
        <v>Jan-2024</v>
      </c>
    </row>
    <row r="1636" spans="1:10">
      <c r="A1636">
        <v>1635</v>
      </c>
      <c r="B1636">
        <v>19742</v>
      </c>
      <c r="C1636" t="s">
        <v>18</v>
      </c>
      <c r="D1636">
        <v>142440.71</v>
      </c>
      <c r="E1636" t="s">
        <v>19</v>
      </c>
      <c r="F1636">
        <v>11</v>
      </c>
      <c r="G1636" t="s">
        <v>21</v>
      </c>
      <c r="H1636" s="1">
        <v>45401</v>
      </c>
      <c r="I1636" s="1">
        <v>45412</v>
      </c>
      <c r="J1636" t="str">
        <f t="shared" si="25"/>
        <v>Apr-2024</v>
      </c>
    </row>
    <row r="1637" spans="1:10">
      <c r="A1637">
        <v>1636</v>
      </c>
      <c r="B1637">
        <v>13411</v>
      </c>
      <c r="C1637" t="s">
        <v>23</v>
      </c>
      <c r="D1637">
        <v>65224.54</v>
      </c>
      <c r="E1637" t="s">
        <v>16</v>
      </c>
      <c r="F1637">
        <v>24</v>
      </c>
      <c r="G1637" t="s">
        <v>17</v>
      </c>
      <c r="H1637" s="1">
        <v>45325</v>
      </c>
      <c r="I1637" s="1">
        <v>45349</v>
      </c>
      <c r="J1637" t="str">
        <f t="shared" si="25"/>
        <v>Feb-2024</v>
      </c>
    </row>
    <row r="1638" spans="1:10">
      <c r="A1638">
        <v>1637</v>
      </c>
      <c r="B1638">
        <v>10082</v>
      </c>
      <c r="C1638" t="s">
        <v>18</v>
      </c>
      <c r="D1638">
        <v>66479.7</v>
      </c>
      <c r="E1638" t="s">
        <v>16</v>
      </c>
      <c r="F1638">
        <v>19</v>
      </c>
      <c r="G1638" t="s">
        <v>21</v>
      </c>
      <c r="H1638" s="1">
        <v>45579</v>
      </c>
      <c r="I1638" s="1">
        <v>45598</v>
      </c>
      <c r="J1638" t="str">
        <f t="shared" si="25"/>
        <v>Oct-2024</v>
      </c>
    </row>
    <row r="1639" spans="1:10">
      <c r="A1639">
        <v>1638</v>
      </c>
      <c r="B1639">
        <v>15696</v>
      </c>
      <c r="C1639" t="s">
        <v>23</v>
      </c>
      <c r="D1639">
        <v>16807.689999999999</v>
      </c>
      <c r="E1639" t="s">
        <v>16</v>
      </c>
      <c r="F1639">
        <v>10</v>
      </c>
      <c r="G1639" t="s">
        <v>21</v>
      </c>
      <c r="H1639" s="1">
        <v>45623</v>
      </c>
      <c r="I1639" s="1">
        <v>45633</v>
      </c>
      <c r="J1639" t="str">
        <f t="shared" si="25"/>
        <v>Nov-2024</v>
      </c>
    </row>
    <row r="1640" spans="1:10">
      <c r="A1640">
        <v>1639</v>
      </c>
      <c r="B1640">
        <v>19671</v>
      </c>
      <c r="C1640" t="s">
        <v>18</v>
      </c>
      <c r="D1640">
        <v>138930.14000000001</v>
      </c>
      <c r="E1640" t="s">
        <v>16</v>
      </c>
      <c r="F1640">
        <v>31</v>
      </c>
      <c r="G1640" t="s">
        <v>21</v>
      </c>
      <c r="H1640" s="1">
        <v>45546</v>
      </c>
      <c r="I1640" s="1">
        <v>45577</v>
      </c>
      <c r="J1640" t="str">
        <f t="shared" si="25"/>
        <v>Sep-2024</v>
      </c>
    </row>
    <row r="1641" spans="1:10">
      <c r="A1641">
        <v>1640</v>
      </c>
      <c r="B1641">
        <v>12440</v>
      </c>
      <c r="C1641" t="s">
        <v>18</v>
      </c>
      <c r="D1641">
        <v>115726.09</v>
      </c>
      <c r="E1641" t="s">
        <v>16</v>
      </c>
      <c r="F1641">
        <v>14</v>
      </c>
      <c r="G1641" t="s">
        <v>25</v>
      </c>
      <c r="H1641" s="1">
        <v>45417</v>
      </c>
      <c r="I1641" s="1">
        <v>45431</v>
      </c>
      <c r="J1641" t="str">
        <f t="shared" si="25"/>
        <v>May-2024</v>
      </c>
    </row>
    <row r="1642" spans="1:10">
      <c r="A1642">
        <v>1641</v>
      </c>
      <c r="B1642">
        <v>15760</v>
      </c>
      <c r="C1642" t="s">
        <v>23</v>
      </c>
      <c r="D1642">
        <v>73137.899999999994</v>
      </c>
      <c r="E1642" t="s">
        <v>16</v>
      </c>
      <c r="F1642">
        <v>32</v>
      </c>
      <c r="G1642" t="s">
        <v>20</v>
      </c>
      <c r="H1642" s="1">
        <v>45500</v>
      </c>
      <c r="I1642" s="1">
        <v>45532</v>
      </c>
      <c r="J1642" t="str">
        <f t="shared" si="25"/>
        <v>Jul-2024</v>
      </c>
    </row>
    <row r="1643" spans="1:10">
      <c r="A1643">
        <v>1642</v>
      </c>
      <c r="B1643">
        <v>11782</v>
      </c>
      <c r="C1643" t="s">
        <v>23</v>
      </c>
      <c r="D1643">
        <v>142511.85</v>
      </c>
      <c r="E1643" t="s">
        <v>16</v>
      </c>
      <c r="F1643">
        <v>44</v>
      </c>
      <c r="G1643" t="s">
        <v>21</v>
      </c>
      <c r="H1643" s="1">
        <v>45425</v>
      </c>
      <c r="I1643" s="1">
        <v>45469</v>
      </c>
      <c r="J1643" t="str">
        <f t="shared" si="25"/>
        <v>May-2024</v>
      </c>
    </row>
    <row r="1644" spans="1:10">
      <c r="A1644">
        <v>1643</v>
      </c>
      <c r="B1644">
        <v>18796</v>
      </c>
      <c r="C1644" t="s">
        <v>23</v>
      </c>
      <c r="D1644">
        <v>109784.76</v>
      </c>
      <c r="E1644" t="s">
        <v>24</v>
      </c>
      <c r="G1644" t="s">
        <v>21</v>
      </c>
      <c r="H1644" s="1">
        <v>45377</v>
      </c>
      <c r="J1644" t="str">
        <f t="shared" si="25"/>
        <v>Mar-2024</v>
      </c>
    </row>
    <row r="1645" spans="1:10">
      <c r="A1645">
        <v>1644</v>
      </c>
      <c r="B1645">
        <v>16426</v>
      </c>
      <c r="C1645" t="s">
        <v>15</v>
      </c>
      <c r="D1645">
        <v>96502.76</v>
      </c>
      <c r="E1645" t="s">
        <v>16</v>
      </c>
      <c r="F1645">
        <v>33</v>
      </c>
      <c r="G1645" t="s">
        <v>25</v>
      </c>
      <c r="H1645" s="1">
        <v>45366</v>
      </c>
      <c r="I1645" s="1">
        <v>45399</v>
      </c>
      <c r="J1645" t="str">
        <f t="shared" si="25"/>
        <v>Mar-2024</v>
      </c>
    </row>
    <row r="1646" spans="1:10">
      <c r="A1646">
        <v>1645</v>
      </c>
      <c r="B1646">
        <v>17906</v>
      </c>
      <c r="C1646" t="s">
        <v>22</v>
      </c>
      <c r="D1646">
        <v>104708.29</v>
      </c>
      <c r="E1646" t="s">
        <v>19</v>
      </c>
      <c r="F1646">
        <v>18</v>
      </c>
      <c r="G1646" t="s">
        <v>21</v>
      </c>
      <c r="H1646" s="1">
        <v>45426</v>
      </c>
      <c r="I1646" s="1">
        <v>45444</v>
      </c>
      <c r="J1646" t="str">
        <f t="shared" si="25"/>
        <v>May-2024</v>
      </c>
    </row>
    <row r="1647" spans="1:10">
      <c r="A1647">
        <v>1646</v>
      </c>
      <c r="B1647">
        <v>18922</v>
      </c>
      <c r="C1647" t="s">
        <v>18</v>
      </c>
      <c r="D1647">
        <v>129087.88</v>
      </c>
      <c r="E1647" t="s">
        <v>16</v>
      </c>
      <c r="F1647">
        <v>4</v>
      </c>
      <c r="G1647" t="s">
        <v>17</v>
      </c>
      <c r="H1647" s="1">
        <v>45592</v>
      </c>
      <c r="I1647" s="1">
        <v>45596</v>
      </c>
      <c r="J1647" t="str">
        <f t="shared" si="25"/>
        <v>Oct-2024</v>
      </c>
    </row>
    <row r="1648" spans="1:10">
      <c r="A1648">
        <v>1647</v>
      </c>
      <c r="B1648">
        <v>11360</v>
      </c>
      <c r="C1648" t="s">
        <v>23</v>
      </c>
      <c r="D1648">
        <v>133700.51</v>
      </c>
      <c r="E1648" t="s">
        <v>16</v>
      </c>
      <c r="F1648">
        <v>2</v>
      </c>
      <c r="G1648" t="s">
        <v>17</v>
      </c>
      <c r="H1648" s="1">
        <v>45464</v>
      </c>
      <c r="I1648" s="1">
        <v>45466</v>
      </c>
      <c r="J1648" t="str">
        <f t="shared" si="25"/>
        <v>Jun-2024</v>
      </c>
    </row>
    <row r="1649" spans="1:10">
      <c r="A1649">
        <v>1648</v>
      </c>
      <c r="B1649">
        <v>12078</v>
      </c>
      <c r="C1649" t="s">
        <v>23</v>
      </c>
      <c r="D1649">
        <v>61346.77</v>
      </c>
      <c r="E1649" t="s">
        <v>16</v>
      </c>
      <c r="F1649">
        <v>6</v>
      </c>
      <c r="G1649" t="s">
        <v>20</v>
      </c>
      <c r="H1649" s="1">
        <v>45504</v>
      </c>
      <c r="I1649" s="1">
        <v>45510</v>
      </c>
      <c r="J1649" t="str">
        <f t="shared" si="25"/>
        <v>Jul-2024</v>
      </c>
    </row>
    <row r="1650" spans="1:10">
      <c r="A1650">
        <v>1649</v>
      </c>
      <c r="B1650">
        <v>10977</v>
      </c>
      <c r="C1650" t="s">
        <v>18</v>
      </c>
      <c r="D1650">
        <v>32444.959999999999</v>
      </c>
      <c r="E1650" t="s">
        <v>16</v>
      </c>
      <c r="F1650">
        <v>33</v>
      </c>
      <c r="G1650" t="s">
        <v>21</v>
      </c>
      <c r="H1650" s="1">
        <v>45612</v>
      </c>
      <c r="I1650" s="1">
        <v>45645</v>
      </c>
      <c r="J1650" t="str">
        <f t="shared" si="25"/>
        <v>Nov-2024</v>
      </c>
    </row>
    <row r="1651" spans="1:10">
      <c r="A1651">
        <v>1650</v>
      </c>
      <c r="B1651">
        <v>17793</v>
      </c>
      <c r="C1651" t="s">
        <v>18</v>
      </c>
      <c r="D1651">
        <v>35543.67</v>
      </c>
      <c r="E1651" t="s">
        <v>16</v>
      </c>
      <c r="F1651">
        <v>26</v>
      </c>
      <c r="G1651" t="s">
        <v>25</v>
      </c>
      <c r="H1651" s="1">
        <v>45641</v>
      </c>
      <c r="I1651" s="1">
        <v>45667</v>
      </c>
      <c r="J1651" t="str">
        <f t="shared" si="25"/>
        <v>Dec-2024</v>
      </c>
    </row>
    <row r="1652" spans="1:10">
      <c r="A1652">
        <v>1651</v>
      </c>
      <c r="B1652">
        <v>11637</v>
      </c>
      <c r="C1652" t="s">
        <v>23</v>
      </c>
      <c r="D1652">
        <v>129681.22</v>
      </c>
      <c r="E1652" t="s">
        <v>16</v>
      </c>
      <c r="F1652">
        <v>6</v>
      </c>
      <c r="G1652" t="s">
        <v>17</v>
      </c>
      <c r="H1652" s="1">
        <v>45310</v>
      </c>
      <c r="I1652" s="1">
        <v>45316</v>
      </c>
      <c r="J1652" t="str">
        <f t="shared" si="25"/>
        <v>Jan-2024</v>
      </c>
    </row>
    <row r="1653" spans="1:10">
      <c r="A1653">
        <v>1652</v>
      </c>
      <c r="B1653">
        <v>13300</v>
      </c>
      <c r="C1653" t="s">
        <v>23</v>
      </c>
      <c r="D1653">
        <v>175210.29</v>
      </c>
      <c r="E1653" t="s">
        <v>16</v>
      </c>
      <c r="F1653">
        <v>38</v>
      </c>
      <c r="G1653" t="s">
        <v>25</v>
      </c>
      <c r="H1653" s="1">
        <v>45410</v>
      </c>
      <c r="I1653" s="1">
        <v>45448</v>
      </c>
      <c r="J1653" t="str">
        <f t="shared" si="25"/>
        <v>Apr-2024</v>
      </c>
    </row>
    <row r="1654" spans="1:10">
      <c r="A1654">
        <v>1653</v>
      </c>
      <c r="B1654">
        <v>14004</v>
      </c>
      <c r="C1654" t="s">
        <v>18</v>
      </c>
      <c r="D1654">
        <v>84851.77</v>
      </c>
      <c r="E1654" t="s">
        <v>16</v>
      </c>
      <c r="F1654">
        <v>24</v>
      </c>
      <c r="G1654" t="s">
        <v>25</v>
      </c>
      <c r="H1654" s="1">
        <v>45594</v>
      </c>
      <c r="I1654" s="1">
        <v>45618</v>
      </c>
      <c r="J1654" t="str">
        <f t="shared" si="25"/>
        <v>Oct-2024</v>
      </c>
    </row>
    <row r="1655" spans="1:10">
      <c r="A1655">
        <v>1654</v>
      </c>
      <c r="B1655">
        <v>10582</v>
      </c>
      <c r="C1655" t="s">
        <v>23</v>
      </c>
      <c r="D1655">
        <v>38056.43</v>
      </c>
      <c r="E1655" t="s">
        <v>16</v>
      </c>
      <c r="F1655">
        <v>13</v>
      </c>
      <c r="G1655" t="s">
        <v>17</v>
      </c>
      <c r="H1655" s="1">
        <v>45593</v>
      </c>
      <c r="I1655" s="1">
        <v>45606</v>
      </c>
      <c r="J1655" t="str">
        <f t="shared" si="25"/>
        <v>Oct-2024</v>
      </c>
    </row>
    <row r="1656" spans="1:10">
      <c r="A1656">
        <v>1655</v>
      </c>
      <c r="B1656">
        <v>18651</v>
      </c>
      <c r="C1656" t="s">
        <v>23</v>
      </c>
      <c r="D1656">
        <v>152537.49</v>
      </c>
      <c r="E1656" t="s">
        <v>16</v>
      </c>
      <c r="F1656">
        <v>35</v>
      </c>
      <c r="G1656" t="s">
        <v>25</v>
      </c>
      <c r="H1656" s="1">
        <v>45576</v>
      </c>
      <c r="I1656" s="1">
        <v>45611</v>
      </c>
      <c r="J1656" t="str">
        <f t="shared" si="25"/>
        <v>Oct-2024</v>
      </c>
    </row>
    <row r="1657" spans="1:10">
      <c r="A1657">
        <v>1656</v>
      </c>
      <c r="B1657">
        <v>18327</v>
      </c>
      <c r="C1657" t="s">
        <v>23</v>
      </c>
      <c r="D1657">
        <v>167335.45000000001</v>
      </c>
      <c r="E1657" t="s">
        <v>16</v>
      </c>
      <c r="F1657">
        <v>24</v>
      </c>
      <c r="G1657" t="s">
        <v>17</v>
      </c>
      <c r="H1657" s="1">
        <v>45518</v>
      </c>
      <c r="I1657" s="1">
        <v>45542</v>
      </c>
      <c r="J1657" t="str">
        <f t="shared" si="25"/>
        <v>Aug-2024</v>
      </c>
    </row>
    <row r="1658" spans="1:10">
      <c r="A1658">
        <v>1657</v>
      </c>
      <c r="B1658">
        <v>19169</v>
      </c>
      <c r="C1658" t="s">
        <v>18</v>
      </c>
      <c r="D1658">
        <v>176713.58</v>
      </c>
      <c r="E1658" t="s">
        <v>24</v>
      </c>
      <c r="G1658" t="s">
        <v>25</v>
      </c>
      <c r="H1658" s="1">
        <v>45503</v>
      </c>
      <c r="J1658" t="str">
        <f t="shared" si="25"/>
        <v>Jul-2024</v>
      </c>
    </row>
    <row r="1659" spans="1:10">
      <c r="A1659">
        <v>1658</v>
      </c>
      <c r="B1659">
        <v>18475</v>
      </c>
      <c r="C1659" t="s">
        <v>15</v>
      </c>
      <c r="D1659">
        <v>123332.13</v>
      </c>
      <c r="E1659" t="s">
        <v>16</v>
      </c>
      <c r="F1659">
        <v>6</v>
      </c>
      <c r="G1659" t="s">
        <v>17</v>
      </c>
      <c r="H1659" s="1">
        <v>45647</v>
      </c>
      <c r="I1659" s="1">
        <v>45653</v>
      </c>
      <c r="J1659" t="str">
        <f t="shared" si="25"/>
        <v>Dec-2024</v>
      </c>
    </row>
    <row r="1660" spans="1:10">
      <c r="A1660">
        <v>1659</v>
      </c>
      <c r="B1660">
        <v>12398</v>
      </c>
      <c r="C1660" t="s">
        <v>22</v>
      </c>
      <c r="D1660">
        <v>172842.07</v>
      </c>
      <c r="E1660" t="s">
        <v>16</v>
      </c>
      <c r="F1660">
        <v>29</v>
      </c>
      <c r="G1660" t="s">
        <v>21</v>
      </c>
      <c r="H1660" s="1">
        <v>45480</v>
      </c>
      <c r="I1660" s="1">
        <v>45509</v>
      </c>
      <c r="J1660" t="str">
        <f t="shared" si="25"/>
        <v>Jul-2024</v>
      </c>
    </row>
    <row r="1661" spans="1:10">
      <c r="A1661">
        <v>1660</v>
      </c>
      <c r="B1661">
        <v>14112</v>
      </c>
      <c r="C1661" t="s">
        <v>18</v>
      </c>
      <c r="D1661">
        <v>8005.92</v>
      </c>
      <c r="E1661" t="s">
        <v>16</v>
      </c>
      <c r="F1661">
        <v>7</v>
      </c>
      <c r="G1661" t="s">
        <v>20</v>
      </c>
      <c r="H1661" s="1">
        <v>45612</v>
      </c>
      <c r="I1661" s="1">
        <v>45619</v>
      </c>
      <c r="J1661" t="str">
        <f t="shared" si="25"/>
        <v>Nov-2024</v>
      </c>
    </row>
    <row r="1662" spans="1:10">
      <c r="A1662">
        <v>1661</v>
      </c>
      <c r="B1662">
        <v>11238</v>
      </c>
      <c r="C1662" t="s">
        <v>18</v>
      </c>
      <c r="D1662">
        <v>25910.98</v>
      </c>
      <c r="E1662" t="s">
        <v>24</v>
      </c>
      <c r="G1662" t="s">
        <v>17</v>
      </c>
      <c r="H1662" s="1">
        <v>45442</v>
      </c>
      <c r="J1662" t="str">
        <f t="shared" si="25"/>
        <v>May-2024</v>
      </c>
    </row>
    <row r="1663" spans="1:10">
      <c r="A1663">
        <v>1662</v>
      </c>
      <c r="B1663">
        <v>13466</v>
      </c>
      <c r="C1663" t="s">
        <v>23</v>
      </c>
      <c r="D1663">
        <v>23052.33</v>
      </c>
      <c r="E1663" t="s">
        <v>16</v>
      </c>
      <c r="F1663">
        <v>44</v>
      </c>
      <c r="G1663" t="s">
        <v>17</v>
      </c>
      <c r="H1663" s="1">
        <v>45514</v>
      </c>
      <c r="I1663" s="1">
        <v>45558</v>
      </c>
      <c r="J1663" t="str">
        <f t="shared" si="25"/>
        <v>Aug-2024</v>
      </c>
    </row>
    <row r="1664" spans="1:10">
      <c r="A1664">
        <v>1663</v>
      </c>
      <c r="B1664">
        <v>15518</v>
      </c>
      <c r="C1664" t="s">
        <v>18</v>
      </c>
      <c r="D1664">
        <v>143957.91</v>
      </c>
      <c r="E1664" t="s">
        <v>19</v>
      </c>
      <c r="F1664">
        <v>31</v>
      </c>
      <c r="G1664" t="s">
        <v>20</v>
      </c>
      <c r="H1664" s="1">
        <v>45419</v>
      </c>
      <c r="I1664" s="1">
        <v>45450</v>
      </c>
      <c r="J1664" t="str">
        <f t="shared" si="25"/>
        <v>May-2024</v>
      </c>
    </row>
    <row r="1665" spans="1:10">
      <c r="A1665">
        <v>1664</v>
      </c>
      <c r="B1665">
        <v>15363</v>
      </c>
      <c r="C1665" t="s">
        <v>23</v>
      </c>
      <c r="D1665">
        <v>18568.45</v>
      </c>
      <c r="E1665" t="s">
        <v>16</v>
      </c>
      <c r="F1665">
        <v>27</v>
      </c>
      <c r="G1665" t="s">
        <v>17</v>
      </c>
      <c r="H1665" s="1">
        <v>45539</v>
      </c>
      <c r="I1665" s="1">
        <v>45566</v>
      </c>
      <c r="J1665" t="str">
        <f t="shared" si="25"/>
        <v>Sep-2024</v>
      </c>
    </row>
    <row r="1666" spans="1:10">
      <c r="A1666">
        <v>1665</v>
      </c>
      <c r="B1666">
        <v>13166</v>
      </c>
      <c r="C1666" t="s">
        <v>18</v>
      </c>
      <c r="D1666">
        <v>101791.05</v>
      </c>
      <c r="E1666" t="s">
        <v>24</v>
      </c>
      <c r="G1666" t="s">
        <v>17</v>
      </c>
      <c r="H1666" s="1">
        <v>45342</v>
      </c>
      <c r="J1666" t="str">
        <f t="shared" si="25"/>
        <v>Feb-2024</v>
      </c>
    </row>
    <row r="1667" spans="1:10">
      <c r="A1667">
        <v>1666</v>
      </c>
      <c r="B1667">
        <v>10779</v>
      </c>
      <c r="C1667" t="s">
        <v>23</v>
      </c>
      <c r="D1667">
        <v>97177.85</v>
      </c>
      <c r="E1667" t="s">
        <v>19</v>
      </c>
      <c r="F1667">
        <v>10</v>
      </c>
      <c r="G1667" t="s">
        <v>25</v>
      </c>
      <c r="H1667" s="1">
        <v>45482</v>
      </c>
      <c r="I1667" s="1">
        <v>45492</v>
      </c>
      <c r="J1667" t="str">
        <f t="shared" ref="J1667:J1730" si="26">TEXT(H1667,"mmm-yyyy")</f>
        <v>Jul-2024</v>
      </c>
    </row>
    <row r="1668" spans="1:10">
      <c r="A1668">
        <v>1667</v>
      </c>
      <c r="B1668">
        <v>12134</v>
      </c>
      <c r="C1668" t="s">
        <v>23</v>
      </c>
      <c r="D1668">
        <v>65587.19</v>
      </c>
      <c r="E1668" t="s">
        <v>19</v>
      </c>
      <c r="F1668">
        <v>17</v>
      </c>
      <c r="G1668" t="s">
        <v>20</v>
      </c>
      <c r="H1668" s="1">
        <v>45528</v>
      </c>
      <c r="I1668" s="1">
        <v>45545</v>
      </c>
      <c r="J1668" t="str">
        <f t="shared" si="26"/>
        <v>Aug-2024</v>
      </c>
    </row>
    <row r="1669" spans="1:10">
      <c r="A1669">
        <v>1668</v>
      </c>
      <c r="B1669">
        <v>12236</v>
      </c>
      <c r="C1669" t="s">
        <v>23</v>
      </c>
      <c r="D1669">
        <v>174729.01</v>
      </c>
      <c r="E1669" t="s">
        <v>16</v>
      </c>
      <c r="F1669">
        <v>19</v>
      </c>
      <c r="G1669" t="s">
        <v>21</v>
      </c>
      <c r="H1669" s="1">
        <v>45313</v>
      </c>
      <c r="I1669" s="1">
        <v>45332</v>
      </c>
      <c r="J1669" t="str">
        <f t="shared" si="26"/>
        <v>Jan-2024</v>
      </c>
    </row>
    <row r="1670" spans="1:10">
      <c r="A1670">
        <v>1669</v>
      </c>
      <c r="B1670">
        <v>11639</v>
      </c>
      <c r="C1670" t="s">
        <v>23</v>
      </c>
      <c r="D1670">
        <v>38234.47</v>
      </c>
      <c r="E1670" t="s">
        <v>16</v>
      </c>
      <c r="F1670">
        <v>14</v>
      </c>
      <c r="G1670" t="s">
        <v>17</v>
      </c>
      <c r="H1670" s="1">
        <v>45401</v>
      </c>
      <c r="I1670" s="1">
        <v>45415</v>
      </c>
      <c r="J1670" t="str">
        <f t="shared" si="26"/>
        <v>Apr-2024</v>
      </c>
    </row>
    <row r="1671" spans="1:10">
      <c r="A1671">
        <v>1670</v>
      </c>
      <c r="B1671">
        <v>18611</v>
      </c>
      <c r="C1671" t="s">
        <v>23</v>
      </c>
      <c r="D1671">
        <v>73730.240000000005</v>
      </c>
      <c r="E1671" t="s">
        <v>16</v>
      </c>
      <c r="F1671">
        <v>30</v>
      </c>
      <c r="G1671" t="s">
        <v>20</v>
      </c>
      <c r="H1671" s="1">
        <v>45618</v>
      </c>
      <c r="I1671" s="1">
        <v>45648</v>
      </c>
      <c r="J1671" t="str">
        <f t="shared" si="26"/>
        <v>Nov-2024</v>
      </c>
    </row>
    <row r="1672" spans="1:10">
      <c r="A1672">
        <v>1671</v>
      </c>
      <c r="B1672">
        <v>13689</v>
      </c>
      <c r="C1672" t="s">
        <v>23</v>
      </c>
      <c r="D1672">
        <v>155963.44</v>
      </c>
      <c r="E1672" t="s">
        <v>16</v>
      </c>
      <c r="F1672">
        <v>44</v>
      </c>
      <c r="G1672" t="s">
        <v>25</v>
      </c>
      <c r="H1672" s="1">
        <v>45324</v>
      </c>
      <c r="I1672" s="1">
        <v>45368</v>
      </c>
      <c r="J1672" t="str">
        <f t="shared" si="26"/>
        <v>Feb-2024</v>
      </c>
    </row>
    <row r="1673" spans="1:10">
      <c r="A1673">
        <v>1672</v>
      </c>
      <c r="B1673">
        <v>14955</v>
      </c>
      <c r="C1673" t="s">
        <v>22</v>
      </c>
      <c r="D1673">
        <v>10932.35</v>
      </c>
      <c r="E1673" t="s">
        <v>19</v>
      </c>
      <c r="F1673">
        <v>25</v>
      </c>
      <c r="G1673" t="s">
        <v>21</v>
      </c>
      <c r="H1673" s="1">
        <v>45418</v>
      </c>
      <c r="I1673" s="1">
        <v>45443</v>
      </c>
      <c r="J1673" t="str">
        <f t="shared" si="26"/>
        <v>May-2024</v>
      </c>
    </row>
    <row r="1674" spans="1:10">
      <c r="A1674">
        <v>1673</v>
      </c>
      <c r="B1674">
        <v>18398</v>
      </c>
      <c r="C1674" t="s">
        <v>23</v>
      </c>
      <c r="D1674">
        <v>136225.32999999999</v>
      </c>
      <c r="E1674" t="s">
        <v>16</v>
      </c>
      <c r="F1674">
        <v>14</v>
      </c>
      <c r="G1674" t="s">
        <v>20</v>
      </c>
      <c r="H1674" s="1">
        <v>45656</v>
      </c>
      <c r="I1674" s="1">
        <v>45670</v>
      </c>
      <c r="J1674" t="str">
        <f t="shared" si="26"/>
        <v>Dec-2024</v>
      </c>
    </row>
    <row r="1675" spans="1:10">
      <c r="A1675">
        <v>1674</v>
      </c>
      <c r="B1675">
        <v>17372</v>
      </c>
      <c r="C1675" t="s">
        <v>18</v>
      </c>
      <c r="D1675">
        <v>164197.56</v>
      </c>
      <c r="E1675" t="s">
        <v>16</v>
      </c>
      <c r="F1675">
        <v>26</v>
      </c>
      <c r="G1675" t="s">
        <v>21</v>
      </c>
      <c r="H1675" s="1">
        <v>45647</v>
      </c>
      <c r="I1675" s="1">
        <v>45673</v>
      </c>
      <c r="J1675" t="str">
        <f t="shared" si="26"/>
        <v>Dec-2024</v>
      </c>
    </row>
    <row r="1676" spans="1:10">
      <c r="A1676">
        <v>1675</v>
      </c>
      <c r="B1676">
        <v>13390</v>
      </c>
      <c r="C1676" t="s">
        <v>15</v>
      </c>
      <c r="D1676">
        <v>186792.23</v>
      </c>
      <c r="E1676" t="s">
        <v>16</v>
      </c>
      <c r="F1676">
        <v>42</v>
      </c>
      <c r="G1676" t="s">
        <v>21</v>
      </c>
      <c r="H1676" s="1">
        <v>45335</v>
      </c>
      <c r="I1676" s="1">
        <v>45377</v>
      </c>
      <c r="J1676" t="str">
        <f t="shared" si="26"/>
        <v>Feb-2024</v>
      </c>
    </row>
    <row r="1677" spans="1:10">
      <c r="A1677">
        <v>1676</v>
      </c>
      <c r="B1677">
        <v>17250</v>
      </c>
      <c r="C1677" t="s">
        <v>22</v>
      </c>
      <c r="D1677">
        <v>175877.84</v>
      </c>
      <c r="E1677" t="s">
        <v>16</v>
      </c>
      <c r="F1677">
        <v>2</v>
      </c>
      <c r="G1677" t="s">
        <v>21</v>
      </c>
      <c r="H1677" s="1">
        <v>45298</v>
      </c>
      <c r="I1677" s="1">
        <v>45300</v>
      </c>
      <c r="J1677" t="str">
        <f t="shared" si="26"/>
        <v>Jan-2024</v>
      </c>
    </row>
    <row r="1678" spans="1:10">
      <c r="A1678">
        <v>1677</v>
      </c>
      <c r="B1678">
        <v>17249</v>
      </c>
      <c r="C1678" t="s">
        <v>18</v>
      </c>
      <c r="D1678">
        <v>67279.899999999994</v>
      </c>
      <c r="E1678" t="s">
        <v>16</v>
      </c>
      <c r="F1678">
        <v>10</v>
      </c>
      <c r="G1678" t="s">
        <v>17</v>
      </c>
      <c r="H1678" s="1">
        <v>45419</v>
      </c>
      <c r="I1678" s="1">
        <v>45429</v>
      </c>
      <c r="J1678" t="str">
        <f t="shared" si="26"/>
        <v>May-2024</v>
      </c>
    </row>
    <row r="1679" spans="1:10">
      <c r="A1679">
        <v>1678</v>
      </c>
      <c r="B1679">
        <v>13796</v>
      </c>
      <c r="C1679" t="s">
        <v>15</v>
      </c>
      <c r="D1679">
        <v>119341.01</v>
      </c>
      <c r="E1679" t="s">
        <v>19</v>
      </c>
      <c r="F1679">
        <v>5</v>
      </c>
      <c r="G1679" t="s">
        <v>17</v>
      </c>
      <c r="H1679" s="1">
        <v>45382</v>
      </c>
      <c r="I1679" s="1">
        <v>45387</v>
      </c>
      <c r="J1679" t="str">
        <f t="shared" si="26"/>
        <v>Mar-2024</v>
      </c>
    </row>
    <row r="1680" spans="1:10">
      <c r="A1680">
        <v>1679</v>
      </c>
      <c r="B1680">
        <v>12534</v>
      </c>
      <c r="C1680" t="s">
        <v>23</v>
      </c>
      <c r="D1680">
        <v>20072.23</v>
      </c>
      <c r="E1680" t="s">
        <v>16</v>
      </c>
      <c r="F1680">
        <v>29</v>
      </c>
      <c r="G1680" t="s">
        <v>25</v>
      </c>
      <c r="H1680" s="1">
        <v>45421</v>
      </c>
      <c r="I1680" s="1">
        <v>45450</v>
      </c>
      <c r="J1680" t="str">
        <f t="shared" si="26"/>
        <v>May-2024</v>
      </c>
    </row>
    <row r="1681" spans="1:10">
      <c r="A1681">
        <v>1680</v>
      </c>
      <c r="B1681">
        <v>12180</v>
      </c>
      <c r="C1681" t="s">
        <v>23</v>
      </c>
      <c r="D1681">
        <v>55284.65</v>
      </c>
      <c r="E1681" t="s">
        <v>16</v>
      </c>
      <c r="F1681">
        <v>13</v>
      </c>
      <c r="G1681" t="s">
        <v>25</v>
      </c>
      <c r="H1681" s="1">
        <v>45308</v>
      </c>
      <c r="I1681" s="1">
        <v>45321</v>
      </c>
      <c r="J1681" t="str">
        <f t="shared" si="26"/>
        <v>Jan-2024</v>
      </c>
    </row>
    <row r="1682" spans="1:10">
      <c r="A1682">
        <v>1681</v>
      </c>
      <c r="B1682">
        <v>14306</v>
      </c>
      <c r="C1682" t="s">
        <v>23</v>
      </c>
      <c r="D1682">
        <v>23373.360000000001</v>
      </c>
      <c r="E1682" t="s">
        <v>16</v>
      </c>
      <c r="F1682">
        <v>25</v>
      </c>
      <c r="G1682" t="s">
        <v>20</v>
      </c>
      <c r="H1682" s="1">
        <v>45612</v>
      </c>
      <c r="I1682" s="1">
        <v>45637</v>
      </c>
      <c r="J1682" t="str">
        <f t="shared" si="26"/>
        <v>Nov-2024</v>
      </c>
    </row>
    <row r="1683" spans="1:10">
      <c r="A1683">
        <v>1682</v>
      </c>
      <c r="B1683">
        <v>14227</v>
      </c>
      <c r="C1683" t="s">
        <v>18</v>
      </c>
      <c r="D1683">
        <v>66461.52</v>
      </c>
      <c r="E1683" t="s">
        <v>16</v>
      </c>
      <c r="F1683">
        <v>10</v>
      </c>
      <c r="G1683" t="s">
        <v>25</v>
      </c>
      <c r="H1683" s="1">
        <v>45477</v>
      </c>
      <c r="I1683" s="1">
        <v>45487</v>
      </c>
      <c r="J1683" t="str">
        <f t="shared" si="26"/>
        <v>Jul-2024</v>
      </c>
    </row>
    <row r="1684" spans="1:10">
      <c r="A1684">
        <v>1683</v>
      </c>
      <c r="B1684">
        <v>19589</v>
      </c>
      <c r="C1684" t="s">
        <v>18</v>
      </c>
      <c r="D1684">
        <v>175661.51</v>
      </c>
      <c r="E1684" t="s">
        <v>16</v>
      </c>
      <c r="F1684">
        <v>36</v>
      </c>
      <c r="G1684" t="s">
        <v>21</v>
      </c>
      <c r="H1684" s="1">
        <v>45401</v>
      </c>
      <c r="I1684" s="1">
        <v>45437</v>
      </c>
      <c r="J1684" t="str">
        <f t="shared" si="26"/>
        <v>Apr-2024</v>
      </c>
    </row>
    <row r="1685" spans="1:10">
      <c r="A1685">
        <v>1684</v>
      </c>
      <c r="B1685">
        <v>11446</v>
      </c>
      <c r="C1685" t="s">
        <v>23</v>
      </c>
      <c r="D1685">
        <v>72697.53</v>
      </c>
      <c r="E1685" t="s">
        <v>16</v>
      </c>
      <c r="F1685">
        <v>39</v>
      </c>
      <c r="G1685" t="s">
        <v>21</v>
      </c>
      <c r="H1685" s="1">
        <v>45577</v>
      </c>
      <c r="I1685" s="1">
        <v>45616</v>
      </c>
      <c r="J1685" t="str">
        <f t="shared" si="26"/>
        <v>Oct-2024</v>
      </c>
    </row>
    <row r="1686" spans="1:10">
      <c r="A1686">
        <v>1685</v>
      </c>
      <c r="B1686">
        <v>10951</v>
      </c>
      <c r="C1686" t="s">
        <v>23</v>
      </c>
      <c r="D1686">
        <v>114570.13</v>
      </c>
      <c r="E1686" t="s">
        <v>19</v>
      </c>
      <c r="F1686">
        <v>36</v>
      </c>
      <c r="G1686" t="s">
        <v>17</v>
      </c>
      <c r="H1686" s="1">
        <v>45639</v>
      </c>
      <c r="I1686" s="1">
        <v>45675</v>
      </c>
      <c r="J1686" t="str">
        <f t="shared" si="26"/>
        <v>Dec-2024</v>
      </c>
    </row>
    <row r="1687" spans="1:10">
      <c r="A1687">
        <v>1686</v>
      </c>
      <c r="B1687">
        <v>14021</v>
      </c>
      <c r="C1687" t="s">
        <v>18</v>
      </c>
      <c r="D1687">
        <v>89509.27</v>
      </c>
      <c r="E1687" t="s">
        <v>19</v>
      </c>
      <c r="F1687">
        <v>34</v>
      </c>
      <c r="G1687" t="s">
        <v>21</v>
      </c>
      <c r="H1687" s="1">
        <v>45454</v>
      </c>
      <c r="I1687" s="1">
        <v>45488</v>
      </c>
      <c r="J1687" t="str">
        <f t="shared" si="26"/>
        <v>Jun-2024</v>
      </c>
    </row>
    <row r="1688" spans="1:10">
      <c r="A1688">
        <v>1687</v>
      </c>
      <c r="B1688">
        <v>15485</v>
      </c>
      <c r="C1688" t="s">
        <v>23</v>
      </c>
      <c r="D1688">
        <v>94488.72</v>
      </c>
      <c r="E1688" t="s">
        <v>19</v>
      </c>
      <c r="F1688">
        <v>36</v>
      </c>
      <c r="G1688" t="s">
        <v>20</v>
      </c>
      <c r="H1688" s="1">
        <v>45366</v>
      </c>
      <c r="I1688" s="1">
        <v>45402</v>
      </c>
      <c r="J1688" t="str">
        <f t="shared" si="26"/>
        <v>Mar-2024</v>
      </c>
    </row>
    <row r="1689" spans="1:10">
      <c r="A1689">
        <v>1688</v>
      </c>
      <c r="B1689">
        <v>11717</v>
      </c>
      <c r="C1689" t="s">
        <v>18</v>
      </c>
      <c r="D1689">
        <v>194066.55</v>
      </c>
      <c r="E1689" t="s">
        <v>16</v>
      </c>
      <c r="F1689">
        <v>21</v>
      </c>
      <c r="G1689" t="s">
        <v>21</v>
      </c>
      <c r="H1689" s="1">
        <v>45490</v>
      </c>
      <c r="I1689" s="1">
        <v>45511</v>
      </c>
      <c r="J1689" t="str">
        <f t="shared" si="26"/>
        <v>Jul-2024</v>
      </c>
    </row>
    <row r="1690" spans="1:10">
      <c r="A1690">
        <v>1689</v>
      </c>
      <c r="B1690">
        <v>14242</v>
      </c>
      <c r="C1690" t="s">
        <v>18</v>
      </c>
      <c r="D1690">
        <v>62750.12</v>
      </c>
      <c r="E1690" t="s">
        <v>24</v>
      </c>
      <c r="G1690" t="s">
        <v>21</v>
      </c>
      <c r="H1690" s="1">
        <v>45652</v>
      </c>
      <c r="J1690" t="str">
        <f t="shared" si="26"/>
        <v>Dec-2024</v>
      </c>
    </row>
    <row r="1691" spans="1:10">
      <c r="A1691">
        <v>1690</v>
      </c>
      <c r="B1691">
        <v>13805</v>
      </c>
      <c r="C1691" t="s">
        <v>18</v>
      </c>
      <c r="D1691">
        <v>127328.27</v>
      </c>
      <c r="E1691" t="s">
        <v>19</v>
      </c>
      <c r="F1691">
        <v>27</v>
      </c>
      <c r="G1691" t="s">
        <v>20</v>
      </c>
      <c r="H1691" s="1">
        <v>45578</v>
      </c>
      <c r="I1691" s="1">
        <v>45605</v>
      </c>
      <c r="J1691" t="str">
        <f t="shared" si="26"/>
        <v>Oct-2024</v>
      </c>
    </row>
    <row r="1692" spans="1:10">
      <c r="A1692">
        <v>1691</v>
      </c>
      <c r="B1692">
        <v>15913</v>
      </c>
      <c r="C1692" t="s">
        <v>18</v>
      </c>
      <c r="D1692">
        <v>86912.22</v>
      </c>
      <c r="E1692" t="s">
        <v>24</v>
      </c>
      <c r="G1692" t="s">
        <v>25</v>
      </c>
      <c r="H1692" s="1">
        <v>45473</v>
      </c>
      <c r="J1692" t="str">
        <f t="shared" si="26"/>
        <v>Jun-2024</v>
      </c>
    </row>
    <row r="1693" spans="1:10">
      <c r="A1693">
        <v>1692</v>
      </c>
      <c r="B1693">
        <v>17475</v>
      </c>
      <c r="C1693" t="s">
        <v>15</v>
      </c>
      <c r="D1693">
        <v>16923.509999999998</v>
      </c>
      <c r="E1693" t="s">
        <v>16</v>
      </c>
      <c r="F1693">
        <v>14</v>
      </c>
      <c r="G1693" t="s">
        <v>25</v>
      </c>
      <c r="H1693" s="1">
        <v>45388</v>
      </c>
      <c r="I1693" s="1">
        <v>45402</v>
      </c>
      <c r="J1693" t="str">
        <f t="shared" si="26"/>
        <v>Apr-2024</v>
      </c>
    </row>
    <row r="1694" spans="1:10">
      <c r="A1694">
        <v>1693</v>
      </c>
      <c r="B1694">
        <v>14810</v>
      </c>
      <c r="C1694" t="s">
        <v>23</v>
      </c>
      <c r="D1694">
        <v>100419.51</v>
      </c>
      <c r="E1694" t="s">
        <v>24</v>
      </c>
      <c r="G1694" t="s">
        <v>20</v>
      </c>
      <c r="H1694" s="1">
        <v>45342</v>
      </c>
      <c r="J1694" t="str">
        <f t="shared" si="26"/>
        <v>Feb-2024</v>
      </c>
    </row>
    <row r="1695" spans="1:10">
      <c r="A1695">
        <v>1694</v>
      </c>
      <c r="B1695">
        <v>11596</v>
      </c>
      <c r="C1695" t="s">
        <v>18</v>
      </c>
      <c r="D1695">
        <v>163601.95000000001</v>
      </c>
      <c r="E1695" t="s">
        <v>19</v>
      </c>
      <c r="F1695">
        <v>33</v>
      </c>
      <c r="G1695" t="s">
        <v>17</v>
      </c>
      <c r="H1695" s="1">
        <v>45605</v>
      </c>
      <c r="I1695" s="1">
        <v>45638</v>
      </c>
      <c r="J1695" t="str">
        <f t="shared" si="26"/>
        <v>Nov-2024</v>
      </c>
    </row>
    <row r="1696" spans="1:10">
      <c r="A1696">
        <v>1695</v>
      </c>
      <c r="B1696">
        <v>16594</v>
      </c>
      <c r="C1696" t="s">
        <v>18</v>
      </c>
      <c r="D1696">
        <v>24256.83</v>
      </c>
      <c r="E1696" t="s">
        <v>19</v>
      </c>
      <c r="F1696">
        <v>37</v>
      </c>
      <c r="G1696" t="s">
        <v>21</v>
      </c>
      <c r="H1696" s="1">
        <v>45325</v>
      </c>
      <c r="I1696" s="1">
        <v>45362</v>
      </c>
      <c r="J1696" t="str">
        <f t="shared" si="26"/>
        <v>Feb-2024</v>
      </c>
    </row>
    <row r="1697" spans="1:10">
      <c r="A1697">
        <v>1696</v>
      </c>
      <c r="B1697">
        <v>13216</v>
      </c>
      <c r="C1697" t="s">
        <v>23</v>
      </c>
      <c r="D1697">
        <v>18570.41</v>
      </c>
      <c r="E1697" t="s">
        <v>16</v>
      </c>
      <c r="F1697">
        <v>20</v>
      </c>
      <c r="G1697" t="s">
        <v>20</v>
      </c>
      <c r="H1697" s="1">
        <v>45312</v>
      </c>
      <c r="I1697" s="1">
        <v>45332</v>
      </c>
      <c r="J1697" t="str">
        <f t="shared" si="26"/>
        <v>Jan-2024</v>
      </c>
    </row>
    <row r="1698" spans="1:10">
      <c r="A1698">
        <v>1697</v>
      </c>
      <c r="B1698">
        <v>19098</v>
      </c>
      <c r="C1698" t="s">
        <v>23</v>
      </c>
      <c r="D1698">
        <v>34958.15</v>
      </c>
      <c r="E1698" t="s">
        <v>19</v>
      </c>
      <c r="F1698">
        <v>23</v>
      </c>
      <c r="G1698" t="s">
        <v>21</v>
      </c>
      <c r="H1698" s="1">
        <v>45475</v>
      </c>
      <c r="I1698" s="1">
        <v>45498</v>
      </c>
      <c r="J1698" t="str">
        <f t="shared" si="26"/>
        <v>Jul-2024</v>
      </c>
    </row>
    <row r="1699" spans="1:10">
      <c r="A1699">
        <v>1698</v>
      </c>
      <c r="B1699">
        <v>15755</v>
      </c>
      <c r="C1699" t="s">
        <v>23</v>
      </c>
      <c r="D1699">
        <v>154058.01999999999</v>
      </c>
      <c r="E1699" t="s">
        <v>24</v>
      </c>
      <c r="G1699" t="s">
        <v>17</v>
      </c>
      <c r="H1699" s="1">
        <v>45584</v>
      </c>
      <c r="J1699" t="str">
        <f t="shared" si="26"/>
        <v>Oct-2024</v>
      </c>
    </row>
    <row r="1700" spans="1:10">
      <c r="A1700">
        <v>1699</v>
      </c>
      <c r="B1700">
        <v>16283</v>
      </c>
      <c r="C1700" t="s">
        <v>23</v>
      </c>
      <c r="D1700">
        <v>146179.1</v>
      </c>
      <c r="E1700" t="s">
        <v>16</v>
      </c>
      <c r="F1700">
        <v>12</v>
      </c>
      <c r="G1700" t="s">
        <v>21</v>
      </c>
      <c r="H1700" s="1">
        <v>45355</v>
      </c>
      <c r="I1700" s="1">
        <v>45367</v>
      </c>
      <c r="J1700" t="str">
        <f t="shared" si="26"/>
        <v>Mar-2024</v>
      </c>
    </row>
    <row r="1701" spans="1:10">
      <c r="A1701">
        <v>1700</v>
      </c>
      <c r="B1701">
        <v>11337</v>
      </c>
      <c r="C1701" t="s">
        <v>18</v>
      </c>
      <c r="D1701">
        <v>115178.46</v>
      </c>
      <c r="E1701" t="s">
        <v>16</v>
      </c>
      <c r="F1701">
        <v>27</v>
      </c>
      <c r="G1701" t="s">
        <v>20</v>
      </c>
      <c r="H1701" s="1">
        <v>45415</v>
      </c>
      <c r="I1701" s="1">
        <v>45442</v>
      </c>
      <c r="J1701" t="str">
        <f t="shared" si="26"/>
        <v>May-2024</v>
      </c>
    </row>
    <row r="1702" spans="1:10">
      <c r="A1702">
        <v>1701</v>
      </c>
      <c r="B1702">
        <v>12974</v>
      </c>
      <c r="C1702" t="s">
        <v>15</v>
      </c>
      <c r="D1702">
        <v>96304.15</v>
      </c>
      <c r="E1702" t="s">
        <v>24</v>
      </c>
      <c r="G1702" t="s">
        <v>21</v>
      </c>
      <c r="H1702" s="1">
        <v>45392</v>
      </c>
      <c r="J1702" t="str">
        <f t="shared" si="26"/>
        <v>Apr-2024</v>
      </c>
    </row>
    <row r="1703" spans="1:10">
      <c r="A1703">
        <v>1702</v>
      </c>
      <c r="B1703">
        <v>14473</v>
      </c>
      <c r="C1703" t="s">
        <v>23</v>
      </c>
      <c r="D1703">
        <v>178223.53</v>
      </c>
      <c r="E1703" t="s">
        <v>16</v>
      </c>
      <c r="F1703">
        <v>20</v>
      </c>
      <c r="G1703" t="s">
        <v>25</v>
      </c>
      <c r="H1703" s="1">
        <v>45410</v>
      </c>
      <c r="I1703" s="1">
        <v>45430</v>
      </c>
      <c r="J1703" t="str">
        <f t="shared" si="26"/>
        <v>Apr-2024</v>
      </c>
    </row>
    <row r="1704" spans="1:10">
      <c r="A1704">
        <v>1703</v>
      </c>
      <c r="B1704">
        <v>18552</v>
      </c>
      <c r="C1704" t="s">
        <v>23</v>
      </c>
      <c r="D1704">
        <v>154506.07999999999</v>
      </c>
      <c r="E1704" t="s">
        <v>16</v>
      </c>
      <c r="F1704">
        <v>13</v>
      </c>
      <c r="G1704" t="s">
        <v>17</v>
      </c>
      <c r="H1704" s="1">
        <v>45632</v>
      </c>
      <c r="I1704" s="1">
        <v>45645</v>
      </c>
      <c r="J1704" t="str">
        <f t="shared" si="26"/>
        <v>Dec-2024</v>
      </c>
    </row>
    <row r="1705" spans="1:10">
      <c r="A1705">
        <v>1704</v>
      </c>
      <c r="B1705">
        <v>16826</v>
      </c>
      <c r="C1705" t="s">
        <v>22</v>
      </c>
      <c r="D1705">
        <v>163328.74</v>
      </c>
      <c r="E1705" t="s">
        <v>16</v>
      </c>
      <c r="F1705">
        <v>4</v>
      </c>
      <c r="G1705" t="s">
        <v>17</v>
      </c>
      <c r="H1705" s="1">
        <v>45369</v>
      </c>
      <c r="I1705" s="1">
        <v>45373</v>
      </c>
      <c r="J1705" t="str">
        <f t="shared" si="26"/>
        <v>Mar-2024</v>
      </c>
    </row>
    <row r="1706" spans="1:10">
      <c r="A1706">
        <v>1705</v>
      </c>
      <c r="B1706">
        <v>15667</v>
      </c>
      <c r="C1706" t="s">
        <v>23</v>
      </c>
      <c r="D1706">
        <v>163586.15</v>
      </c>
      <c r="E1706" t="s">
        <v>24</v>
      </c>
      <c r="G1706" t="s">
        <v>17</v>
      </c>
      <c r="H1706" s="1">
        <v>45472</v>
      </c>
      <c r="J1706" t="str">
        <f t="shared" si="26"/>
        <v>Jun-2024</v>
      </c>
    </row>
    <row r="1707" spans="1:10">
      <c r="A1707">
        <v>1706</v>
      </c>
      <c r="B1707">
        <v>18764</v>
      </c>
      <c r="C1707" t="s">
        <v>23</v>
      </c>
      <c r="D1707">
        <v>130329.85</v>
      </c>
      <c r="E1707" t="s">
        <v>16</v>
      </c>
      <c r="F1707">
        <v>6</v>
      </c>
      <c r="G1707" t="s">
        <v>20</v>
      </c>
      <c r="H1707" s="1">
        <v>45490</v>
      </c>
      <c r="I1707" s="1">
        <v>45496</v>
      </c>
      <c r="J1707" t="str">
        <f t="shared" si="26"/>
        <v>Jul-2024</v>
      </c>
    </row>
    <row r="1708" spans="1:10">
      <c r="A1708">
        <v>1707</v>
      </c>
      <c r="B1708">
        <v>18013</v>
      </c>
      <c r="C1708" t="s">
        <v>18</v>
      </c>
      <c r="D1708">
        <v>94312.85</v>
      </c>
      <c r="E1708" t="s">
        <v>16</v>
      </c>
      <c r="F1708">
        <v>25</v>
      </c>
      <c r="G1708" t="s">
        <v>17</v>
      </c>
      <c r="H1708" s="1">
        <v>45651</v>
      </c>
      <c r="I1708" s="1">
        <v>45676</v>
      </c>
      <c r="J1708" t="str">
        <f t="shared" si="26"/>
        <v>Dec-2024</v>
      </c>
    </row>
    <row r="1709" spans="1:10">
      <c r="A1709">
        <v>1708</v>
      </c>
      <c r="B1709">
        <v>13044</v>
      </c>
      <c r="C1709" t="s">
        <v>18</v>
      </c>
      <c r="D1709">
        <v>173612.16</v>
      </c>
      <c r="E1709" t="s">
        <v>16</v>
      </c>
      <c r="F1709">
        <v>15</v>
      </c>
      <c r="G1709" t="s">
        <v>25</v>
      </c>
      <c r="H1709" s="1">
        <v>45481</v>
      </c>
      <c r="I1709" s="1">
        <v>45496</v>
      </c>
      <c r="J1709" t="str">
        <f t="shared" si="26"/>
        <v>Jul-2024</v>
      </c>
    </row>
    <row r="1710" spans="1:10">
      <c r="A1710">
        <v>1709</v>
      </c>
      <c r="B1710">
        <v>19776</v>
      </c>
      <c r="C1710" t="s">
        <v>23</v>
      </c>
      <c r="D1710">
        <v>185571.45</v>
      </c>
      <c r="E1710" t="s">
        <v>19</v>
      </c>
      <c r="F1710">
        <v>39</v>
      </c>
      <c r="G1710" t="s">
        <v>20</v>
      </c>
      <c r="H1710" s="1">
        <v>45619</v>
      </c>
      <c r="I1710" s="1">
        <v>45658</v>
      </c>
      <c r="J1710" t="str">
        <f t="shared" si="26"/>
        <v>Nov-2024</v>
      </c>
    </row>
    <row r="1711" spans="1:10">
      <c r="A1711">
        <v>1710</v>
      </c>
      <c r="B1711">
        <v>15018</v>
      </c>
      <c r="C1711" t="s">
        <v>23</v>
      </c>
      <c r="D1711">
        <v>9642.18</v>
      </c>
      <c r="E1711" t="s">
        <v>16</v>
      </c>
      <c r="F1711">
        <v>4</v>
      </c>
      <c r="G1711" t="s">
        <v>25</v>
      </c>
      <c r="H1711" s="1">
        <v>45394</v>
      </c>
      <c r="I1711" s="1">
        <v>45398</v>
      </c>
      <c r="J1711" t="str">
        <f t="shared" si="26"/>
        <v>Apr-2024</v>
      </c>
    </row>
    <row r="1712" spans="1:10">
      <c r="A1712">
        <v>1711</v>
      </c>
      <c r="B1712">
        <v>12233</v>
      </c>
      <c r="C1712" t="s">
        <v>23</v>
      </c>
      <c r="D1712">
        <v>15053.2</v>
      </c>
      <c r="E1712" t="s">
        <v>24</v>
      </c>
      <c r="G1712" t="s">
        <v>21</v>
      </c>
      <c r="H1712" s="1">
        <v>45624</v>
      </c>
      <c r="J1712" t="str">
        <f t="shared" si="26"/>
        <v>Nov-2024</v>
      </c>
    </row>
    <row r="1713" spans="1:10">
      <c r="A1713">
        <v>1712</v>
      </c>
      <c r="B1713">
        <v>15637</v>
      </c>
      <c r="C1713" t="s">
        <v>18</v>
      </c>
      <c r="D1713">
        <v>191954.94</v>
      </c>
      <c r="E1713" t="s">
        <v>24</v>
      </c>
      <c r="G1713" t="s">
        <v>21</v>
      </c>
      <c r="H1713" s="1">
        <v>45566</v>
      </c>
      <c r="J1713" t="str">
        <f t="shared" si="26"/>
        <v>Oct-2024</v>
      </c>
    </row>
    <row r="1714" spans="1:10">
      <c r="A1714">
        <v>1713</v>
      </c>
      <c r="B1714">
        <v>17467</v>
      </c>
      <c r="C1714" t="s">
        <v>18</v>
      </c>
      <c r="D1714">
        <v>59046.32</v>
      </c>
      <c r="E1714" t="s">
        <v>16</v>
      </c>
      <c r="F1714">
        <v>12</v>
      </c>
      <c r="G1714" t="s">
        <v>21</v>
      </c>
      <c r="H1714" s="1">
        <v>45421</v>
      </c>
      <c r="I1714" s="1">
        <v>45433</v>
      </c>
      <c r="J1714" t="str">
        <f t="shared" si="26"/>
        <v>May-2024</v>
      </c>
    </row>
    <row r="1715" spans="1:10">
      <c r="A1715">
        <v>1714</v>
      </c>
      <c r="B1715">
        <v>13246</v>
      </c>
      <c r="C1715" t="s">
        <v>23</v>
      </c>
      <c r="D1715">
        <v>175307.04</v>
      </c>
      <c r="E1715" t="s">
        <v>16</v>
      </c>
      <c r="F1715">
        <v>40</v>
      </c>
      <c r="G1715" t="s">
        <v>21</v>
      </c>
      <c r="H1715" s="1">
        <v>45532</v>
      </c>
      <c r="I1715" s="1">
        <v>45572</v>
      </c>
      <c r="J1715" t="str">
        <f t="shared" si="26"/>
        <v>Aug-2024</v>
      </c>
    </row>
    <row r="1716" spans="1:10">
      <c r="A1716">
        <v>1715</v>
      </c>
      <c r="B1716">
        <v>14041</v>
      </c>
      <c r="C1716" t="s">
        <v>18</v>
      </c>
      <c r="D1716">
        <v>80815.05</v>
      </c>
      <c r="E1716" t="s">
        <v>16</v>
      </c>
      <c r="F1716">
        <v>27</v>
      </c>
      <c r="G1716" t="s">
        <v>25</v>
      </c>
      <c r="H1716" s="1">
        <v>45425</v>
      </c>
      <c r="I1716" s="1">
        <v>45452</v>
      </c>
      <c r="J1716" t="str">
        <f t="shared" si="26"/>
        <v>May-2024</v>
      </c>
    </row>
    <row r="1717" spans="1:10">
      <c r="A1717">
        <v>1716</v>
      </c>
      <c r="B1717">
        <v>11889</v>
      </c>
      <c r="C1717" t="s">
        <v>15</v>
      </c>
      <c r="D1717">
        <v>28224.51</v>
      </c>
      <c r="E1717" t="s">
        <v>16</v>
      </c>
      <c r="F1717">
        <v>2</v>
      </c>
      <c r="G1717" t="s">
        <v>20</v>
      </c>
      <c r="H1717" s="1">
        <v>45448</v>
      </c>
      <c r="I1717" s="1">
        <v>45450</v>
      </c>
      <c r="J1717" t="str">
        <f t="shared" si="26"/>
        <v>Jun-2024</v>
      </c>
    </row>
    <row r="1718" spans="1:10">
      <c r="A1718">
        <v>1717</v>
      </c>
      <c r="B1718">
        <v>17676</v>
      </c>
      <c r="C1718" t="s">
        <v>23</v>
      </c>
      <c r="D1718">
        <v>20686.419999999998</v>
      </c>
      <c r="E1718" t="s">
        <v>16</v>
      </c>
      <c r="F1718">
        <v>17</v>
      </c>
      <c r="G1718" t="s">
        <v>20</v>
      </c>
      <c r="H1718" s="1">
        <v>45609</v>
      </c>
      <c r="I1718" s="1">
        <v>45626</v>
      </c>
      <c r="J1718" t="str">
        <f t="shared" si="26"/>
        <v>Nov-2024</v>
      </c>
    </row>
    <row r="1719" spans="1:10">
      <c r="A1719">
        <v>1718</v>
      </c>
      <c r="B1719">
        <v>12655</v>
      </c>
      <c r="C1719" t="s">
        <v>23</v>
      </c>
      <c r="D1719">
        <v>35519.040000000001</v>
      </c>
      <c r="E1719" t="s">
        <v>24</v>
      </c>
      <c r="G1719" t="s">
        <v>17</v>
      </c>
      <c r="H1719" s="1">
        <v>45449</v>
      </c>
      <c r="J1719" t="str">
        <f t="shared" si="26"/>
        <v>Jun-2024</v>
      </c>
    </row>
    <row r="1720" spans="1:10">
      <c r="A1720">
        <v>1719</v>
      </c>
      <c r="B1720">
        <v>13718</v>
      </c>
      <c r="C1720" t="s">
        <v>18</v>
      </c>
      <c r="D1720">
        <v>53729.17</v>
      </c>
      <c r="E1720" t="s">
        <v>19</v>
      </c>
      <c r="F1720">
        <v>6</v>
      </c>
      <c r="G1720" t="s">
        <v>25</v>
      </c>
      <c r="H1720" s="1">
        <v>45650</v>
      </c>
      <c r="I1720" s="1">
        <v>45656</v>
      </c>
      <c r="J1720" t="str">
        <f t="shared" si="26"/>
        <v>Dec-2024</v>
      </c>
    </row>
    <row r="1721" spans="1:10">
      <c r="A1721">
        <v>1720</v>
      </c>
      <c r="B1721">
        <v>15535</v>
      </c>
      <c r="C1721" t="s">
        <v>23</v>
      </c>
      <c r="D1721">
        <v>100261.08</v>
      </c>
      <c r="E1721" t="s">
        <v>16</v>
      </c>
      <c r="F1721">
        <v>9</v>
      </c>
      <c r="G1721" t="s">
        <v>21</v>
      </c>
      <c r="H1721" s="1">
        <v>45481</v>
      </c>
      <c r="I1721" s="1">
        <v>45490</v>
      </c>
      <c r="J1721" t="str">
        <f t="shared" si="26"/>
        <v>Jul-2024</v>
      </c>
    </row>
    <row r="1722" spans="1:10">
      <c r="A1722">
        <v>1721</v>
      </c>
      <c r="B1722">
        <v>19248</v>
      </c>
      <c r="C1722" t="s">
        <v>23</v>
      </c>
      <c r="D1722">
        <v>141792.09</v>
      </c>
      <c r="E1722" t="s">
        <v>16</v>
      </c>
      <c r="F1722">
        <v>22</v>
      </c>
      <c r="G1722" t="s">
        <v>25</v>
      </c>
      <c r="H1722" s="1">
        <v>45391</v>
      </c>
      <c r="I1722" s="1">
        <v>45413</v>
      </c>
      <c r="J1722" t="str">
        <f t="shared" si="26"/>
        <v>Apr-2024</v>
      </c>
    </row>
    <row r="1723" spans="1:10">
      <c r="A1723">
        <v>1722</v>
      </c>
      <c r="B1723">
        <v>12129</v>
      </c>
      <c r="C1723" t="s">
        <v>18</v>
      </c>
      <c r="D1723">
        <v>197347.72</v>
      </c>
      <c r="E1723" t="s">
        <v>16</v>
      </c>
      <c r="F1723">
        <v>34</v>
      </c>
      <c r="G1723" t="s">
        <v>17</v>
      </c>
      <c r="H1723" s="1">
        <v>45343</v>
      </c>
      <c r="I1723" s="1">
        <v>45377</v>
      </c>
      <c r="J1723" t="str">
        <f t="shared" si="26"/>
        <v>Feb-2024</v>
      </c>
    </row>
    <row r="1724" spans="1:10">
      <c r="A1724">
        <v>1723</v>
      </c>
      <c r="B1724">
        <v>19698</v>
      </c>
      <c r="C1724" t="s">
        <v>15</v>
      </c>
      <c r="D1724">
        <v>91093.81</v>
      </c>
      <c r="E1724" t="s">
        <v>16</v>
      </c>
      <c r="F1724">
        <v>40</v>
      </c>
      <c r="G1724" t="s">
        <v>17</v>
      </c>
      <c r="H1724" s="1">
        <v>45340</v>
      </c>
      <c r="I1724" s="1">
        <v>45380</v>
      </c>
      <c r="J1724" t="str">
        <f t="shared" si="26"/>
        <v>Feb-2024</v>
      </c>
    </row>
    <row r="1725" spans="1:10">
      <c r="A1725">
        <v>1724</v>
      </c>
      <c r="B1725">
        <v>11630</v>
      </c>
      <c r="C1725" t="s">
        <v>15</v>
      </c>
      <c r="D1725">
        <v>106046.06</v>
      </c>
      <c r="E1725" t="s">
        <v>16</v>
      </c>
      <c r="F1725">
        <v>44</v>
      </c>
      <c r="G1725" t="s">
        <v>25</v>
      </c>
      <c r="H1725" s="1">
        <v>45391</v>
      </c>
      <c r="I1725" s="1">
        <v>45435</v>
      </c>
      <c r="J1725" t="str">
        <f t="shared" si="26"/>
        <v>Apr-2024</v>
      </c>
    </row>
    <row r="1726" spans="1:10">
      <c r="A1726">
        <v>1725</v>
      </c>
      <c r="B1726">
        <v>15060</v>
      </c>
      <c r="C1726" t="s">
        <v>18</v>
      </c>
      <c r="D1726">
        <v>106754.06</v>
      </c>
      <c r="E1726" t="s">
        <v>19</v>
      </c>
      <c r="F1726">
        <v>21</v>
      </c>
      <c r="G1726" t="s">
        <v>25</v>
      </c>
      <c r="H1726" s="1">
        <v>45542</v>
      </c>
      <c r="I1726" s="1">
        <v>45563</v>
      </c>
      <c r="J1726" t="str">
        <f t="shared" si="26"/>
        <v>Sep-2024</v>
      </c>
    </row>
    <row r="1727" spans="1:10">
      <c r="A1727">
        <v>1726</v>
      </c>
      <c r="B1727">
        <v>10991</v>
      </c>
      <c r="C1727" t="s">
        <v>18</v>
      </c>
      <c r="D1727">
        <v>110189.7</v>
      </c>
      <c r="E1727" t="s">
        <v>24</v>
      </c>
      <c r="G1727" t="s">
        <v>25</v>
      </c>
      <c r="H1727" s="1">
        <v>45345</v>
      </c>
      <c r="J1727" t="str">
        <f t="shared" si="26"/>
        <v>Feb-2024</v>
      </c>
    </row>
    <row r="1728" spans="1:10">
      <c r="A1728">
        <v>1727</v>
      </c>
      <c r="B1728">
        <v>14590</v>
      </c>
      <c r="C1728" t="s">
        <v>23</v>
      </c>
      <c r="D1728">
        <v>105959.43</v>
      </c>
      <c r="E1728" t="s">
        <v>16</v>
      </c>
      <c r="F1728">
        <v>14</v>
      </c>
      <c r="G1728" t="s">
        <v>20</v>
      </c>
      <c r="H1728" s="1">
        <v>45428</v>
      </c>
      <c r="I1728" s="1">
        <v>45442</v>
      </c>
      <c r="J1728" t="str">
        <f t="shared" si="26"/>
        <v>May-2024</v>
      </c>
    </row>
    <row r="1729" spans="1:10">
      <c r="A1729">
        <v>1728</v>
      </c>
      <c r="B1729">
        <v>19385</v>
      </c>
      <c r="C1729" t="s">
        <v>18</v>
      </c>
      <c r="D1729">
        <v>6711.08</v>
      </c>
      <c r="E1729" t="s">
        <v>19</v>
      </c>
      <c r="F1729">
        <v>40</v>
      </c>
      <c r="G1729" t="s">
        <v>21</v>
      </c>
      <c r="H1729" s="1">
        <v>45453</v>
      </c>
      <c r="I1729" s="1">
        <v>45493</v>
      </c>
      <c r="J1729" t="str">
        <f t="shared" si="26"/>
        <v>Jun-2024</v>
      </c>
    </row>
    <row r="1730" spans="1:10">
      <c r="A1730">
        <v>1729</v>
      </c>
      <c r="B1730">
        <v>16866</v>
      </c>
      <c r="C1730" t="s">
        <v>23</v>
      </c>
      <c r="D1730">
        <v>5336.34</v>
      </c>
      <c r="E1730" t="s">
        <v>16</v>
      </c>
      <c r="F1730">
        <v>12</v>
      </c>
      <c r="G1730" t="s">
        <v>25</v>
      </c>
      <c r="H1730" s="1">
        <v>45645</v>
      </c>
      <c r="I1730" s="1">
        <v>45657</v>
      </c>
      <c r="J1730" t="str">
        <f t="shared" si="26"/>
        <v>Dec-2024</v>
      </c>
    </row>
    <row r="1731" spans="1:10">
      <c r="A1731">
        <v>1730</v>
      </c>
      <c r="B1731">
        <v>18894</v>
      </c>
      <c r="C1731" t="s">
        <v>23</v>
      </c>
      <c r="D1731">
        <v>24044.93</v>
      </c>
      <c r="E1731" t="s">
        <v>19</v>
      </c>
      <c r="F1731">
        <v>19</v>
      </c>
      <c r="G1731" t="s">
        <v>25</v>
      </c>
      <c r="H1731" s="1">
        <v>45583</v>
      </c>
      <c r="I1731" s="1">
        <v>45602</v>
      </c>
      <c r="J1731" t="str">
        <f t="shared" ref="J1731:J1794" si="27">TEXT(H1731,"mmm-yyyy")</f>
        <v>Oct-2024</v>
      </c>
    </row>
    <row r="1732" spans="1:10">
      <c r="A1732">
        <v>1731</v>
      </c>
      <c r="B1732">
        <v>19222</v>
      </c>
      <c r="C1732" t="s">
        <v>18</v>
      </c>
      <c r="D1732">
        <v>24803.54</v>
      </c>
      <c r="E1732" t="s">
        <v>16</v>
      </c>
      <c r="F1732">
        <v>31</v>
      </c>
      <c r="G1732" t="s">
        <v>25</v>
      </c>
      <c r="H1732" s="1">
        <v>45372</v>
      </c>
      <c r="I1732" s="1">
        <v>45403</v>
      </c>
      <c r="J1732" t="str">
        <f t="shared" si="27"/>
        <v>Mar-2024</v>
      </c>
    </row>
    <row r="1733" spans="1:10">
      <c r="A1733">
        <v>1732</v>
      </c>
      <c r="B1733">
        <v>14921</v>
      </c>
      <c r="C1733" t="s">
        <v>18</v>
      </c>
      <c r="D1733">
        <v>142454.9</v>
      </c>
      <c r="E1733" t="s">
        <v>16</v>
      </c>
      <c r="F1733">
        <v>34</v>
      </c>
      <c r="G1733" t="s">
        <v>17</v>
      </c>
      <c r="H1733" s="1">
        <v>45511</v>
      </c>
      <c r="I1733" s="1">
        <v>45545</v>
      </c>
      <c r="J1733" t="str">
        <f t="shared" si="27"/>
        <v>Aug-2024</v>
      </c>
    </row>
    <row r="1734" spans="1:10">
      <c r="A1734">
        <v>1733</v>
      </c>
      <c r="B1734">
        <v>18021</v>
      </c>
      <c r="C1734" t="s">
        <v>23</v>
      </c>
      <c r="D1734">
        <v>44958.63</v>
      </c>
      <c r="E1734" t="s">
        <v>24</v>
      </c>
      <c r="G1734" t="s">
        <v>17</v>
      </c>
      <c r="H1734" s="1">
        <v>45376</v>
      </c>
      <c r="J1734" t="str">
        <f t="shared" si="27"/>
        <v>Mar-2024</v>
      </c>
    </row>
    <row r="1735" spans="1:10">
      <c r="A1735">
        <v>1734</v>
      </c>
      <c r="B1735">
        <v>12481</v>
      </c>
      <c r="C1735" t="s">
        <v>22</v>
      </c>
      <c r="D1735">
        <v>179469.25</v>
      </c>
      <c r="E1735" t="s">
        <v>16</v>
      </c>
      <c r="F1735">
        <v>2</v>
      </c>
      <c r="G1735" t="s">
        <v>20</v>
      </c>
      <c r="H1735" s="1">
        <v>45374</v>
      </c>
      <c r="I1735" s="1">
        <v>45376</v>
      </c>
      <c r="J1735" t="str">
        <f t="shared" si="27"/>
        <v>Mar-2024</v>
      </c>
    </row>
    <row r="1736" spans="1:10">
      <c r="A1736">
        <v>1735</v>
      </c>
      <c r="B1736">
        <v>18754</v>
      </c>
      <c r="C1736" t="s">
        <v>23</v>
      </c>
      <c r="D1736">
        <v>186078.23</v>
      </c>
      <c r="E1736" t="s">
        <v>19</v>
      </c>
      <c r="F1736">
        <v>37</v>
      </c>
      <c r="G1736" t="s">
        <v>21</v>
      </c>
      <c r="H1736" s="1">
        <v>45610</v>
      </c>
      <c r="I1736" s="1">
        <v>45647</v>
      </c>
      <c r="J1736" t="str">
        <f t="shared" si="27"/>
        <v>Nov-2024</v>
      </c>
    </row>
    <row r="1737" spans="1:10">
      <c r="A1737">
        <v>1736</v>
      </c>
      <c r="B1737">
        <v>16281</v>
      </c>
      <c r="C1737" t="s">
        <v>23</v>
      </c>
      <c r="D1737">
        <v>195299.20000000001</v>
      </c>
      <c r="E1737" t="s">
        <v>16</v>
      </c>
      <c r="F1737">
        <v>7</v>
      </c>
      <c r="G1737" t="s">
        <v>20</v>
      </c>
      <c r="H1737" s="1">
        <v>45358</v>
      </c>
      <c r="I1737" s="1">
        <v>45365</v>
      </c>
      <c r="J1737" t="str">
        <f t="shared" si="27"/>
        <v>Mar-2024</v>
      </c>
    </row>
    <row r="1738" spans="1:10">
      <c r="A1738">
        <v>1737</v>
      </c>
      <c r="B1738">
        <v>18558</v>
      </c>
      <c r="C1738" t="s">
        <v>23</v>
      </c>
      <c r="D1738">
        <v>188120.85</v>
      </c>
      <c r="E1738" t="s">
        <v>16</v>
      </c>
      <c r="F1738">
        <v>38</v>
      </c>
      <c r="G1738" t="s">
        <v>21</v>
      </c>
      <c r="H1738" s="1">
        <v>45525</v>
      </c>
      <c r="I1738" s="1">
        <v>45563</v>
      </c>
      <c r="J1738" t="str">
        <f t="shared" si="27"/>
        <v>Aug-2024</v>
      </c>
    </row>
    <row r="1739" spans="1:10">
      <c r="A1739">
        <v>1738</v>
      </c>
      <c r="B1739">
        <v>16249</v>
      </c>
      <c r="C1739" t="s">
        <v>18</v>
      </c>
      <c r="D1739">
        <v>58018.22</v>
      </c>
      <c r="E1739" t="s">
        <v>16</v>
      </c>
      <c r="F1739">
        <v>30</v>
      </c>
      <c r="G1739" t="s">
        <v>17</v>
      </c>
      <c r="H1739" s="1">
        <v>45489</v>
      </c>
      <c r="I1739" s="1">
        <v>45519</v>
      </c>
      <c r="J1739" t="str">
        <f t="shared" si="27"/>
        <v>Jul-2024</v>
      </c>
    </row>
    <row r="1740" spans="1:10">
      <c r="A1740">
        <v>1739</v>
      </c>
      <c r="B1740">
        <v>10793</v>
      </c>
      <c r="C1740" t="s">
        <v>18</v>
      </c>
      <c r="D1740">
        <v>104406.48</v>
      </c>
      <c r="E1740" t="s">
        <v>16</v>
      </c>
      <c r="F1740">
        <v>12</v>
      </c>
      <c r="G1740" t="s">
        <v>17</v>
      </c>
      <c r="H1740" s="1">
        <v>45550</v>
      </c>
      <c r="I1740" s="1">
        <v>45562</v>
      </c>
      <c r="J1740" t="str">
        <f t="shared" si="27"/>
        <v>Sep-2024</v>
      </c>
    </row>
    <row r="1741" spans="1:10">
      <c r="A1741">
        <v>1740</v>
      </c>
      <c r="B1741">
        <v>14731</v>
      </c>
      <c r="C1741" t="s">
        <v>23</v>
      </c>
      <c r="D1741">
        <v>39213.72</v>
      </c>
      <c r="E1741" t="s">
        <v>16</v>
      </c>
      <c r="F1741">
        <v>14</v>
      </c>
      <c r="G1741" t="s">
        <v>17</v>
      </c>
      <c r="H1741" s="1">
        <v>45468</v>
      </c>
      <c r="I1741" s="1">
        <v>45482</v>
      </c>
      <c r="J1741" t="str">
        <f t="shared" si="27"/>
        <v>Jun-2024</v>
      </c>
    </row>
    <row r="1742" spans="1:10">
      <c r="A1742">
        <v>1741</v>
      </c>
      <c r="B1742">
        <v>10986</v>
      </c>
      <c r="C1742" t="s">
        <v>18</v>
      </c>
      <c r="D1742">
        <v>162210.88</v>
      </c>
      <c r="E1742" t="s">
        <v>16</v>
      </c>
      <c r="F1742">
        <v>12</v>
      </c>
      <c r="G1742" t="s">
        <v>20</v>
      </c>
      <c r="H1742" s="1">
        <v>45589</v>
      </c>
      <c r="I1742" s="1">
        <v>45601</v>
      </c>
      <c r="J1742" t="str">
        <f t="shared" si="27"/>
        <v>Oct-2024</v>
      </c>
    </row>
    <row r="1743" spans="1:10">
      <c r="A1743">
        <v>1742</v>
      </c>
      <c r="B1743">
        <v>19149</v>
      </c>
      <c r="C1743" t="s">
        <v>23</v>
      </c>
      <c r="D1743">
        <v>178244.18</v>
      </c>
      <c r="E1743" t="s">
        <v>16</v>
      </c>
      <c r="F1743">
        <v>39</v>
      </c>
      <c r="G1743" t="s">
        <v>25</v>
      </c>
      <c r="H1743" s="1">
        <v>45571</v>
      </c>
      <c r="I1743" s="1">
        <v>45610</v>
      </c>
      <c r="J1743" t="str">
        <f t="shared" si="27"/>
        <v>Oct-2024</v>
      </c>
    </row>
    <row r="1744" spans="1:10">
      <c r="A1744">
        <v>1743</v>
      </c>
      <c r="B1744">
        <v>13595</v>
      </c>
      <c r="C1744" t="s">
        <v>18</v>
      </c>
      <c r="D1744">
        <v>171001.32</v>
      </c>
      <c r="E1744" t="s">
        <v>16</v>
      </c>
      <c r="F1744">
        <v>26</v>
      </c>
      <c r="G1744" t="s">
        <v>25</v>
      </c>
      <c r="H1744" s="1">
        <v>45591</v>
      </c>
      <c r="I1744" s="1">
        <v>45617</v>
      </c>
      <c r="J1744" t="str">
        <f t="shared" si="27"/>
        <v>Oct-2024</v>
      </c>
    </row>
    <row r="1745" spans="1:10">
      <c r="A1745">
        <v>1744</v>
      </c>
      <c r="B1745">
        <v>10854</v>
      </c>
      <c r="C1745" t="s">
        <v>23</v>
      </c>
      <c r="D1745">
        <v>89506.55</v>
      </c>
      <c r="E1745" t="s">
        <v>19</v>
      </c>
      <c r="F1745">
        <v>16</v>
      </c>
      <c r="G1745" t="s">
        <v>17</v>
      </c>
      <c r="H1745" s="1">
        <v>45420</v>
      </c>
      <c r="I1745" s="1">
        <v>45436</v>
      </c>
      <c r="J1745" t="str">
        <f t="shared" si="27"/>
        <v>May-2024</v>
      </c>
    </row>
    <row r="1746" spans="1:10">
      <c r="A1746">
        <v>1745</v>
      </c>
      <c r="B1746">
        <v>11569</v>
      </c>
      <c r="C1746" t="s">
        <v>23</v>
      </c>
      <c r="D1746">
        <v>152941.41</v>
      </c>
      <c r="E1746" t="s">
        <v>16</v>
      </c>
      <c r="F1746">
        <v>14</v>
      </c>
      <c r="G1746" t="s">
        <v>25</v>
      </c>
      <c r="H1746" s="1">
        <v>45471</v>
      </c>
      <c r="I1746" s="1">
        <v>45485</v>
      </c>
      <c r="J1746" t="str">
        <f t="shared" si="27"/>
        <v>Jun-2024</v>
      </c>
    </row>
    <row r="1747" spans="1:10">
      <c r="A1747">
        <v>1746</v>
      </c>
      <c r="B1747">
        <v>12256</v>
      </c>
      <c r="C1747" t="s">
        <v>22</v>
      </c>
      <c r="D1747">
        <v>24027.94</v>
      </c>
      <c r="E1747" t="s">
        <v>24</v>
      </c>
      <c r="G1747" t="s">
        <v>25</v>
      </c>
      <c r="H1747" s="1">
        <v>45583</v>
      </c>
      <c r="J1747" t="str">
        <f t="shared" si="27"/>
        <v>Oct-2024</v>
      </c>
    </row>
    <row r="1748" spans="1:10">
      <c r="A1748">
        <v>1747</v>
      </c>
      <c r="B1748">
        <v>14103</v>
      </c>
      <c r="C1748" t="s">
        <v>23</v>
      </c>
      <c r="D1748">
        <v>12847.73</v>
      </c>
      <c r="E1748" t="s">
        <v>16</v>
      </c>
      <c r="F1748">
        <v>34</v>
      </c>
      <c r="G1748" t="s">
        <v>20</v>
      </c>
      <c r="H1748" s="1">
        <v>45498</v>
      </c>
      <c r="I1748" s="1">
        <v>45532</v>
      </c>
      <c r="J1748" t="str">
        <f t="shared" si="27"/>
        <v>Jul-2024</v>
      </c>
    </row>
    <row r="1749" spans="1:10">
      <c r="A1749">
        <v>1748</v>
      </c>
      <c r="B1749">
        <v>14176</v>
      </c>
      <c r="C1749" t="s">
        <v>23</v>
      </c>
      <c r="D1749">
        <v>151881.1</v>
      </c>
      <c r="E1749" t="s">
        <v>16</v>
      </c>
      <c r="F1749">
        <v>14</v>
      </c>
      <c r="G1749" t="s">
        <v>21</v>
      </c>
      <c r="H1749" s="1">
        <v>45585</v>
      </c>
      <c r="I1749" s="1">
        <v>45599</v>
      </c>
      <c r="J1749" t="str">
        <f t="shared" si="27"/>
        <v>Oct-2024</v>
      </c>
    </row>
    <row r="1750" spans="1:10">
      <c r="A1750">
        <v>1749</v>
      </c>
      <c r="B1750">
        <v>17961</v>
      </c>
      <c r="C1750" t="s">
        <v>18</v>
      </c>
      <c r="D1750">
        <v>87944.28</v>
      </c>
      <c r="E1750" t="s">
        <v>16</v>
      </c>
      <c r="F1750">
        <v>39</v>
      </c>
      <c r="G1750" t="s">
        <v>17</v>
      </c>
      <c r="H1750" s="1">
        <v>45629</v>
      </c>
      <c r="I1750" s="1">
        <v>45668</v>
      </c>
      <c r="J1750" t="str">
        <f t="shared" si="27"/>
        <v>Dec-2024</v>
      </c>
    </row>
    <row r="1751" spans="1:10">
      <c r="A1751">
        <v>1750</v>
      </c>
      <c r="B1751">
        <v>15254</v>
      </c>
      <c r="C1751" t="s">
        <v>22</v>
      </c>
      <c r="D1751">
        <v>199132.11</v>
      </c>
      <c r="E1751" t="s">
        <v>16</v>
      </c>
      <c r="F1751">
        <v>25</v>
      </c>
      <c r="G1751" t="s">
        <v>17</v>
      </c>
      <c r="H1751" s="1">
        <v>45466</v>
      </c>
      <c r="I1751" s="1">
        <v>45491</v>
      </c>
      <c r="J1751" t="str">
        <f t="shared" si="27"/>
        <v>Jun-2024</v>
      </c>
    </row>
    <row r="1752" spans="1:10">
      <c r="A1752">
        <v>1751</v>
      </c>
      <c r="B1752">
        <v>18429</v>
      </c>
      <c r="C1752" t="s">
        <v>23</v>
      </c>
      <c r="D1752">
        <v>23964.57</v>
      </c>
      <c r="E1752" t="s">
        <v>16</v>
      </c>
      <c r="F1752">
        <v>21</v>
      </c>
      <c r="G1752" t="s">
        <v>20</v>
      </c>
      <c r="H1752" s="1">
        <v>45320</v>
      </c>
      <c r="I1752" s="1">
        <v>45341</v>
      </c>
      <c r="J1752" t="str">
        <f t="shared" si="27"/>
        <v>Jan-2024</v>
      </c>
    </row>
    <row r="1753" spans="1:10">
      <c r="A1753">
        <v>1752</v>
      </c>
      <c r="B1753">
        <v>17906</v>
      </c>
      <c r="C1753" t="s">
        <v>23</v>
      </c>
      <c r="D1753">
        <v>171847.4</v>
      </c>
      <c r="E1753" t="s">
        <v>16</v>
      </c>
      <c r="F1753">
        <v>18</v>
      </c>
      <c r="G1753" t="s">
        <v>20</v>
      </c>
      <c r="H1753" s="1">
        <v>45470</v>
      </c>
      <c r="I1753" s="1">
        <v>45488</v>
      </c>
      <c r="J1753" t="str">
        <f t="shared" si="27"/>
        <v>Jun-2024</v>
      </c>
    </row>
    <row r="1754" spans="1:10">
      <c r="A1754">
        <v>1753</v>
      </c>
      <c r="B1754">
        <v>16001</v>
      </c>
      <c r="C1754" t="s">
        <v>23</v>
      </c>
      <c r="D1754">
        <v>98596.7</v>
      </c>
      <c r="E1754" t="s">
        <v>16</v>
      </c>
      <c r="F1754">
        <v>25</v>
      </c>
      <c r="G1754" t="s">
        <v>25</v>
      </c>
      <c r="H1754" s="1">
        <v>45332</v>
      </c>
      <c r="I1754" s="1">
        <v>45357</v>
      </c>
      <c r="J1754" t="str">
        <f t="shared" si="27"/>
        <v>Feb-2024</v>
      </c>
    </row>
    <row r="1755" spans="1:10">
      <c r="A1755">
        <v>1754</v>
      </c>
      <c r="B1755">
        <v>11732</v>
      </c>
      <c r="C1755" t="s">
        <v>18</v>
      </c>
      <c r="D1755">
        <v>166294.29</v>
      </c>
      <c r="E1755" t="s">
        <v>16</v>
      </c>
      <c r="F1755">
        <v>27</v>
      </c>
      <c r="G1755" t="s">
        <v>17</v>
      </c>
      <c r="H1755" s="1">
        <v>45483</v>
      </c>
      <c r="I1755" s="1">
        <v>45510</v>
      </c>
      <c r="J1755" t="str">
        <f t="shared" si="27"/>
        <v>Jul-2024</v>
      </c>
    </row>
    <row r="1756" spans="1:10">
      <c r="A1756">
        <v>1755</v>
      </c>
      <c r="B1756">
        <v>10814</v>
      </c>
      <c r="C1756" t="s">
        <v>23</v>
      </c>
      <c r="D1756">
        <v>164339.82</v>
      </c>
      <c r="E1756" t="s">
        <v>19</v>
      </c>
      <c r="F1756">
        <v>41</v>
      </c>
      <c r="G1756" t="s">
        <v>21</v>
      </c>
      <c r="H1756" s="1">
        <v>45635</v>
      </c>
      <c r="I1756" s="1">
        <v>45676</v>
      </c>
      <c r="J1756" t="str">
        <f t="shared" si="27"/>
        <v>Dec-2024</v>
      </c>
    </row>
    <row r="1757" spans="1:10">
      <c r="A1757">
        <v>1756</v>
      </c>
      <c r="B1757">
        <v>17035</v>
      </c>
      <c r="C1757" t="s">
        <v>18</v>
      </c>
      <c r="D1757">
        <v>183618.44</v>
      </c>
      <c r="E1757" t="s">
        <v>16</v>
      </c>
      <c r="F1757">
        <v>33</v>
      </c>
      <c r="G1757" t="s">
        <v>20</v>
      </c>
      <c r="H1757" s="1">
        <v>45528</v>
      </c>
      <c r="I1757" s="1">
        <v>45561</v>
      </c>
      <c r="J1757" t="str">
        <f t="shared" si="27"/>
        <v>Aug-2024</v>
      </c>
    </row>
    <row r="1758" spans="1:10">
      <c r="A1758">
        <v>1757</v>
      </c>
      <c r="B1758">
        <v>11186</v>
      </c>
      <c r="C1758" t="s">
        <v>22</v>
      </c>
      <c r="D1758">
        <v>63080.75</v>
      </c>
      <c r="E1758" t="s">
        <v>16</v>
      </c>
      <c r="F1758">
        <v>30</v>
      </c>
      <c r="G1758" t="s">
        <v>21</v>
      </c>
      <c r="H1758" s="1">
        <v>45595</v>
      </c>
      <c r="I1758" s="1">
        <v>45625</v>
      </c>
      <c r="J1758" t="str">
        <f t="shared" si="27"/>
        <v>Oct-2024</v>
      </c>
    </row>
    <row r="1759" spans="1:10">
      <c r="A1759">
        <v>1758</v>
      </c>
      <c r="B1759">
        <v>17581</v>
      </c>
      <c r="C1759" t="s">
        <v>23</v>
      </c>
      <c r="D1759">
        <v>190210.87</v>
      </c>
      <c r="E1759" t="s">
        <v>16</v>
      </c>
      <c r="F1759">
        <v>15</v>
      </c>
      <c r="G1759" t="s">
        <v>21</v>
      </c>
      <c r="H1759" s="1">
        <v>45516</v>
      </c>
      <c r="I1759" s="1">
        <v>45531</v>
      </c>
      <c r="J1759" t="str">
        <f t="shared" si="27"/>
        <v>Aug-2024</v>
      </c>
    </row>
    <row r="1760" spans="1:10">
      <c r="A1760">
        <v>1759</v>
      </c>
      <c r="B1760">
        <v>12225</v>
      </c>
      <c r="C1760" t="s">
        <v>23</v>
      </c>
      <c r="D1760">
        <v>34575.06</v>
      </c>
      <c r="E1760" t="s">
        <v>19</v>
      </c>
      <c r="F1760">
        <v>38</v>
      </c>
      <c r="G1760" t="s">
        <v>17</v>
      </c>
      <c r="H1760" s="1">
        <v>45405</v>
      </c>
      <c r="I1760" s="1">
        <v>45443</v>
      </c>
      <c r="J1760" t="str">
        <f t="shared" si="27"/>
        <v>Apr-2024</v>
      </c>
    </row>
    <row r="1761" spans="1:10">
      <c r="A1761">
        <v>1760</v>
      </c>
      <c r="B1761">
        <v>19176</v>
      </c>
      <c r="C1761" t="s">
        <v>23</v>
      </c>
      <c r="D1761">
        <v>20983.91</v>
      </c>
      <c r="E1761" t="s">
        <v>16</v>
      </c>
      <c r="F1761">
        <v>23</v>
      </c>
      <c r="G1761" t="s">
        <v>17</v>
      </c>
      <c r="H1761" s="1">
        <v>45569</v>
      </c>
      <c r="I1761" s="1">
        <v>45592</v>
      </c>
      <c r="J1761" t="str">
        <f t="shared" si="27"/>
        <v>Oct-2024</v>
      </c>
    </row>
    <row r="1762" spans="1:10">
      <c r="A1762">
        <v>1761</v>
      </c>
      <c r="B1762">
        <v>16423</v>
      </c>
      <c r="C1762" t="s">
        <v>23</v>
      </c>
      <c r="D1762">
        <v>89165.03</v>
      </c>
      <c r="E1762" t="s">
        <v>16</v>
      </c>
      <c r="F1762">
        <v>35</v>
      </c>
      <c r="G1762" t="s">
        <v>20</v>
      </c>
      <c r="H1762" s="1">
        <v>45646</v>
      </c>
      <c r="I1762" s="1">
        <v>45681</v>
      </c>
      <c r="J1762" t="str">
        <f t="shared" si="27"/>
        <v>Dec-2024</v>
      </c>
    </row>
    <row r="1763" spans="1:10">
      <c r="A1763">
        <v>1762</v>
      </c>
      <c r="B1763">
        <v>18989</v>
      </c>
      <c r="C1763" t="s">
        <v>15</v>
      </c>
      <c r="D1763">
        <v>166522.98000000001</v>
      </c>
      <c r="E1763" t="s">
        <v>16</v>
      </c>
      <c r="F1763">
        <v>28</v>
      </c>
      <c r="G1763" t="s">
        <v>17</v>
      </c>
      <c r="H1763" s="1">
        <v>45308</v>
      </c>
      <c r="I1763" s="1">
        <v>45336</v>
      </c>
      <c r="J1763" t="str">
        <f t="shared" si="27"/>
        <v>Jan-2024</v>
      </c>
    </row>
    <row r="1764" spans="1:10">
      <c r="A1764">
        <v>1763</v>
      </c>
      <c r="B1764">
        <v>15173</v>
      </c>
      <c r="C1764" t="s">
        <v>23</v>
      </c>
      <c r="D1764">
        <v>97317.119999999995</v>
      </c>
      <c r="E1764" t="s">
        <v>16</v>
      </c>
      <c r="F1764">
        <v>29</v>
      </c>
      <c r="G1764" t="s">
        <v>17</v>
      </c>
      <c r="H1764" s="1">
        <v>45377</v>
      </c>
      <c r="I1764" s="1">
        <v>45406</v>
      </c>
      <c r="J1764" t="str">
        <f t="shared" si="27"/>
        <v>Mar-2024</v>
      </c>
    </row>
    <row r="1765" spans="1:10">
      <c r="A1765">
        <v>1764</v>
      </c>
      <c r="B1765">
        <v>18735</v>
      </c>
      <c r="C1765" t="s">
        <v>23</v>
      </c>
      <c r="D1765">
        <v>166710.9</v>
      </c>
      <c r="E1765" t="s">
        <v>16</v>
      </c>
      <c r="F1765">
        <v>23</v>
      </c>
      <c r="G1765" t="s">
        <v>17</v>
      </c>
      <c r="H1765" s="1">
        <v>45608</v>
      </c>
      <c r="I1765" s="1">
        <v>45631</v>
      </c>
      <c r="J1765" t="str">
        <f t="shared" si="27"/>
        <v>Nov-2024</v>
      </c>
    </row>
    <row r="1766" spans="1:10">
      <c r="A1766">
        <v>1765</v>
      </c>
      <c r="B1766">
        <v>15882</v>
      </c>
      <c r="C1766" t="s">
        <v>18</v>
      </c>
      <c r="D1766">
        <v>147288.93</v>
      </c>
      <c r="E1766" t="s">
        <v>19</v>
      </c>
      <c r="F1766">
        <v>44</v>
      </c>
      <c r="G1766" t="s">
        <v>21</v>
      </c>
      <c r="H1766" s="1">
        <v>45636</v>
      </c>
      <c r="I1766" s="1">
        <v>45680</v>
      </c>
      <c r="J1766" t="str">
        <f t="shared" si="27"/>
        <v>Dec-2024</v>
      </c>
    </row>
    <row r="1767" spans="1:10">
      <c r="A1767">
        <v>1766</v>
      </c>
      <c r="B1767">
        <v>10519</v>
      </c>
      <c r="C1767" t="s">
        <v>23</v>
      </c>
      <c r="D1767">
        <v>45838.54</v>
      </c>
      <c r="E1767" t="s">
        <v>16</v>
      </c>
      <c r="F1767">
        <v>4</v>
      </c>
      <c r="G1767" t="s">
        <v>20</v>
      </c>
      <c r="H1767" s="1">
        <v>45472</v>
      </c>
      <c r="I1767" s="1">
        <v>45476</v>
      </c>
      <c r="J1767" t="str">
        <f t="shared" si="27"/>
        <v>Jun-2024</v>
      </c>
    </row>
    <row r="1768" spans="1:10">
      <c r="A1768">
        <v>1767</v>
      </c>
      <c r="B1768">
        <v>15041</v>
      </c>
      <c r="C1768" t="s">
        <v>18</v>
      </c>
      <c r="D1768">
        <v>190031.92</v>
      </c>
      <c r="E1768" t="s">
        <v>16</v>
      </c>
      <c r="F1768">
        <v>23</v>
      </c>
      <c r="G1768" t="s">
        <v>25</v>
      </c>
      <c r="H1768" s="1">
        <v>45628</v>
      </c>
      <c r="I1768" s="1">
        <v>45651</v>
      </c>
      <c r="J1768" t="str">
        <f t="shared" si="27"/>
        <v>Dec-2024</v>
      </c>
    </row>
    <row r="1769" spans="1:10">
      <c r="A1769">
        <v>1768</v>
      </c>
      <c r="B1769">
        <v>11454</v>
      </c>
      <c r="C1769" t="s">
        <v>23</v>
      </c>
      <c r="D1769">
        <v>16852.330000000002</v>
      </c>
      <c r="E1769" t="s">
        <v>16</v>
      </c>
      <c r="F1769">
        <v>22</v>
      </c>
      <c r="G1769" t="s">
        <v>21</v>
      </c>
      <c r="H1769" s="1">
        <v>45642</v>
      </c>
      <c r="I1769" s="1">
        <v>45664</v>
      </c>
      <c r="J1769" t="str">
        <f t="shared" si="27"/>
        <v>Dec-2024</v>
      </c>
    </row>
    <row r="1770" spans="1:10">
      <c r="A1770">
        <v>1769</v>
      </c>
      <c r="B1770">
        <v>16870</v>
      </c>
      <c r="C1770" t="s">
        <v>15</v>
      </c>
      <c r="D1770">
        <v>180164.54</v>
      </c>
      <c r="E1770" t="s">
        <v>16</v>
      </c>
      <c r="F1770">
        <v>17</v>
      </c>
      <c r="G1770" t="s">
        <v>17</v>
      </c>
      <c r="H1770" s="1">
        <v>45436</v>
      </c>
      <c r="I1770" s="1">
        <v>45453</v>
      </c>
      <c r="J1770" t="str">
        <f t="shared" si="27"/>
        <v>May-2024</v>
      </c>
    </row>
    <row r="1771" spans="1:10">
      <c r="A1771">
        <v>1770</v>
      </c>
      <c r="B1771">
        <v>17213</v>
      </c>
      <c r="C1771" t="s">
        <v>22</v>
      </c>
      <c r="D1771">
        <v>64366.47</v>
      </c>
      <c r="E1771" t="s">
        <v>16</v>
      </c>
      <c r="F1771">
        <v>10</v>
      </c>
      <c r="G1771" t="s">
        <v>21</v>
      </c>
      <c r="H1771" s="1">
        <v>45606</v>
      </c>
      <c r="I1771" s="1">
        <v>45616</v>
      </c>
      <c r="J1771" t="str">
        <f t="shared" si="27"/>
        <v>Nov-2024</v>
      </c>
    </row>
    <row r="1772" spans="1:10">
      <c r="A1772">
        <v>1771</v>
      </c>
      <c r="B1772">
        <v>17759</v>
      </c>
      <c r="C1772" t="s">
        <v>18</v>
      </c>
      <c r="D1772">
        <v>102528.88</v>
      </c>
      <c r="E1772" t="s">
        <v>16</v>
      </c>
      <c r="F1772">
        <v>14</v>
      </c>
      <c r="G1772" t="s">
        <v>17</v>
      </c>
      <c r="H1772" s="1">
        <v>45516</v>
      </c>
      <c r="I1772" s="1">
        <v>45530</v>
      </c>
      <c r="J1772" t="str">
        <f t="shared" si="27"/>
        <v>Aug-2024</v>
      </c>
    </row>
    <row r="1773" spans="1:10">
      <c r="A1773">
        <v>1772</v>
      </c>
      <c r="B1773">
        <v>19250</v>
      </c>
      <c r="C1773" t="s">
        <v>22</v>
      </c>
      <c r="D1773">
        <v>87358.62</v>
      </c>
      <c r="E1773" t="s">
        <v>16</v>
      </c>
      <c r="F1773">
        <v>11</v>
      </c>
      <c r="G1773" t="s">
        <v>17</v>
      </c>
      <c r="H1773" s="1">
        <v>45345</v>
      </c>
      <c r="I1773" s="1">
        <v>45356</v>
      </c>
      <c r="J1773" t="str">
        <f t="shared" si="27"/>
        <v>Feb-2024</v>
      </c>
    </row>
    <row r="1774" spans="1:10">
      <c r="A1774">
        <v>1773</v>
      </c>
      <c r="B1774">
        <v>19304</v>
      </c>
      <c r="C1774" t="s">
        <v>23</v>
      </c>
      <c r="D1774">
        <v>38507.74</v>
      </c>
      <c r="E1774" t="s">
        <v>16</v>
      </c>
      <c r="F1774">
        <v>22</v>
      </c>
      <c r="G1774" t="s">
        <v>21</v>
      </c>
      <c r="H1774" s="1">
        <v>45595</v>
      </c>
      <c r="I1774" s="1">
        <v>45617</v>
      </c>
      <c r="J1774" t="str">
        <f t="shared" si="27"/>
        <v>Oct-2024</v>
      </c>
    </row>
    <row r="1775" spans="1:10">
      <c r="A1775">
        <v>1774</v>
      </c>
      <c r="B1775">
        <v>13406</v>
      </c>
      <c r="C1775" t="s">
        <v>23</v>
      </c>
      <c r="D1775">
        <v>74838.64</v>
      </c>
      <c r="E1775" t="s">
        <v>16</v>
      </c>
      <c r="F1775">
        <v>43</v>
      </c>
      <c r="G1775" t="s">
        <v>20</v>
      </c>
      <c r="H1775" s="1">
        <v>45359</v>
      </c>
      <c r="I1775" s="1">
        <v>45402</v>
      </c>
      <c r="J1775" t="str">
        <f t="shared" si="27"/>
        <v>Mar-2024</v>
      </c>
    </row>
    <row r="1776" spans="1:10">
      <c r="A1776">
        <v>1775</v>
      </c>
      <c r="B1776">
        <v>10946</v>
      </c>
      <c r="C1776" t="s">
        <v>18</v>
      </c>
      <c r="D1776">
        <v>42622.22</v>
      </c>
      <c r="E1776" t="s">
        <v>19</v>
      </c>
      <c r="F1776">
        <v>41</v>
      </c>
      <c r="G1776" t="s">
        <v>17</v>
      </c>
      <c r="H1776" s="1">
        <v>45398</v>
      </c>
      <c r="I1776" s="1">
        <v>45439</v>
      </c>
      <c r="J1776" t="str">
        <f t="shared" si="27"/>
        <v>Apr-2024</v>
      </c>
    </row>
    <row r="1777" spans="1:10">
      <c r="A1777">
        <v>1776</v>
      </c>
      <c r="B1777">
        <v>14030</v>
      </c>
      <c r="C1777" t="s">
        <v>18</v>
      </c>
      <c r="D1777">
        <v>44757.86</v>
      </c>
      <c r="E1777" t="s">
        <v>16</v>
      </c>
      <c r="F1777">
        <v>8</v>
      </c>
      <c r="G1777" t="s">
        <v>20</v>
      </c>
      <c r="H1777" s="1">
        <v>45625</v>
      </c>
      <c r="I1777" s="1">
        <v>45633</v>
      </c>
      <c r="J1777" t="str">
        <f t="shared" si="27"/>
        <v>Nov-2024</v>
      </c>
    </row>
    <row r="1778" spans="1:10">
      <c r="A1778">
        <v>1777</v>
      </c>
      <c r="B1778">
        <v>18327</v>
      </c>
      <c r="C1778" t="s">
        <v>23</v>
      </c>
      <c r="D1778">
        <v>41476.080000000002</v>
      </c>
      <c r="E1778" t="s">
        <v>16</v>
      </c>
      <c r="F1778">
        <v>23</v>
      </c>
      <c r="G1778" t="s">
        <v>25</v>
      </c>
      <c r="H1778" s="1">
        <v>45368</v>
      </c>
      <c r="I1778" s="1">
        <v>45391</v>
      </c>
      <c r="J1778" t="str">
        <f t="shared" si="27"/>
        <v>Mar-2024</v>
      </c>
    </row>
    <row r="1779" spans="1:10">
      <c r="A1779">
        <v>1778</v>
      </c>
      <c r="B1779">
        <v>10792</v>
      </c>
      <c r="C1779" t="s">
        <v>23</v>
      </c>
      <c r="D1779">
        <v>100358.39</v>
      </c>
      <c r="E1779" t="s">
        <v>16</v>
      </c>
      <c r="F1779">
        <v>19</v>
      </c>
      <c r="G1779" t="s">
        <v>17</v>
      </c>
      <c r="H1779" s="1">
        <v>45318</v>
      </c>
      <c r="I1779" s="1">
        <v>45337</v>
      </c>
      <c r="J1779" t="str">
        <f t="shared" si="27"/>
        <v>Jan-2024</v>
      </c>
    </row>
    <row r="1780" spans="1:10">
      <c r="A1780">
        <v>1779</v>
      </c>
      <c r="B1780">
        <v>11136</v>
      </c>
      <c r="C1780" t="s">
        <v>23</v>
      </c>
      <c r="D1780">
        <v>160596.62</v>
      </c>
      <c r="E1780" t="s">
        <v>16</v>
      </c>
      <c r="F1780">
        <v>22</v>
      </c>
      <c r="G1780" t="s">
        <v>20</v>
      </c>
      <c r="H1780" s="1">
        <v>45635</v>
      </c>
      <c r="I1780" s="1">
        <v>45657</v>
      </c>
      <c r="J1780" t="str">
        <f t="shared" si="27"/>
        <v>Dec-2024</v>
      </c>
    </row>
    <row r="1781" spans="1:10">
      <c r="A1781">
        <v>1780</v>
      </c>
      <c r="B1781">
        <v>19554</v>
      </c>
      <c r="C1781" t="s">
        <v>23</v>
      </c>
      <c r="D1781">
        <v>115949.16</v>
      </c>
      <c r="E1781" t="s">
        <v>16</v>
      </c>
      <c r="F1781">
        <v>15</v>
      </c>
      <c r="G1781" t="s">
        <v>20</v>
      </c>
      <c r="H1781" s="1">
        <v>45446</v>
      </c>
      <c r="I1781" s="1">
        <v>45461</v>
      </c>
      <c r="J1781" t="str">
        <f t="shared" si="27"/>
        <v>Jun-2024</v>
      </c>
    </row>
    <row r="1782" spans="1:10">
      <c r="A1782">
        <v>1781</v>
      </c>
      <c r="B1782">
        <v>10554</v>
      </c>
      <c r="C1782" t="s">
        <v>23</v>
      </c>
      <c r="D1782">
        <v>179175.28</v>
      </c>
      <c r="E1782" t="s">
        <v>16</v>
      </c>
      <c r="F1782">
        <v>11</v>
      </c>
      <c r="G1782" t="s">
        <v>25</v>
      </c>
      <c r="H1782" s="1">
        <v>45363</v>
      </c>
      <c r="I1782" s="1">
        <v>45374</v>
      </c>
      <c r="J1782" t="str">
        <f t="shared" si="27"/>
        <v>Mar-2024</v>
      </c>
    </row>
    <row r="1783" spans="1:10">
      <c r="A1783">
        <v>1782</v>
      </c>
      <c r="B1783">
        <v>17037</v>
      </c>
      <c r="C1783" t="s">
        <v>18</v>
      </c>
      <c r="D1783">
        <v>129126.18</v>
      </c>
      <c r="E1783" t="s">
        <v>24</v>
      </c>
      <c r="G1783" t="s">
        <v>20</v>
      </c>
      <c r="H1783" s="1">
        <v>45471</v>
      </c>
      <c r="J1783" t="str">
        <f t="shared" si="27"/>
        <v>Jun-2024</v>
      </c>
    </row>
    <row r="1784" spans="1:10">
      <c r="A1784">
        <v>1783</v>
      </c>
      <c r="B1784">
        <v>13403</v>
      </c>
      <c r="C1784" t="s">
        <v>23</v>
      </c>
      <c r="D1784">
        <v>139421.32</v>
      </c>
      <c r="E1784" t="s">
        <v>19</v>
      </c>
      <c r="F1784">
        <v>10</v>
      </c>
      <c r="G1784" t="s">
        <v>20</v>
      </c>
      <c r="H1784" s="1">
        <v>45338</v>
      </c>
      <c r="I1784" s="1">
        <v>45348</v>
      </c>
      <c r="J1784" t="str">
        <f t="shared" si="27"/>
        <v>Feb-2024</v>
      </c>
    </row>
    <row r="1785" spans="1:10">
      <c r="A1785">
        <v>1784</v>
      </c>
      <c r="B1785">
        <v>12254</v>
      </c>
      <c r="C1785" t="s">
        <v>23</v>
      </c>
      <c r="D1785">
        <v>135183.41</v>
      </c>
      <c r="E1785" t="s">
        <v>16</v>
      </c>
      <c r="F1785">
        <v>19</v>
      </c>
      <c r="G1785" t="s">
        <v>25</v>
      </c>
      <c r="H1785" s="1">
        <v>45533</v>
      </c>
      <c r="I1785" s="1">
        <v>45552</v>
      </c>
      <c r="J1785" t="str">
        <f t="shared" si="27"/>
        <v>Aug-2024</v>
      </c>
    </row>
    <row r="1786" spans="1:10">
      <c r="A1786">
        <v>1785</v>
      </c>
      <c r="B1786">
        <v>11366</v>
      </c>
      <c r="C1786" t="s">
        <v>18</v>
      </c>
      <c r="D1786">
        <v>92644.54</v>
      </c>
      <c r="E1786" t="s">
        <v>19</v>
      </c>
      <c r="F1786">
        <v>14</v>
      </c>
      <c r="G1786" t="s">
        <v>17</v>
      </c>
      <c r="H1786" s="1">
        <v>45650</v>
      </c>
      <c r="I1786" s="1">
        <v>45664</v>
      </c>
      <c r="J1786" t="str">
        <f t="shared" si="27"/>
        <v>Dec-2024</v>
      </c>
    </row>
    <row r="1787" spans="1:10">
      <c r="A1787">
        <v>1786</v>
      </c>
      <c r="B1787">
        <v>10948</v>
      </c>
      <c r="C1787" t="s">
        <v>18</v>
      </c>
      <c r="D1787">
        <v>139421.07</v>
      </c>
      <c r="E1787" t="s">
        <v>19</v>
      </c>
      <c r="F1787">
        <v>18</v>
      </c>
      <c r="G1787" t="s">
        <v>20</v>
      </c>
      <c r="H1787" s="1">
        <v>45568</v>
      </c>
      <c r="I1787" s="1">
        <v>45586</v>
      </c>
      <c r="J1787" t="str">
        <f t="shared" si="27"/>
        <v>Oct-2024</v>
      </c>
    </row>
    <row r="1788" spans="1:10">
      <c r="A1788">
        <v>1787</v>
      </c>
      <c r="B1788">
        <v>18295</v>
      </c>
      <c r="C1788" t="s">
        <v>15</v>
      </c>
      <c r="D1788">
        <v>18593.009999999998</v>
      </c>
      <c r="E1788" t="s">
        <v>16</v>
      </c>
      <c r="F1788">
        <v>24</v>
      </c>
      <c r="G1788" t="s">
        <v>20</v>
      </c>
      <c r="H1788" s="1">
        <v>45604</v>
      </c>
      <c r="I1788" s="1">
        <v>45628</v>
      </c>
      <c r="J1788" t="str">
        <f t="shared" si="27"/>
        <v>Nov-2024</v>
      </c>
    </row>
    <row r="1789" spans="1:10">
      <c r="A1789">
        <v>1788</v>
      </c>
      <c r="B1789">
        <v>17809</v>
      </c>
      <c r="C1789" t="s">
        <v>18</v>
      </c>
      <c r="D1789">
        <v>172671.04</v>
      </c>
      <c r="E1789" t="s">
        <v>19</v>
      </c>
      <c r="F1789">
        <v>26</v>
      </c>
      <c r="G1789" t="s">
        <v>20</v>
      </c>
      <c r="H1789" s="1">
        <v>45396</v>
      </c>
      <c r="I1789" s="1">
        <v>45422</v>
      </c>
      <c r="J1789" t="str">
        <f t="shared" si="27"/>
        <v>Apr-2024</v>
      </c>
    </row>
    <row r="1790" spans="1:10">
      <c r="A1790">
        <v>1789</v>
      </c>
      <c r="B1790">
        <v>17207</v>
      </c>
      <c r="C1790" t="s">
        <v>23</v>
      </c>
      <c r="D1790">
        <v>156673.37</v>
      </c>
      <c r="E1790" t="s">
        <v>16</v>
      </c>
      <c r="F1790">
        <v>17</v>
      </c>
      <c r="G1790" t="s">
        <v>21</v>
      </c>
      <c r="H1790" s="1">
        <v>45386</v>
      </c>
      <c r="I1790" s="1">
        <v>45403</v>
      </c>
      <c r="J1790" t="str">
        <f t="shared" si="27"/>
        <v>Apr-2024</v>
      </c>
    </row>
    <row r="1791" spans="1:10">
      <c r="A1791">
        <v>1790</v>
      </c>
      <c r="B1791">
        <v>19238</v>
      </c>
      <c r="C1791" t="s">
        <v>15</v>
      </c>
      <c r="D1791">
        <v>52819.839999999997</v>
      </c>
      <c r="E1791" t="s">
        <v>16</v>
      </c>
      <c r="F1791">
        <v>25</v>
      </c>
      <c r="G1791" t="s">
        <v>25</v>
      </c>
      <c r="H1791" s="1">
        <v>45510</v>
      </c>
      <c r="I1791" s="1">
        <v>45535</v>
      </c>
      <c r="J1791" t="str">
        <f t="shared" si="27"/>
        <v>Aug-2024</v>
      </c>
    </row>
    <row r="1792" spans="1:10">
      <c r="A1792">
        <v>1791</v>
      </c>
      <c r="B1792">
        <v>17419</v>
      </c>
      <c r="C1792" t="s">
        <v>18</v>
      </c>
      <c r="D1792">
        <v>154766.32999999999</v>
      </c>
      <c r="E1792" t="s">
        <v>16</v>
      </c>
      <c r="F1792">
        <v>32</v>
      </c>
      <c r="G1792" t="s">
        <v>21</v>
      </c>
      <c r="H1792" s="1">
        <v>45461</v>
      </c>
      <c r="I1792" s="1">
        <v>45493</v>
      </c>
      <c r="J1792" t="str">
        <f t="shared" si="27"/>
        <v>Jun-2024</v>
      </c>
    </row>
    <row r="1793" spans="1:10">
      <c r="A1793">
        <v>1792</v>
      </c>
      <c r="B1793">
        <v>14026</v>
      </c>
      <c r="C1793" t="s">
        <v>23</v>
      </c>
      <c r="D1793">
        <v>7465.31</v>
      </c>
      <c r="E1793" t="s">
        <v>16</v>
      </c>
      <c r="F1793">
        <v>12</v>
      </c>
      <c r="G1793" t="s">
        <v>25</v>
      </c>
      <c r="H1793" s="1">
        <v>45574</v>
      </c>
      <c r="I1793" s="1">
        <v>45586</v>
      </c>
      <c r="J1793" t="str">
        <f t="shared" si="27"/>
        <v>Oct-2024</v>
      </c>
    </row>
    <row r="1794" spans="1:10">
      <c r="A1794">
        <v>1793</v>
      </c>
      <c r="B1794">
        <v>15956</v>
      </c>
      <c r="C1794" t="s">
        <v>18</v>
      </c>
      <c r="D1794">
        <v>47363.08</v>
      </c>
      <c r="E1794" t="s">
        <v>16</v>
      </c>
      <c r="F1794">
        <v>24</v>
      </c>
      <c r="G1794" t="s">
        <v>17</v>
      </c>
      <c r="H1794" s="1">
        <v>45419</v>
      </c>
      <c r="I1794" s="1">
        <v>45443</v>
      </c>
      <c r="J1794" t="str">
        <f t="shared" si="27"/>
        <v>May-2024</v>
      </c>
    </row>
    <row r="1795" spans="1:10">
      <c r="A1795">
        <v>1794</v>
      </c>
      <c r="B1795">
        <v>17369</v>
      </c>
      <c r="C1795" t="s">
        <v>22</v>
      </c>
      <c r="D1795">
        <v>17701.759999999998</v>
      </c>
      <c r="E1795" t="s">
        <v>16</v>
      </c>
      <c r="F1795">
        <v>42</v>
      </c>
      <c r="G1795" t="s">
        <v>17</v>
      </c>
      <c r="H1795" s="1">
        <v>45491</v>
      </c>
      <c r="I1795" s="1">
        <v>45533</v>
      </c>
      <c r="J1795" t="str">
        <f t="shared" ref="J1795:J1858" si="28">TEXT(H1795,"mmm-yyyy")</f>
        <v>Jul-2024</v>
      </c>
    </row>
    <row r="1796" spans="1:10">
      <c r="A1796">
        <v>1795</v>
      </c>
      <c r="B1796">
        <v>17322</v>
      </c>
      <c r="C1796" t="s">
        <v>23</v>
      </c>
      <c r="D1796">
        <v>157144.25</v>
      </c>
      <c r="E1796" t="s">
        <v>24</v>
      </c>
      <c r="G1796" t="s">
        <v>20</v>
      </c>
      <c r="H1796" s="1">
        <v>45623</v>
      </c>
      <c r="J1796" t="str">
        <f t="shared" si="28"/>
        <v>Nov-2024</v>
      </c>
    </row>
    <row r="1797" spans="1:10">
      <c r="A1797">
        <v>1796</v>
      </c>
      <c r="B1797">
        <v>12614</v>
      </c>
      <c r="C1797" t="s">
        <v>23</v>
      </c>
      <c r="D1797">
        <v>152395.46</v>
      </c>
      <c r="E1797" t="s">
        <v>24</v>
      </c>
      <c r="G1797" t="s">
        <v>25</v>
      </c>
      <c r="H1797" s="1">
        <v>45326</v>
      </c>
      <c r="J1797" t="str">
        <f t="shared" si="28"/>
        <v>Feb-2024</v>
      </c>
    </row>
    <row r="1798" spans="1:10">
      <c r="A1798">
        <v>1797</v>
      </c>
      <c r="B1798">
        <v>19155</v>
      </c>
      <c r="C1798" t="s">
        <v>23</v>
      </c>
      <c r="D1798">
        <v>163659.01999999999</v>
      </c>
      <c r="E1798" t="s">
        <v>19</v>
      </c>
      <c r="F1798">
        <v>34</v>
      </c>
      <c r="G1798" t="s">
        <v>17</v>
      </c>
      <c r="H1798" s="1">
        <v>45645</v>
      </c>
      <c r="I1798" s="1">
        <v>45679</v>
      </c>
      <c r="J1798" t="str">
        <f t="shared" si="28"/>
        <v>Dec-2024</v>
      </c>
    </row>
    <row r="1799" spans="1:10">
      <c r="A1799">
        <v>1798</v>
      </c>
      <c r="B1799">
        <v>13271</v>
      </c>
      <c r="C1799" t="s">
        <v>23</v>
      </c>
      <c r="D1799">
        <v>5873.93</v>
      </c>
      <c r="E1799" t="s">
        <v>19</v>
      </c>
      <c r="F1799">
        <v>42</v>
      </c>
      <c r="G1799" t="s">
        <v>25</v>
      </c>
      <c r="H1799" s="1">
        <v>45435</v>
      </c>
      <c r="I1799" s="1">
        <v>45477</v>
      </c>
      <c r="J1799" t="str">
        <f t="shared" si="28"/>
        <v>May-2024</v>
      </c>
    </row>
    <row r="1800" spans="1:10">
      <c r="A1800">
        <v>1799</v>
      </c>
      <c r="B1800">
        <v>19029</v>
      </c>
      <c r="C1800" t="s">
        <v>23</v>
      </c>
      <c r="D1800">
        <v>102740.38</v>
      </c>
      <c r="E1800" t="s">
        <v>24</v>
      </c>
      <c r="G1800" t="s">
        <v>17</v>
      </c>
      <c r="H1800" s="1">
        <v>45583</v>
      </c>
      <c r="J1800" t="str">
        <f t="shared" si="28"/>
        <v>Oct-2024</v>
      </c>
    </row>
    <row r="1801" spans="1:10">
      <c r="A1801">
        <v>1800</v>
      </c>
      <c r="B1801">
        <v>17384</v>
      </c>
      <c r="C1801" t="s">
        <v>18</v>
      </c>
      <c r="D1801">
        <v>142443.06</v>
      </c>
      <c r="E1801" t="s">
        <v>16</v>
      </c>
      <c r="F1801">
        <v>19</v>
      </c>
      <c r="G1801" t="s">
        <v>21</v>
      </c>
      <c r="H1801" s="1">
        <v>45357</v>
      </c>
      <c r="I1801" s="1">
        <v>45376</v>
      </c>
      <c r="J1801" t="str">
        <f t="shared" si="28"/>
        <v>Mar-2024</v>
      </c>
    </row>
    <row r="1802" spans="1:10">
      <c r="A1802">
        <v>1801</v>
      </c>
      <c r="B1802">
        <v>15678</v>
      </c>
      <c r="C1802" t="s">
        <v>23</v>
      </c>
      <c r="D1802">
        <v>35303.22</v>
      </c>
      <c r="E1802" t="s">
        <v>16</v>
      </c>
      <c r="F1802">
        <v>15</v>
      </c>
      <c r="G1802" t="s">
        <v>17</v>
      </c>
      <c r="H1802" s="1">
        <v>45510</v>
      </c>
      <c r="I1802" s="1">
        <v>45525</v>
      </c>
      <c r="J1802" t="str">
        <f t="shared" si="28"/>
        <v>Aug-2024</v>
      </c>
    </row>
    <row r="1803" spans="1:10">
      <c r="A1803">
        <v>1802</v>
      </c>
      <c r="B1803">
        <v>10881</v>
      </c>
      <c r="C1803" t="s">
        <v>22</v>
      </c>
      <c r="D1803">
        <v>131709.19</v>
      </c>
      <c r="E1803" t="s">
        <v>16</v>
      </c>
      <c r="F1803">
        <v>29</v>
      </c>
      <c r="G1803" t="s">
        <v>21</v>
      </c>
      <c r="H1803" s="1">
        <v>45347</v>
      </c>
      <c r="I1803" s="1">
        <v>45376</v>
      </c>
      <c r="J1803" t="str">
        <f t="shared" si="28"/>
        <v>Feb-2024</v>
      </c>
    </row>
    <row r="1804" spans="1:10">
      <c r="A1804">
        <v>1803</v>
      </c>
      <c r="B1804">
        <v>13188</v>
      </c>
      <c r="C1804" t="s">
        <v>18</v>
      </c>
      <c r="D1804">
        <v>21401.47</v>
      </c>
      <c r="E1804" t="s">
        <v>19</v>
      </c>
      <c r="F1804">
        <v>12</v>
      </c>
      <c r="G1804" t="s">
        <v>17</v>
      </c>
      <c r="H1804" s="1">
        <v>45436</v>
      </c>
      <c r="I1804" s="1">
        <v>45448</v>
      </c>
      <c r="J1804" t="str">
        <f t="shared" si="28"/>
        <v>May-2024</v>
      </c>
    </row>
    <row r="1805" spans="1:10">
      <c r="A1805">
        <v>1804</v>
      </c>
      <c r="B1805">
        <v>13334</v>
      </c>
      <c r="C1805" t="s">
        <v>18</v>
      </c>
      <c r="D1805">
        <v>40358.54</v>
      </c>
      <c r="E1805" t="s">
        <v>16</v>
      </c>
      <c r="F1805">
        <v>25</v>
      </c>
      <c r="G1805" t="s">
        <v>20</v>
      </c>
      <c r="H1805" s="1">
        <v>45504</v>
      </c>
      <c r="I1805" s="1">
        <v>45529</v>
      </c>
      <c r="J1805" t="str">
        <f t="shared" si="28"/>
        <v>Jul-2024</v>
      </c>
    </row>
    <row r="1806" spans="1:10">
      <c r="A1806">
        <v>1805</v>
      </c>
      <c r="B1806">
        <v>12198</v>
      </c>
      <c r="C1806" t="s">
        <v>15</v>
      </c>
      <c r="D1806">
        <v>97780.38</v>
      </c>
      <c r="E1806" t="s">
        <v>19</v>
      </c>
      <c r="F1806">
        <v>37</v>
      </c>
      <c r="G1806" t="s">
        <v>21</v>
      </c>
      <c r="H1806" s="1">
        <v>45385</v>
      </c>
      <c r="I1806" s="1">
        <v>45422</v>
      </c>
      <c r="J1806" t="str">
        <f t="shared" si="28"/>
        <v>Apr-2024</v>
      </c>
    </row>
    <row r="1807" spans="1:10">
      <c r="A1807">
        <v>1806</v>
      </c>
      <c r="B1807">
        <v>18403</v>
      </c>
      <c r="C1807" t="s">
        <v>23</v>
      </c>
      <c r="D1807">
        <v>132445.20000000001</v>
      </c>
      <c r="E1807" t="s">
        <v>16</v>
      </c>
      <c r="F1807">
        <v>20</v>
      </c>
      <c r="G1807" t="s">
        <v>17</v>
      </c>
      <c r="H1807" s="1">
        <v>45397</v>
      </c>
      <c r="I1807" s="1">
        <v>45417</v>
      </c>
      <c r="J1807" t="str">
        <f t="shared" si="28"/>
        <v>Apr-2024</v>
      </c>
    </row>
    <row r="1808" spans="1:10">
      <c r="A1808">
        <v>1807</v>
      </c>
      <c r="B1808">
        <v>19407</v>
      </c>
      <c r="C1808" t="s">
        <v>23</v>
      </c>
      <c r="D1808">
        <v>33444.480000000003</v>
      </c>
      <c r="E1808" t="s">
        <v>16</v>
      </c>
      <c r="F1808">
        <v>14</v>
      </c>
      <c r="G1808" t="s">
        <v>20</v>
      </c>
      <c r="H1808" s="1">
        <v>45375</v>
      </c>
      <c r="I1808" s="1">
        <v>45389</v>
      </c>
      <c r="J1808" t="str">
        <f t="shared" si="28"/>
        <v>Mar-2024</v>
      </c>
    </row>
    <row r="1809" spans="1:10">
      <c r="A1809">
        <v>1808</v>
      </c>
      <c r="B1809">
        <v>19072</v>
      </c>
      <c r="C1809" t="s">
        <v>18</v>
      </c>
      <c r="D1809">
        <v>41118.550000000003</v>
      </c>
      <c r="E1809" t="s">
        <v>19</v>
      </c>
      <c r="F1809">
        <v>34</v>
      </c>
      <c r="G1809" t="s">
        <v>21</v>
      </c>
      <c r="H1809" s="1">
        <v>45427</v>
      </c>
      <c r="I1809" s="1">
        <v>45461</v>
      </c>
      <c r="J1809" t="str">
        <f t="shared" si="28"/>
        <v>May-2024</v>
      </c>
    </row>
    <row r="1810" spans="1:10">
      <c r="A1810">
        <v>1809</v>
      </c>
      <c r="B1810">
        <v>10754</v>
      </c>
      <c r="C1810" t="s">
        <v>15</v>
      </c>
      <c r="D1810">
        <v>44867.040000000001</v>
      </c>
      <c r="E1810" t="s">
        <v>16</v>
      </c>
      <c r="F1810">
        <v>20</v>
      </c>
      <c r="G1810" t="s">
        <v>20</v>
      </c>
      <c r="H1810" s="1">
        <v>45437</v>
      </c>
      <c r="I1810" s="1">
        <v>45457</v>
      </c>
      <c r="J1810" t="str">
        <f t="shared" si="28"/>
        <v>May-2024</v>
      </c>
    </row>
    <row r="1811" spans="1:10">
      <c r="A1811">
        <v>1810</v>
      </c>
      <c r="B1811">
        <v>15217</v>
      </c>
      <c r="C1811" t="s">
        <v>18</v>
      </c>
      <c r="D1811">
        <v>51546.66</v>
      </c>
      <c r="E1811" t="s">
        <v>16</v>
      </c>
      <c r="F1811">
        <v>33</v>
      </c>
      <c r="G1811" t="s">
        <v>25</v>
      </c>
      <c r="H1811" s="1">
        <v>45540</v>
      </c>
      <c r="I1811" s="1">
        <v>45573</v>
      </c>
      <c r="J1811" t="str">
        <f t="shared" si="28"/>
        <v>Sep-2024</v>
      </c>
    </row>
    <row r="1812" spans="1:10">
      <c r="A1812">
        <v>1811</v>
      </c>
      <c r="B1812">
        <v>18892</v>
      </c>
      <c r="C1812" t="s">
        <v>23</v>
      </c>
      <c r="D1812">
        <v>49178</v>
      </c>
      <c r="E1812" t="s">
        <v>16</v>
      </c>
      <c r="F1812">
        <v>16</v>
      </c>
      <c r="G1812" t="s">
        <v>25</v>
      </c>
      <c r="H1812" s="1">
        <v>45309</v>
      </c>
      <c r="I1812" s="1">
        <v>45325</v>
      </c>
      <c r="J1812" t="str">
        <f t="shared" si="28"/>
        <v>Jan-2024</v>
      </c>
    </row>
    <row r="1813" spans="1:10">
      <c r="A1813">
        <v>1812</v>
      </c>
      <c r="B1813">
        <v>10370</v>
      </c>
      <c r="C1813" t="s">
        <v>22</v>
      </c>
      <c r="D1813">
        <v>82054.080000000002</v>
      </c>
      <c r="E1813" t="s">
        <v>16</v>
      </c>
      <c r="F1813">
        <v>12</v>
      </c>
      <c r="G1813" t="s">
        <v>21</v>
      </c>
      <c r="H1813" s="1">
        <v>45416</v>
      </c>
      <c r="I1813" s="1">
        <v>45428</v>
      </c>
      <c r="J1813" t="str">
        <f t="shared" si="28"/>
        <v>May-2024</v>
      </c>
    </row>
    <row r="1814" spans="1:10">
      <c r="A1814">
        <v>1813</v>
      </c>
      <c r="B1814">
        <v>11732</v>
      </c>
      <c r="C1814" t="s">
        <v>23</v>
      </c>
      <c r="D1814">
        <v>132488.98000000001</v>
      </c>
      <c r="E1814" t="s">
        <v>19</v>
      </c>
      <c r="F1814">
        <v>24</v>
      </c>
      <c r="G1814" t="s">
        <v>17</v>
      </c>
      <c r="H1814" s="1">
        <v>45293</v>
      </c>
      <c r="I1814" s="1">
        <v>45317</v>
      </c>
      <c r="J1814" t="str">
        <f t="shared" si="28"/>
        <v>Jan-2024</v>
      </c>
    </row>
    <row r="1815" spans="1:10">
      <c r="A1815">
        <v>1814</v>
      </c>
      <c r="B1815">
        <v>15259</v>
      </c>
      <c r="C1815" t="s">
        <v>15</v>
      </c>
      <c r="D1815">
        <v>90416.2</v>
      </c>
      <c r="E1815" t="s">
        <v>16</v>
      </c>
      <c r="F1815">
        <v>6</v>
      </c>
      <c r="G1815" t="s">
        <v>21</v>
      </c>
      <c r="H1815" s="1">
        <v>45623</v>
      </c>
      <c r="I1815" s="1">
        <v>45629</v>
      </c>
      <c r="J1815" t="str">
        <f t="shared" si="28"/>
        <v>Nov-2024</v>
      </c>
    </row>
    <row r="1816" spans="1:10">
      <c r="A1816">
        <v>1815</v>
      </c>
      <c r="B1816">
        <v>10801</v>
      </c>
      <c r="C1816" t="s">
        <v>22</v>
      </c>
      <c r="D1816">
        <v>156314.91</v>
      </c>
      <c r="E1816" t="s">
        <v>16</v>
      </c>
      <c r="F1816">
        <v>23</v>
      </c>
      <c r="G1816" t="s">
        <v>20</v>
      </c>
      <c r="H1816" s="1">
        <v>45491</v>
      </c>
      <c r="I1816" s="1">
        <v>45514</v>
      </c>
      <c r="J1816" t="str">
        <f t="shared" si="28"/>
        <v>Jul-2024</v>
      </c>
    </row>
    <row r="1817" spans="1:10">
      <c r="A1817">
        <v>1816</v>
      </c>
      <c r="B1817">
        <v>16399</v>
      </c>
      <c r="C1817" t="s">
        <v>23</v>
      </c>
      <c r="D1817">
        <v>145257.35999999999</v>
      </c>
      <c r="E1817" t="s">
        <v>16</v>
      </c>
      <c r="F1817">
        <v>43</v>
      </c>
      <c r="G1817" t="s">
        <v>17</v>
      </c>
      <c r="H1817" s="1">
        <v>45429</v>
      </c>
      <c r="I1817" s="1">
        <v>45472</v>
      </c>
      <c r="J1817" t="str">
        <f t="shared" si="28"/>
        <v>May-2024</v>
      </c>
    </row>
    <row r="1818" spans="1:10">
      <c r="A1818">
        <v>1817</v>
      </c>
      <c r="B1818">
        <v>19181</v>
      </c>
      <c r="C1818" t="s">
        <v>18</v>
      </c>
      <c r="D1818">
        <v>29672.75</v>
      </c>
      <c r="E1818" t="s">
        <v>19</v>
      </c>
      <c r="F1818">
        <v>19</v>
      </c>
      <c r="G1818" t="s">
        <v>25</v>
      </c>
      <c r="H1818" s="1">
        <v>45494</v>
      </c>
      <c r="I1818" s="1">
        <v>45513</v>
      </c>
      <c r="J1818" t="str">
        <f t="shared" si="28"/>
        <v>Jul-2024</v>
      </c>
    </row>
    <row r="1819" spans="1:10">
      <c r="A1819">
        <v>1818</v>
      </c>
      <c r="B1819">
        <v>14771</v>
      </c>
      <c r="C1819" t="s">
        <v>23</v>
      </c>
      <c r="D1819">
        <v>14524.12</v>
      </c>
      <c r="E1819" t="s">
        <v>16</v>
      </c>
      <c r="F1819">
        <v>8</v>
      </c>
      <c r="G1819" t="s">
        <v>17</v>
      </c>
      <c r="H1819" s="1">
        <v>45573</v>
      </c>
      <c r="I1819" s="1">
        <v>45581</v>
      </c>
      <c r="J1819" t="str">
        <f t="shared" si="28"/>
        <v>Oct-2024</v>
      </c>
    </row>
    <row r="1820" spans="1:10">
      <c r="A1820">
        <v>1819</v>
      </c>
      <c r="B1820">
        <v>17007</v>
      </c>
      <c r="C1820" t="s">
        <v>23</v>
      </c>
      <c r="D1820">
        <v>176198.6</v>
      </c>
      <c r="E1820" t="s">
        <v>16</v>
      </c>
      <c r="F1820">
        <v>34</v>
      </c>
      <c r="G1820" t="s">
        <v>25</v>
      </c>
      <c r="H1820" s="1">
        <v>45594</v>
      </c>
      <c r="I1820" s="1">
        <v>45628</v>
      </c>
      <c r="J1820" t="str">
        <f t="shared" si="28"/>
        <v>Oct-2024</v>
      </c>
    </row>
    <row r="1821" spans="1:10">
      <c r="A1821">
        <v>1820</v>
      </c>
      <c r="B1821">
        <v>10415</v>
      </c>
      <c r="C1821" t="s">
        <v>18</v>
      </c>
      <c r="D1821">
        <v>20567.060000000001</v>
      </c>
      <c r="E1821" t="s">
        <v>19</v>
      </c>
      <c r="F1821">
        <v>4</v>
      </c>
      <c r="G1821" t="s">
        <v>17</v>
      </c>
      <c r="H1821" s="1">
        <v>45321</v>
      </c>
      <c r="I1821" s="1">
        <v>45325</v>
      </c>
      <c r="J1821" t="str">
        <f t="shared" si="28"/>
        <v>Jan-2024</v>
      </c>
    </row>
    <row r="1822" spans="1:10">
      <c r="A1822">
        <v>1821</v>
      </c>
      <c r="B1822">
        <v>13337</v>
      </c>
      <c r="C1822" t="s">
        <v>18</v>
      </c>
      <c r="D1822">
        <v>33926.14</v>
      </c>
      <c r="E1822" t="s">
        <v>16</v>
      </c>
      <c r="F1822">
        <v>29</v>
      </c>
      <c r="G1822" t="s">
        <v>17</v>
      </c>
      <c r="H1822" s="1">
        <v>45347</v>
      </c>
      <c r="I1822" s="1">
        <v>45376</v>
      </c>
      <c r="J1822" t="str">
        <f t="shared" si="28"/>
        <v>Feb-2024</v>
      </c>
    </row>
    <row r="1823" spans="1:10">
      <c r="A1823">
        <v>1822</v>
      </c>
      <c r="B1823">
        <v>15258</v>
      </c>
      <c r="C1823" t="s">
        <v>22</v>
      </c>
      <c r="D1823">
        <v>9315.99</v>
      </c>
      <c r="E1823" t="s">
        <v>19</v>
      </c>
      <c r="F1823">
        <v>2</v>
      </c>
      <c r="G1823" t="s">
        <v>17</v>
      </c>
      <c r="H1823" s="1">
        <v>45410</v>
      </c>
      <c r="I1823" s="1">
        <v>45412</v>
      </c>
      <c r="J1823" t="str">
        <f t="shared" si="28"/>
        <v>Apr-2024</v>
      </c>
    </row>
    <row r="1824" spans="1:10">
      <c r="A1824">
        <v>1823</v>
      </c>
      <c r="B1824">
        <v>18027</v>
      </c>
      <c r="C1824" t="s">
        <v>18</v>
      </c>
      <c r="D1824">
        <v>127525.59</v>
      </c>
      <c r="E1824" t="s">
        <v>16</v>
      </c>
      <c r="F1824">
        <v>38</v>
      </c>
      <c r="G1824" t="s">
        <v>20</v>
      </c>
      <c r="H1824" s="1">
        <v>45423</v>
      </c>
      <c r="I1824" s="1">
        <v>45461</v>
      </c>
      <c r="J1824" t="str">
        <f t="shared" si="28"/>
        <v>May-2024</v>
      </c>
    </row>
    <row r="1825" spans="1:10">
      <c r="A1825">
        <v>1824</v>
      </c>
      <c r="B1825">
        <v>15057</v>
      </c>
      <c r="C1825" t="s">
        <v>23</v>
      </c>
      <c r="D1825">
        <v>118562.26</v>
      </c>
      <c r="E1825" t="s">
        <v>16</v>
      </c>
      <c r="F1825">
        <v>23</v>
      </c>
      <c r="G1825" t="s">
        <v>20</v>
      </c>
      <c r="H1825" s="1">
        <v>45522</v>
      </c>
      <c r="I1825" s="1">
        <v>45545</v>
      </c>
      <c r="J1825" t="str">
        <f t="shared" si="28"/>
        <v>Aug-2024</v>
      </c>
    </row>
    <row r="1826" spans="1:10">
      <c r="A1826">
        <v>1825</v>
      </c>
      <c r="B1826">
        <v>16967</v>
      </c>
      <c r="C1826" t="s">
        <v>15</v>
      </c>
      <c r="D1826">
        <v>197446.21</v>
      </c>
      <c r="E1826" t="s">
        <v>16</v>
      </c>
      <c r="F1826">
        <v>20</v>
      </c>
      <c r="G1826" t="s">
        <v>21</v>
      </c>
      <c r="H1826" s="1">
        <v>45443</v>
      </c>
      <c r="I1826" s="1">
        <v>45463</v>
      </c>
      <c r="J1826" t="str">
        <f t="shared" si="28"/>
        <v>May-2024</v>
      </c>
    </row>
    <row r="1827" spans="1:10">
      <c r="A1827">
        <v>1826</v>
      </c>
      <c r="B1827">
        <v>11620</v>
      </c>
      <c r="C1827" t="s">
        <v>22</v>
      </c>
      <c r="D1827">
        <v>177951.82</v>
      </c>
      <c r="E1827" t="s">
        <v>24</v>
      </c>
      <c r="G1827" t="s">
        <v>21</v>
      </c>
      <c r="H1827" s="1">
        <v>45312</v>
      </c>
      <c r="J1827" t="str">
        <f t="shared" si="28"/>
        <v>Jan-2024</v>
      </c>
    </row>
    <row r="1828" spans="1:10">
      <c r="A1828">
        <v>1827</v>
      </c>
      <c r="B1828">
        <v>19727</v>
      </c>
      <c r="C1828" t="s">
        <v>23</v>
      </c>
      <c r="D1828">
        <v>85114.42</v>
      </c>
      <c r="E1828" t="s">
        <v>19</v>
      </c>
      <c r="F1828">
        <v>4</v>
      </c>
      <c r="G1828" t="s">
        <v>25</v>
      </c>
      <c r="H1828" s="1">
        <v>45359</v>
      </c>
      <c r="I1828" s="1">
        <v>45363</v>
      </c>
      <c r="J1828" t="str">
        <f t="shared" si="28"/>
        <v>Mar-2024</v>
      </c>
    </row>
    <row r="1829" spans="1:10">
      <c r="A1829">
        <v>1828</v>
      </c>
      <c r="B1829">
        <v>15982</v>
      </c>
      <c r="C1829" t="s">
        <v>22</v>
      </c>
      <c r="D1829">
        <v>77459.240000000005</v>
      </c>
      <c r="E1829" t="s">
        <v>16</v>
      </c>
      <c r="F1829">
        <v>20</v>
      </c>
      <c r="G1829" t="s">
        <v>20</v>
      </c>
      <c r="H1829" s="1">
        <v>45417</v>
      </c>
      <c r="I1829" s="1">
        <v>45437</v>
      </c>
      <c r="J1829" t="str">
        <f t="shared" si="28"/>
        <v>May-2024</v>
      </c>
    </row>
    <row r="1830" spans="1:10">
      <c r="A1830">
        <v>1829</v>
      </c>
      <c r="B1830">
        <v>17993</v>
      </c>
      <c r="C1830" t="s">
        <v>23</v>
      </c>
      <c r="D1830">
        <v>62886.15</v>
      </c>
      <c r="E1830" t="s">
        <v>16</v>
      </c>
      <c r="F1830">
        <v>34</v>
      </c>
      <c r="G1830" t="s">
        <v>25</v>
      </c>
      <c r="H1830" s="1">
        <v>45334</v>
      </c>
      <c r="I1830" s="1">
        <v>45368</v>
      </c>
      <c r="J1830" t="str">
        <f t="shared" si="28"/>
        <v>Feb-2024</v>
      </c>
    </row>
    <row r="1831" spans="1:10">
      <c r="A1831">
        <v>1830</v>
      </c>
      <c r="B1831">
        <v>12792</v>
      </c>
      <c r="C1831" t="s">
        <v>15</v>
      </c>
      <c r="D1831">
        <v>34719.35</v>
      </c>
      <c r="E1831" t="s">
        <v>19</v>
      </c>
      <c r="F1831">
        <v>22</v>
      </c>
      <c r="G1831" t="s">
        <v>21</v>
      </c>
      <c r="H1831" s="1">
        <v>45473</v>
      </c>
      <c r="I1831" s="1">
        <v>45495</v>
      </c>
      <c r="J1831" t="str">
        <f t="shared" si="28"/>
        <v>Jun-2024</v>
      </c>
    </row>
    <row r="1832" spans="1:10">
      <c r="A1832">
        <v>1831</v>
      </c>
      <c r="B1832">
        <v>18764</v>
      </c>
      <c r="C1832" t="s">
        <v>23</v>
      </c>
      <c r="D1832">
        <v>31926.31</v>
      </c>
      <c r="E1832" t="s">
        <v>16</v>
      </c>
      <c r="F1832">
        <v>2</v>
      </c>
      <c r="G1832" t="s">
        <v>25</v>
      </c>
      <c r="H1832" s="1">
        <v>45391</v>
      </c>
      <c r="I1832" s="1">
        <v>45393</v>
      </c>
      <c r="J1832" t="str">
        <f t="shared" si="28"/>
        <v>Apr-2024</v>
      </c>
    </row>
    <row r="1833" spans="1:10">
      <c r="A1833">
        <v>1832</v>
      </c>
      <c r="B1833">
        <v>17386</v>
      </c>
      <c r="C1833" t="s">
        <v>23</v>
      </c>
      <c r="D1833">
        <v>30795.32</v>
      </c>
      <c r="E1833" t="s">
        <v>19</v>
      </c>
      <c r="F1833">
        <v>27</v>
      </c>
      <c r="G1833" t="s">
        <v>21</v>
      </c>
      <c r="H1833" s="1">
        <v>45640</v>
      </c>
      <c r="I1833" s="1">
        <v>45667</v>
      </c>
      <c r="J1833" t="str">
        <f t="shared" si="28"/>
        <v>Dec-2024</v>
      </c>
    </row>
    <row r="1834" spans="1:10">
      <c r="A1834">
        <v>1833</v>
      </c>
      <c r="B1834">
        <v>14893</v>
      </c>
      <c r="C1834" t="s">
        <v>23</v>
      </c>
      <c r="D1834">
        <v>27252.38</v>
      </c>
      <c r="E1834" t="s">
        <v>16</v>
      </c>
      <c r="F1834">
        <v>11</v>
      </c>
      <c r="G1834" t="s">
        <v>20</v>
      </c>
      <c r="H1834" s="1">
        <v>45531</v>
      </c>
      <c r="I1834" s="1">
        <v>45542</v>
      </c>
      <c r="J1834" t="str">
        <f t="shared" si="28"/>
        <v>Aug-2024</v>
      </c>
    </row>
    <row r="1835" spans="1:10">
      <c r="A1835">
        <v>1834</v>
      </c>
      <c r="B1835">
        <v>15096</v>
      </c>
      <c r="C1835" t="s">
        <v>18</v>
      </c>
      <c r="D1835">
        <v>51899.85</v>
      </c>
      <c r="E1835" t="s">
        <v>19</v>
      </c>
      <c r="F1835">
        <v>36</v>
      </c>
      <c r="G1835" t="s">
        <v>17</v>
      </c>
      <c r="H1835" s="1">
        <v>45491</v>
      </c>
      <c r="I1835" s="1">
        <v>45527</v>
      </c>
      <c r="J1835" t="str">
        <f t="shared" si="28"/>
        <v>Jul-2024</v>
      </c>
    </row>
    <row r="1836" spans="1:10">
      <c r="A1836">
        <v>1835</v>
      </c>
      <c r="B1836">
        <v>14856</v>
      </c>
      <c r="C1836" t="s">
        <v>23</v>
      </c>
      <c r="D1836">
        <v>64800.38</v>
      </c>
      <c r="E1836" t="s">
        <v>16</v>
      </c>
      <c r="F1836">
        <v>14</v>
      </c>
      <c r="G1836" t="s">
        <v>20</v>
      </c>
      <c r="H1836" s="1">
        <v>45407</v>
      </c>
      <c r="I1836" s="1">
        <v>45421</v>
      </c>
      <c r="J1836" t="str">
        <f t="shared" si="28"/>
        <v>Apr-2024</v>
      </c>
    </row>
    <row r="1837" spans="1:10">
      <c r="A1837">
        <v>1836</v>
      </c>
      <c r="B1837">
        <v>13655</v>
      </c>
      <c r="C1837" t="s">
        <v>23</v>
      </c>
      <c r="D1837">
        <v>192507.9</v>
      </c>
      <c r="E1837" t="s">
        <v>16</v>
      </c>
      <c r="F1837">
        <v>7</v>
      </c>
      <c r="G1837" t="s">
        <v>25</v>
      </c>
      <c r="H1837" s="1">
        <v>45406</v>
      </c>
      <c r="I1837" s="1">
        <v>45413</v>
      </c>
      <c r="J1837" t="str">
        <f t="shared" si="28"/>
        <v>Apr-2024</v>
      </c>
    </row>
    <row r="1838" spans="1:10">
      <c r="A1838">
        <v>1837</v>
      </c>
      <c r="B1838">
        <v>18484</v>
      </c>
      <c r="C1838" t="s">
        <v>18</v>
      </c>
      <c r="D1838">
        <v>117802.28</v>
      </c>
      <c r="E1838" t="s">
        <v>16</v>
      </c>
      <c r="F1838">
        <v>44</v>
      </c>
      <c r="G1838" t="s">
        <v>25</v>
      </c>
      <c r="H1838" s="1">
        <v>45433</v>
      </c>
      <c r="I1838" s="1">
        <v>45477</v>
      </c>
      <c r="J1838" t="str">
        <f t="shared" si="28"/>
        <v>May-2024</v>
      </c>
    </row>
    <row r="1839" spans="1:10">
      <c r="A1839">
        <v>1838</v>
      </c>
      <c r="B1839">
        <v>14293</v>
      </c>
      <c r="C1839" t="s">
        <v>22</v>
      </c>
      <c r="D1839">
        <v>197581.18</v>
      </c>
      <c r="E1839" t="s">
        <v>24</v>
      </c>
      <c r="G1839" t="s">
        <v>20</v>
      </c>
      <c r="H1839" s="1">
        <v>45410</v>
      </c>
      <c r="J1839" t="str">
        <f t="shared" si="28"/>
        <v>Apr-2024</v>
      </c>
    </row>
    <row r="1840" spans="1:10">
      <c r="A1840">
        <v>1839</v>
      </c>
      <c r="B1840">
        <v>10079</v>
      </c>
      <c r="C1840" t="s">
        <v>23</v>
      </c>
      <c r="D1840">
        <v>77631.05</v>
      </c>
      <c r="E1840" t="s">
        <v>16</v>
      </c>
      <c r="F1840">
        <v>36</v>
      </c>
      <c r="G1840" t="s">
        <v>20</v>
      </c>
      <c r="H1840" s="1">
        <v>45384</v>
      </c>
      <c r="I1840" s="1">
        <v>45420</v>
      </c>
      <c r="J1840" t="str">
        <f t="shared" si="28"/>
        <v>Apr-2024</v>
      </c>
    </row>
    <row r="1841" spans="1:10">
      <c r="A1841">
        <v>1840</v>
      </c>
      <c r="B1841">
        <v>14308</v>
      </c>
      <c r="C1841" t="s">
        <v>23</v>
      </c>
      <c r="D1841">
        <v>94237.19</v>
      </c>
      <c r="E1841" t="s">
        <v>16</v>
      </c>
      <c r="F1841">
        <v>17</v>
      </c>
      <c r="G1841" t="s">
        <v>21</v>
      </c>
      <c r="H1841" s="1">
        <v>45300</v>
      </c>
      <c r="I1841" s="1">
        <v>45317</v>
      </c>
      <c r="J1841" t="str">
        <f t="shared" si="28"/>
        <v>Jan-2024</v>
      </c>
    </row>
    <row r="1842" spans="1:10">
      <c r="A1842">
        <v>1841</v>
      </c>
      <c r="B1842">
        <v>11862</v>
      </c>
      <c r="C1842" t="s">
        <v>23</v>
      </c>
      <c r="D1842">
        <v>68292.84</v>
      </c>
      <c r="E1842" t="s">
        <v>16</v>
      </c>
      <c r="F1842">
        <v>42</v>
      </c>
      <c r="G1842" t="s">
        <v>25</v>
      </c>
      <c r="H1842" s="1">
        <v>45364</v>
      </c>
      <c r="I1842" s="1">
        <v>45406</v>
      </c>
      <c r="J1842" t="str">
        <f t="shared" si="28"/>
        <v>Mar-2024</v>
      </c>
    </row>
    <row r="1843" spans="1:10">
      <c r="A1843">
        <v>1842</v>
      </c>
      <c r="B1843">
        <v>10618</v>
      </c>
      <c r="C1843" t="s">
        <v>23</v>
      </c>
      <c r="D1843">
        <v>40663.089999999997</v>
      </c>
      <c r="E1843" t="s">
        <v>16</v>
      </c>
      <c r="F1843">
        <v>9</v>
      </c>
      <c r="G1843" t="s">
        <v>25</v>
      </c>
      <c r="H1843" s="1">
        <v>45317</v>
      </c>
      <c r="I1843" s="1">
        <v>45326</v>
      </c>
      <c r="J1843" t="str">
        <f t="shared" si="28"/>
        <v>Jan-2024</v>
      </c>
    </row>
    <row r="1844" spans="1:10">
      <c r="A1844">
        <v>1843</v>
      </c>
      <c r="B1844">
        <v>10959</v>
      </c>
      <c r="C1844" t="s">
        <v>15</v>
      </c>
      <c r="D1844">
        <v>32917.120000000003</v>
      </c>
      <c r="E1844" t="s">
        <v>19</v>
      </c>
      <c r="F1844">
        <v>4</v>
      </c>
      <c r="G1844" t="s">
        <v>20</v>
      </c>
      <c r="H1844" s="1">
        <v>45530</v>
      </c>
      <c r="I1844" s="1">
        <v>45534</v>
      </c>
      <c r="J1844" t="str">
        <f t="shared" si="28"/>
        <v>Aug-2024</v>
      </c>
    </row>
    <row r="1845" spans="1:10">
      <c r="A1845">
        <v>1844</v>
      </c>
      <c r="B1845">
        <v>13735</v>
      </c>
      <c r="C1845" t="s">
        <v>15</v>
      </c>
      <c r="D1845">
        <v>189290.44</v>
      </c>
      <c r="E1845" t="s">
        <v>19</v>
      </c>
      <c r="F1845">
        <v>6</v>
      </c>
      <c r="G1845" t="s">
        <v>17</v>
      </c>
      <c r="H1845" s="1">
        <v>45653</v>
      </c>
      <c r="I1845" s="1">
        <v>45659</v>
      </c>
      <c r="J1845" t="str">
        <f t="shared" si="28"/>
        <v>Dec-2024</v>
      </c>
    </row>
    <row r="1846" spans="1:10">
      <c r="A1846">
        <v>1845</v>
      </c>
      <c r="B1846">
        <v>18114</v>
      </c>
      <c r="C1846" t="s">
        <v>18</v>
      </c>
      <c r="D1846">
        <v>197428.08</v>
      </c>
      <c r="E1846" t="s">
        <v>16</v>
      </c>
      <c r="F1846">
        <v>22</v>
      </c>
      <c r="G1846" t="s">
        <v>25</v>
      </c>
      <c r="H1846" s="1">
        <v>45436</v>
      </c>
      <c r="I1846" s="1">
        <v>45458</v>
      </c>
      <c r="J1846" t="str">
        <f t="shared" si="28"/>
        <v>May-2024</v>
      </c>
    </row>
    <row r="1847" spans="1:10">
      <c r="A1847">
        <v>1846</v>
      </c>
      <c r="B1847">
        <v>12168</v>
      </c>
      <c r="C1847" t="s">
        <v>23</v>
      </c>
      <c r="D1847">
        <v>13757.35</v>
      </c>
      <c r="E1847" t="s">
        <v>24</v>
      </c>
      <c r="G1847" t="s">
        <v>17</v>
      </c>
      <c r="H1847" s="1">
        <v>45359</v>
      </c>
      <c r="J1847" t="str">
        <f t="shared" si="28"/>
        <v>Mar-2024</v>
      </c>
    </row>
    <row r="1848" spans="1:10">
      <c r="A1848">
        <v>1847</v>
      </c>
      <c r="B1848">
        <v>13245</v>
      </c>
      <c r="C1848" t="s">
        <v>18</v>
      </c>
      <c r="D1848">
        <v>34317.449999999997</v>
      </c>
      <c r="E1848" t="s">
        <v>19</v>
      </c>
      <c r="F1848">
        <v>15</v>
      </c>
      <c r="G1848" t="s">
        <v>20</v>
      </c>
      <c r="H1848" s="1">
        <v>45479</v>
      </c>
      <c r="I1848" s="1">
        <v>45494</v>
      </c>
      <c r="J1848" t="str">
        <f t="shared" si="28"/>
        <v>Jul-2024</v>
      </c>
    </row>
    <row r="1849" spans="1:10">
      <c r="A1849">
        <v>1848</v>
      </c>
      <c r="B1849">
        <v>17235</v>
      </c>
      <c r="C1849" t="s">
        <v>18</v>
      </c>
      <c r="D1849">
        <v>87587.199999999997</v>
      </c>
      <c r="E1849" t="s">
        <v>19</v>
      </c>
      <c r="F1849">
        <v>38</v>
      </c>
      <c r="G1849" t="s">
        <v>20</v>
      </c>
      <c r="H1849" s="1">
        <v>45422</v>
      </c>
      <c r="I1849" s="1">
        <v>45460</v>
      </c>
      <c r="J1849" t="str">
        <f t="shared" si="28"/>
        <v>May-2024</v>
      </c>
    </row>
    <row r="1850" spans="1:10">
      <c r="A1850">
        <v>1849</v>
      </c>
      <c r="B1850">
        <v>19914</v>
      </c>
      <c r="C1850" t="s">
        <v>15</v>
      </c>
      <c r="D1850">
        <v>41335.03</v>
      </c>
      <c r="E1850" t="s">
        <v>16</v>
      </c>
      <c r="F1850">
        <v>20</v>
      </c>
      <c r="G1850" t="s">
        <v>21</v>
      </c>
      <c r="H1850" s="1">
        <v>45512</v>
      </c>
      <c r="I1850" s="1">
        <v>45532</v>
      </c>
      <c r="J1850" t="str">
        <f t="shared" si="28"/>
        <v>Aug-2024</v>
      </c>
    </row>
    <row r="1851" spans="1:10">
      <c r="A1851">
        <v>1850</v>
      </c>
      <c r="B1851">
        <v>11161</v>
      </c>
      <c r="C1851" t="s">
        <v>18</v>
      </c>
      <c r="D1851">
        <v>75956.679999999993</v>
      </c>
      <c r="E1851" t="s">
        <v>19</v>
      </c>
      <c r="F1851">
        <v>38</v>
      </c>
      <c r="G1851" t="s">
        <v>25</v>
      </c>
      <c r="H1851" s="1">
        <v>45572</v>
      </c>
      <c r="I1851" s="1">
        <v>45610</v>
      </c>
      <c r="J1851" t="str">
        <f t="shared" si="28"/>
        <v>Oct-2024</v>
      </c>
    </row>
    <row r="1852" spans="1:10">
      <c r="A1852">
        <v>1851</v>
      </c>
      <c r="B1852">
        <v>12040</v>
      </c>
      <c r="C1852" t="s">
        <v>18</v>
      </c>
      <c r="D1852">
        <v>30173.79</v>
      </c>
      <c r="E1852" t="s">
        <v>16</v>
      </c>
      <c r="F1852">
        <v>21</v>
      </c>
      <c r="G1852" t="s">
        <v>17</v>
      </c>
      <c r="H1852" s="1">
        <v>45568</v>
      </c>
      <c r="I1852" s="1">
        <v>45589</v>
      </c>
      <c r="J1852" t="str">
        <f t="shared" si="28"/>
        <v>Oct-2024</v>
      </c>
    </row>
    <row r="1853" spans="1:10">
      <c r="A1853">
        <v>1852</v>
      </c>
      <c r="B1853">
        <v>18160</v>
      </c>
      <c r="C1853" t="s">
        <v>18</v>
      </c>
      <c r="D1853">
        <v>94019.79</v>
      </c>
      <c r="E1853" t="s">
        <v>16</v>
      </c>
      <c r="F1853">
        <v>3</v>
      </c>
      <c r="G1853" t="s">
        <v>21</v>
      </c>
      <c r="H1853" s="1">
        <v>45431</v>
      </c>
      <c r="I1853" s="1">
        <v>45434</v>
      </c>
      <c r="J1853" t="str">
        <f t="shared" si="28"/>
        <v>May-2024</v>
      </c>
    </row>
    <row r="1854" spans="1:10">
      <c r="A1854">
        <v>1853</v>
      </c>
      <c r="B1854">
        <v>15649</v>
      </c>
      <c r="C1854" t="s">
        <v>23</v>
      </c>
      <c r="D1854">
        <v>57980.45</v>
      </c>
      <c r="E1854" t="s">
        <v>19</v>
      </c>
      <c r="F1854">
        <v>8</v>
      </c>
      <c r="G1854" t="s">
        <v>25</v>
      </c>
      <c r="H1854" s="1">
        <v>45345</v>
      </c>
      <c r="I1854" s="1">
        <v>45353</v>
      </c>
      <c r="J1854" t="str">
        <f t="shared" si="28"/>
        <v>Feb-2024</v>
      </c>
    </row>
    <row r="1855" spans="1:10">
      <c r="A1855">
        <v>1854</v>
      </c>
      <c r="B1855">
        <v>19291</v>
      </c>
      <c r="C1855" t="s">
        <v>22</v>
      </c>
      <c r="D1855">
        <v>73621.490000000005</v>
      </c>
      <c r="E1855" t="s">
        <v>16</v>
      </c>
      <c r="F1855">
        <v>34</v>
      </c>
      <c r="G1855" t="s">
        <v>21</v>
      </c>
      <c r="H1855" s="1">
        <v>45292</v>
      </c>
      <c r="I1855" s="1">
        <v>45326</v>
      </c>
      <c r="J1855" t="str">
        <f t="shared" si="28"/>
        <v>Jan-2024</v>
      </c>
    </row>
    <row r="1856" spans="1:10">
      <c r="A1856">
        <v>1855</v>
      </c>
      <c r="B1856">
        <v>17318</v>
      </c>
      <c r="C1856" t="s">
        <v>18</v>
      </c>
      <c r="D1856">
        <v>23390.97</v>
      </c>
      <c r="E1856" t="s">
        <v>16</v>
      </c>
      <c r="F1856">
        <v>43</v>
      </c>
      <c r="G1856" t="s">
        <v>20</v>
      </c>
      <c r="H1856" s="1">
        <v>45419</v>
      </c>
      <c r="I1856" s="1">
        <v>45462</v>
      </c>
      <c r="J1856" t="str">
        <f t="shared" si="28"/>
        <v>May-2024</v>
      </c>
    </row>
    <row r="1857" spans="1:10">
      <c r="A1857">
        <v>1856</v>
      </c>
      <c r="B1857">
        <v>19880</v>
      </c>
      <c r="C1857" t="s">
        <v>18</v>
      </c>
      <c r="D1857">
        <v>88484.97</v>
      </c>
      <c r="E1857" t="s">
        <v>19</v>
      </c>
      <c r="F1857">
        <v>7</v>
      </c>
      <c r="G1857" t="s">
        <v>25</v>
      </c>
      <c r="H1857" s="1">
        <v>45292</v>
      </c>
      <c r="I1857" s="1">
        <v>45299</v>
      </c>
      <c r="J1857" t="str">
        <f t="shared" si="28"/>
        <v>Jan-2024</v>
      </c>
    </row>
    <row r="1858" spans="1:10">
      <c r="A1858">
        <v>1857</v>
      </c>
      <c r="B1858">
        <v>17483</v>
      </c>
      <c r="C1858" t="s">
        <v>23</v>
      </c>
      <c r="D1858">
        <v>196735.23</v>
      </c>
      <c r="E1858" t="s">
        <v>19</v>
      </c>
      <c r="F1858">
        <v>8</v>
      </c>
      <c r="G1858" t="s">
        <v>21</v>
      </c>
      <c r="H1858" s="1">
        <v>45464</v>
      </c>
      <c r="I1858" s="1">
        <v>45472</v>
      </c>
      <c r="J1858" t="str">
        <f t="shared" si="28"/>
        <v>Jun-2024</v>
      </c>
    </row>
    <row r="1859" spans="1:10">
      <c r="A1859">
        <v>1858</v>
      </c>
      <c r="B1859">
        <v>14132</v>
      </c>
      <c r="C1859" t="s">
        <v>18</v>
      </c>
      <c r="D1859">
        <v>69122.44</v>
      </c>
      <c r="E1859" t="s">
        <v>16</v>
      </c>
      <c r="F1859">
        <v>19</v>
      </c>
      <c r="G1859" t="s">
        <v>21</v>
      </c>
      <c r="H1859" s="1">
        <v>45557</v>
      </c>
      <c r="I1859" s="1">
        <v>45576</v>
      </c>
      <c r="J1859" t="str">
        <f t="shared" ref="J1859:J1922" si="29">TEXT(H1859,"mmm-yyyy")</f>
        <v>Sep-2024</v>
      </c>
    </row>
    <row r="1860" spans="1:10">
      <c r="A1860">
        <v>1859</v>
      </c>
      <c r="B1860">
        <v>10844</v>
      </c>
      <c r="C1860" t="s">
        <v>18</v>
      </c>
      <c r="D1860">
        <v>175903.71</v>
      </c>
      <c r="E1860" t="s">
        <v>19</v>
      </c>
      <c r="F1860">
        <v>44</v>
      </c>
      <c r="G1860" t="s">
        <v>17</v>
      </c>
      <c r="H1860" s="1">
        <v>45587</v>
      </c>
      <c r="I1860" s="1">
        <v>45631</v>
      </c>
      <c r="J1860" t="str">
        <f t="shared" si="29"/>
        <v>Oct-2024</v>
      </c>
    </row>
    <row r="1861" spans="1:10">
      <c r="A1861">
        <v>1860</v>
      </c>
      <c r="B1861">
        <v>15777</v>
      </c>
      <c r="C1861" t="s">
        <v>23</v>
      </c>
      <c r="D1861">
        <v>169423.83</v>
      </c>
      <c r="E1861" t="s">
        <v>16</v>
      </c>
      <c r="F1861">
        <v>30</v>
      </c>
      <c r="G1861" t="s">
        <v>21</v>
      </c>
      <c r="H1861" s="1">
        <v>45547</v>
      </c>
      <c r="I1861" s="1">
        <v>45577</v>
      </c>
      <c r="J1861" t="str">
        <f t="shared" si="29"/>
        <v>Sep-2024</v>
      </c>
    </row>
    <row r="1862" spans="1:10">
      <c r="A1862">
        <v>1861</v>
      </c>
      <c r="B1862">
        <v>11643</v>
      </c>
      <c r="C1862" t="s">
        <v>23</v>
      </c>
      <c r="D1862">
        <v>190651.39</v>
      </c>
      <c r="E1862" t="s">
        <v>16</v>
      </c>
      <c r="F1862">
        <v>20</v>
      </c>
      <c r="G1862" t="s">
        <v>25</v>
      </c>
      <c r="H1862" s="1">
        <v>45465</v>
      </c>
      <c r="I1862" s="1">
        <v>45485</v>
      </c>
      <c r="J1862" t="str">
        <f t="shared" si="29"/>
        <v>Jun-2024</v>
      </c>
    </row>
    <row r="1863" spans="1:10">
      <c r="A1863">
        <v>1862</v>
      </c>
      <c r="B1863">
        <v>11263</v>
      </c>
      <c r="C1863" t="s">
        <v>18</v>
      </c>
      <c r="D1863">
        <v>159071.35</v>
      </c>
      <c r="E1863" t="s">
        <v>19</v>
      </c>
      <c r="F1863">
        <v>26</v>
      </c>
      <c r="G1863" t="s">
        <v>25</v>
      </c>
      <c r="H1863" s="1">
        <v>45336</v>
      </c>
      <c r="I1863" s="1">
        <v>45362</v>
      </c>
      <c r="J1863" t="str">
        <f t="shared" si="29"/>
        <v>Feb-2024</v>
      </c>
    </row>
    <row r="1864" spans="1:10">
      <c r="A1864">
        <v>1863</v>
      </c>
      <c r="B1864">
        <v>12934</v>
      </c>
      <c r="C1864" t="s">
        <v>18</v>
      </c>
      <c r="D1864">
        <v>133621.38</v>
      </c>
      <c r="E1864" t="s">
        <v>16</v>
      </c>
      <c r="F1864">
        <v>5</v>
      </c>
      <c r="G1864" t="s">
        <v>17</v>
      </c>
      <c r="H1864" s="1">
        <v>45634</v>
      </c>
      <c r="I1864" s="1">
        <v>45639</v>
      </c>
      <c r="J1864" t="str">
        <f t="shared" si="29"/>
        <v>Dec-2024</v>
      </c>
    </row>
    <row r="1865" spans="1:10">
      <c r="A1865">
        <v>1864</v>
      </c>
      <c r="B1865">
        <v>16139</v>
      </c>
      <c r="C1865" t="s">
        <v>18</v>
      </c>
      <c r="D1865">
        <v>172033.97</v>
      </c>
      <c r="E1865" t="s">
        <v>16</v>
      </c>
      <c r="F1865">
        <v>14</v>
      </c>
      <c r="G1865" t="s">
        <v>25</v>
      </c>
      <c r="H1865" s="1">
        <v>45432</v>
      </c>
      <c r="I1865" s="1">
        <v>45446</v>
      </c>
      <c r="J1865" t="str">
        <f t="shared" si="29"/>
        <v>May-2024</v>
      </c>
    </row>
    <row r="1866" spans="1:10">
      <c r="A1866">
        <v>1865</v>
      </c>
      <c r="B1866">
        <v>17174</v>
      </c>
      <c r="C1866" t="s">
        <v>23</v>
      </c>
      <c r="D1866">
        <v>19750.71</v>
      </c>
      <c r="E1866" t="s">
        <v>16</v>
      </c>
      <c r="F1866">
        <v>33</v>
      </c>
      <c r="G1866" t="s">
        <v>20</v>
      </c>
      <c r="H1866" s="1">
        <v>45318</v>
      </c>
      <c r="I1866" s="1">
        <v>45351</v>
      </c>
      <c r="J1866" t="str">
        <f t="shared" si="29"/>
        <v>Jan-2024</v>
      </c>
    </row>
    <row r="1867" spans="1:10">
      <c r="A1867">
        <v>1866</v>
      </c>
      <c r="B1867">
        <v>10215</v>
      </c>
      <c r="C1867" t="s">
        <v>18</v>
      </c>
      <c r="D1867">
        <v>95251.98</v>
      </c>
      <c r="E1867" t="s">
        <v>16</v>
      </c>
      <c r="F1867">
        <v>28</v>
      </c>
      <c r="G1867" t="s">
        <v>25</v>
      </c>
      <c r="H1867" s="1">
        <v>45524</v>
      </c>
      <c r="I1867" s="1">
        <v>45552</v>
      </c>
      <c r="J1867" t="str">
        <f t="shared" si="29"/>
        <v>Aug-2024</v>
      </c>
    </row>
    <row r="1868" spans="1:10">
      <c r="A1868">
        <v>1867</v>
      </c>
      <c r="B1868">
        <v>14776</v>
      </c>
      <c r="C1868" t="s">
        <v>23</v>
      </c>
      <c r="D1868">
        <v>197904.97</v>
      </c>
      <c r="E1868" t="s">
        <v>16</v>
      </c>
      <c r="F1868">
        <v>35</v>
      </c>
      <c r="G1868" t="s">
        <v>25</v>
      </c>
      <c r="H1868" s="1">
        <v>45500</v>
      </c>
      <c r="I1868" s="1">
        <v>45535</v>
      </c>
      <c r="J1868" t="str">
        <f t="shared" si="29"/>
        <v>Jul-2024</v>
      </c>
    </row>
    <row r="1869" spans="1:10">
      <c r="A1869">
        <v>1868</v>
      </c>
      <c r="B1869">
        <v>12340</v>
      </c>
      <c r="C1869" t="s">
        <v>23</v>
      </c>
      <c r="D1869">
        <v>155072.03</v>
      </c>
      <c r="E1869" t="s">
        <v>19</v>
      </c>
      <c r="F1869">
        <v>29</v>
      </c>
      <c r="G1869" t="s">
        <v>21</v>
      </c>
      <c r="H1869" s="1">
        <v>45341</v>
      </c>
      <c r="I1869" s="1">
        <v>45370</v>
      </c>
      <c r="J1869" t="str">
        <f t="shared" si="29"/>
        <v>Feb-2024</v>
      </c>
    </row>
    <row r="1870" spans="1:10">
      <c r="A1870">
        <v>1869</v>
      </c>
      <c r="B1870">
        <v>17706</v>
      </c>
      <c r="C1870" t="s">
        <v>23</v>
      </c>
      <c r="D1870">
        <v>192604.7</v>
      </c>
      <c r="E1870" t="s">
        <v>19</v>
      </c>
      <c r="F1870">
        <v>10</v>
      </c>
      <c r="G1870" t="s">
        <v>21</v>
      </c>
      <c r="H1870" s="1">
        <v>45352</v>
      </c>
      <c r="I1870" s="1">
        <v>45362</v>
      </c>
      <c r="J1870" t="str">
        <f t="shared" si="29"/>
        <v>Mar-2024</v>
      </c>
    </row>
    <row r="1871" spans="1:10">
      <c r="A1871">
        <v>1870</v>
      </c>
      <c r="B1871">
        <v>19699</v>
      </c>
      <c r="C1871" t="s">
        <v>23</v>
      </c>
      <c r="D1871">
        <v>157028.70000000001</v>
      </c>
      <c r="E1871" t="s">
        <v>16</v>
      </c>
      <c r="F1871">
        <v>9</v>
      </c>
      <c r="G1871" t="s">
        <v>25</v>
      </c>
      <c r="H1871" s="1">
        <v>45534</v>
      </c>
      <c r="I1871" s="1">
        <v>45543</v>
      </c>
      <c r="J1871" t="str">
        <f t="shared" si="29"/>
        <v>Aug-2024</v>
      </c>
    </row>
    <row r="1872" spans="1:10">
      <c r="A1872">
        <v>1871</v>
      </c>
      <c r="B1872">
        <v>12090</v>
      </c>
      <c r="C1872" t="s">
        <v>23</v>
      </c>
      <c r="D1872">
        <v>175601.98</v>
      </c>
      <c r="E1872" t="s">
        <v>19</v>
      </c>
      <c r="F1872">
        <v>22</v>
      </c>
      <c r="G1872" t="s">
        <v>17</v>
      </c>
      <c r="H1872" s="1">
        <v>45560</v>
      </c>
      <c r="I1872" s="1">
        <v>45582</v>
      </c>
      <c r="J1872" t="str">
        <f t="shared" si="29"/>
        <v>Sep-2024</v>
      </c>
    </row>
    <row r="1873" spans="1:10">
      <c r="A1873">
        <v>1872</v>
      </c>
      <c r="B1873">
        <v>11116</v>
      </c>
      <c r="C1873" t="s">
        <v>23</v>
      </c>
      <c r="D1873">
        <v>142773.28</v>
      </c>
      <c r="E1873" t="s">
        <v>16</v>
      </c>
      <c r="F1873">
        <v>31</v>
      </c>
      <c r="G1873" t="s">
        <v>21</v>
      </c>
      <c r="H1873" s="1">
        <v>45431</v>
      </c>
      <c r="I1873" s="1">
        <v>45462</v>
      </c>
      <c r="J1873" t="str">
        <f t="shared" si="29"/>
        <v>May-2024</v>
      </c>
    </row>
    <row r="1874" spans="1:10">
      <c r="A1874">
        <v>1873</v>
      </c>
      <c r="B1874">
        <v>17750</v>
      </c>
      <c r="C1874" t="s">
        <v>23</v>
      </c>
      <c r="D1874">
        <v>153297.89000000001</v>
      </c>
      <c r="E1874" t="s">
        <v>16</v>
      </c>
      <c r="F1874">
        <v>30</v>
      </c>
      <c r="G1874" t="s">
        <v>17</v>
      </c>
      <c r="H1874" s="1">
        <v>45448</v>
      </c>
      <c r="I1874" s="1">
        <v>45478</v>
      </c>
      <c r="J1874" t="str">
        <f t="shared" si="29"/>
        <v>Jun-2024</v>
      </c>
    </row>
    <row r="1875" spans="1:10">
      <c r="A1875">
        <v>1874</v>
      </c>
      <c r="B1875">
        <v>15334</v>
      </c>
      <c r="C1875" t="s">
        <v>23</v>
      </c>
      <c r="D1875">
        <v>107019.71</v>
      </c>
      <c r="E1875" t="s">
        <v>19</v>
      </c>
      <c r="F1875">
        <v>10</v>
      </c>
      <c r="G1875" t="s">
        <v>25</v>
      </c>
      <c r="H1875" s="1">
        <v>45376</v>
      </c>
      <c r="I1875" s="1">
        <v>45386</v>
      </c>
      <c r="J1875" t="str">
        <f t="shared" si="29"/>
        <v>Mar-2024</v>
      </c>
    </row>
    <row r="1876" spans="1:10">
      <c r="A1876">
        <v>1875</v>
      </c>
      <c r="B1876">
        <v>12161</v>
      </c>
      <c r="C1876" t="s">
        <v>18</v>
      </c>
      <c r="D1876">
        <v>185226.35</v>
      </c>
      <c r="E1876" t="s">
        <v>16</v>
      </c>
      <c r="F1876">
        <v>14</v>
      </c>
      <c r="G1876" t="s">
        <v>25</v>
      </c>
      <c r="H1876" s="1">
        <v>45375</v>
      </c>
      <c r="I1876" s="1">
        <v>45389</v>
      </c>
      <c r="J1876" t="str">
        <f t="shared" si="29"/>
        <v>Mar-2024</v>
      </c>
    </row>
    <row r="1877" spans="1:10">
      <c r="A1877">
        <v>1876</v>
      </c>
      <c r="B1877">
        <v>13256</v>
      </c>
      <c r="C1877" t="s">
        <v>23</v>
      </c>
      <c r="D1877">
        <v>165882.59</v>
      </c>
      <c r="E1877" t="s">
        <v>16</v>
      </c>
      <c r="F1877">
        <v>19</v>
      </c>
      <c r="G1877" t="s">
        <v>20</v>
      </c>
      <c r="H1877" s="1">
        <v>45567</v>
      </c>
      <c r="I1877" s="1">
        <v>45586</v>
      </c>
      <c r="J1877" t="str">
        <f t="shared" si="29"/>
        <v>Oct-2024</v>
      </c>
    </row>
    <row r="1878" spans="1:10">
      <c r="A1878">
        <v>1877</v>
      </c>
      <c r="B1878">
        <v>19340</v>
      </c>
      <c r="C1878" t="s">
        <v>23</v>
      </c>
      <c r="D1878">
        <v>169557.57</v>
      </c>
      <c r="E1878" t="s">
        <v>16</v>
      </c>
      <c r="F1878">
        <v>39</v>
      </c>
      <c r="G1878" t="s">
        <v>21</v>
      </c>
      <c r="H1878" s="1">
        <v>45322</v>
      </c>
      <c r="I1878" s="1">
        <v>45361</v>
      </c>
      <c r="J1878" t="str">
        <f t="shared" si="29"/>
        <v>Jan-2024</v>
      </c>
    </row>
    <row r="1879" spans="1:10">
      <c r="A1879">
        <v>1878</v>
      </c>
      <c r="B1879">
        <v>13176</v>
      </c>
      <c r="C1879" t="s">
        <v>15</v>
      </c>
      <c r="D1879">
        <v>136236.76999999999</v>
      </c>
      <c r="E1879" t="s">
        <v>16</v>
      </c>
      <c r="F1879">
        <v>23</v>
      </c>
      <c r="G1879" t="s">
        <v>25</v>
      </c>
      <c r="H1879" s="1">
        <v>45299</v>
      </c>
      <c r="I1879" s="1">
        <v>45322</v>
      </c>
      <c r="J1879" t="str">
        <f t="shared" si="29"/>
        <v>Jan-2024</v>
      </c>
    </row>
    <row r="1880" spans="1:10">
      <c r="A1880">
        <v>1879</v>
      </c>
      <c r="B1880">
        <v>16380</v>
      </c>
      <c r="C1880" t="s">
        <v>23</v>
      </c>
      <c r="D1880">
        <v>64393.09</v>
      </c>
      <c r="E1880" t="s">
        <v>19</v>
      </c>
      <c r="F1880">
        <v>32</v>
      </c>
      <c r="G1880" t="s">
        <v>20</v>
      </c>
      <c r="H1880" s="1">
        <v>45571</v>
      </c>
      <c r="I1880" s="1">
        <v>45603</v>
      </c>
      <c r="J1880" t="str">
        <f t="shared" si="29"/>
        <v>Oct-2024</v>
      </c>
    </row>
    <row r="1881" spans="1:10">
      <c r="A1881">
        <v>1880</v>
      </c>
      <c r="B1881">
        <v>13345</v>
      </c>
      <c r="C1881" t="s">
        <v>18</v>
      </c>
      <c r="D1881">
        <v>11947.81</v>
      </c>
      <c r="E1881" t="s">
        <v>16</v>
      </c>
      <c r="F1881">
        <v>36</v>
      </c>
      <c r="G1881" t="s">
        <v>21</v>
      </c>
      <c r="H1881" s="1">
        <v>45494</v>
      </c>
      <c r="I1881" s="1">
        <v>45530</v>
      </c>
      <c r="J1881" t="str">
        <f t="shared" si="29"/>
        <v>Jul-2024</v>
      </c>
    </row>
    <row r="1882" spans="1:10">
      <c r="A1882">
        <v>1881</v>
      </c>
      <c r="B1882">
        <v>16996</v>
      </c>
      <c r="C1882" t="s">
        <v>23</v>
      </c>
      <c r="D1882">
        <v>187452.75</v>
      </c>
      <c r="E1882" t="s">
        <v>16</v>
      </c>
      <c r="F1882">
        <v>43</v>
      </c>
      <c r="G1882" t="s">
        <v>25</v>
      </c>
      <c r="H1882" s="1">
        <v>45324</v>
      </c>
      <c r="I1882" s="1">
        <v>45367</v>
      </c>
      <c r="J1882" t="str">
        <f t="shared" si="29"/>
        <v>Feb-2024</v>
      </c>
    </row>
    <row r="1883" spans="1:10">
      <c r="A1883">
        <v>1882</v>
      </c>
      <c r="B1883">
        <v>19332</v>
      </c>
      <c r="C1883" t="s">
        <v>23</v>
      </c>
      <c r="D1883">
        <v>119293.47</v>
      </c>
      <c r="E1883" t="s">
        <v>16</v>
      </c>
      <c r="F1883">
        <v>43</v>
      </c>
      <c r="G1883" t="s">
        <v>25</v>
      </c>
      <c r="H1883" s="1">
        <v>45589</v>
      </c>
      <c r="I1883" s="1">
        <v>45632</v>
      </c>
      <c r="J1883" t="str">
        <f t="shared" si="29"/>
        <v>Oct-2024</v>
      </c>
    </row>
    <row r="1884" spans="1:10">
      <c r="A1884">
        <v>1883</v>
      </c>
      <c r="B1884">
        <v>12933</v>
      </c>
      <c r="C1884" t="s">
        <v>18</v>
      </c>
      <c r="D1884">
        <v>63137.88</v>
      </c>
      <c r="E1884" t="s">
        <v>16</v>
      </c>
      <c r="F1884">
        <v>11</v>
      </c>
      <c r="G1884" t="s">
        <v>21</v>
      </c>
      <c r="H1884" s="1">
        <v>45434</v>
      </c>
      <c r="I1884" s="1">
        <v>45445</v>
      </c>
      <c r="J1884" t="str">
        <f t="shared" si="29"/>
        <v>May-2024</v>
      </c>
    </row>
    <row r="1885" spans="1:10">
      <c r="A1885">
        <v>1884</v>
      </c>
      <c r="B1885">
        <v>17741</v>
      </c>
      <c r="C1885" t="s">
        <v>18</v>
      </c>
      <c r="D1885">
        <v>34081.35</v>
      </c>
      <c r="E1885" t="s">
        <v>16</v>
      </c>
      <c r="F1885">
        <v>10</v>
      </c>
      <c r="G1885" t="s">
        <v>21</v>
      </c>
      <c r="H1885" s="1">
        <v>45641</v>
      </c>
      <c r="I1885" s="1">
        <v>45651</v>
      </c>
      <c r="J1885" t="str">
        <f t="shared" si="29"/>
        <v>Dec-2024</v>
      </c>
    </row>
    <row r="1886" spans="1:10">
      <c r="A1886">
        <v>1885</v>
      </c>
      <c r="B1886">
        <v>15655</v>
      </c>
      <c r="C1886" t="s">
        <v>15</v>
      </c>
      <c r="D1886">
        <v>166757.01999999999</v>
      </c>
      <c r="E1886" t="s">
        <v>16</v>
      </c>
      <c r="F1886">
        <v>32</v>
      </c>
      <c r="G1886" t="s">
        <v>21</v>
      </c>
      <c r="H1886" s="1">
        <v>45328</v>
      </c>
      <c r="I1886" s="1">
        <v>45360</v>
      </c>
      <c r="J1886" t="str">
        <f t="shared" si="29"/>
        <v>Feb-2024</v>
      </c>
    </row>
    <row r="1887" spans="1:10">
      <c r="A1887">
        <v>1886</v>
      </c>
      <c r="B1887">
        <v>12448</v>
      </c>
      <c r="C1887" t="s">
        <v>18</v>
      </c>
      <c r="D1887">
        <v>168121.44</v>
      </c>
      <c r="E1887" t="s">
        <v>19</v>
      </c>
      <c r="F1887">
        <v>41</v>
      </c>
      <c r="G1887" t="s">
        <v>25</v>
      </c>
      <c r="H1887" s="1">
        <v>45438</v>
      </c>
      <c r="I1887" s="1">
        <v>45479</v>
      </c>
      <c r="J1887" t="str">
        <f t="shared" si="29"/>
        <v>May-2024</v>
      </c>
    </row>
    <row r="1888" spans="1:10">
      <c r="A1888">
        <v>1887</v>
      </c>
      <c r="B1888">
        <v>10827</v>
      </c>
      <c r="C1888" t="s">
        <v>22</v>
      </c>
      <c r="D1888">
        <v>163829.04999999999</v>
      </c>
      <c r="E1888" t="s">
        <v>24</v>
      </c>
      <c r="G1888" t="s">
        <v>25</v>
      </c>
      <c r="H1888" s="1">
        <v>45519</v>
      </c>
      <c r="J1888" t="str">
        <f t="shared" si="29"/>
        <v>Aug-2024</v>
      </c>
    </row>
    <row r="1889" spans="1:10">
      <c r="A1889">
        <v>1888</v>
      </c>
      <c r="B1889">
        <v>15896</v>
      </c>
      <c r="C1889" t="s">
        <v>23</v>
      </c>
      <c r="D1889">
        <v>130791.12</v>
      </c>
      <c r="E1889" t="s">
        <v>16</v>
      </c>
      <c r="F1889">
        <v>42</v>
      </c>
      <c r="G1889" t="s">
        <v>20</v>
      </c>
      <c r="H1889" s="1">
        <v>45325</v>
      </c>
      <c r="I1889" s="1">
        <v>45367</v>
      </c>
      <c r="J1889" t="str">
        <f t="shared" si="29"/>
        <v>Feb-2024</v>
      </c>
    </row>
    <row r="1890" spans="1:10">
      <c r="A1890">
        <v>1889</v>
      </c>
      <c r="B1890">
        <v>11203</v>
      </c>
      <c r="C1890" t="s">
        <v>23</v>
      </c>
      <c r="D1890">
        <v>76373</v>
      </c>
      <c r="E1890" t="s">
        <v>16</v>
      </c>
      <c r="F1890">
        <v>9</v>
      </c>
      <c r="G1890" t="s">
        <v>17</v>
      </c>
      <c r="H1890" s="1">
        <v>45528</v>
      </c>
      <c r="I1890" s="1">
        <v>45537</v>
      </c>
      <c r="J1890" t="str">
        <f t="shared" si="29"/>
        <v>Aug-2024</v>
      </c>
    </row>
    <row r="1891" spans="1:10">
      <c r="A1891">
        <v>1890</v>
      </c>
      <c r="B1891">
        <v>16619</v>
      </c>
      <c r="C1891" t="s">
        <v>23</v>
      </c>
      <c r="D1891">
        <v>64293.71</v>
      </c>
      <c r="E1891" t="s">
        <v>16</v>
      </c>
      <c r="F1891">
        <v>21</v>
      </c>
      <c r="G1891" t="s">
        <v>21</v>
      </c>
      <c r="H1891" s="1">
        <v>45503</v>
      </c>
      <c r="I1891" s="1">
        <v>45524</v>
      </c>
      <c r="J1891" t="str">
        <f t="shared" si="29"/>
        <v>Jul-2024</v>
      </c>
    </row>
    <row r="1892" spans="1:10">
      <c r="A1892">
        <v>1891</v>
      </c>
      <c r="B1892">
        <v>16798</v>
      </c>
      <c r="C1892" t="s">
        <v>23</v>
      </c>
      <c r="D1892">
        <v>6668.18</v>
      </c>
      <c r="E1892" t="s">
        <v>24</v>
      </c>
      <c r="G1892" t="s">
        <v>25</v>
      </c>
      <c r="H1892" s="1">
        <v>45600</v>
      </c>
      <c r="J1892" t="str">
        <f t="shared" si="29"/>
        <v>Nov-2024</v>
      </c>
    </row>
    <row r="1893" spans="1:10">
      <c r="A1893">
        <v>1892</v>
      </c>
      <c r="B1893">
        <v>10844</v>
      </c>
      <c r="C1893" t="s">
        <v>18</v>
      </c>
      <c r="D1893">
        <v>167553.47</v>
      </c>
      <c r="E1893" t="s">
        <v>24</v>
      </c>
      <c r="G1893" t="s">
        <v>25</v>
      </c>
      <c r="H1893" s="1">
        <v>45431</v>
      </c>
      <c r="J1893" t="str">
        <f t="shared" si="29"/>
        <v>May-2024</v>
      </c>
    </row>
    <row r="1894" spans="1:10">
      <c r="A1894">
        <v>1893</v>
      </c>
      <c r="B1894">
        <v>12971</v>
      </c>
      <c r="C1894" t="s">
        <v>18</v>
      </c>
      <c r="D1894">
        <v>22049.38</v>
      </c>
      <c r="E1894" t="s">
        <v>16</v>
      </c>
      <c r="F1894">
        <v>7</v>
      </c>
      <c r="G1894" t="s">
        <v>21</v>
      </c>
      <c r="H1894" s="1">
        <v>45481</v>
      </c>
      <c r="I1894" s="1">
        <v>45488</v>
      </c>
      <c r="J1894" t="str">
        <f t="shared" si="29"/>
        <v>Jul-2024</v>
      </c>
    </row>
    <row r="1895" spans="1:10">
      <c r="A1895">
        <v>1894</v>
      </c>
      <c r="B1895">
        <v>11268</v>
      </c>
      <c r="C1895" t="s">
        <v>23</v>
      </c>
      <c r="D1895">
        <v>127997.22</v>
      </c>
      <c r="E1895" t="s">
        <v>19</v>
      </c>
      <c r="F1895">
        <v>43</v>
      </c>
      <c r="G1895" t="s">
        <v>17</v>
      </c>
      <c r="H1895" s="1">
        <v>45387</v>
      </c>
      <c r="I1895" s="1">
        <v>45430</v>
      </c>
      <c r="J1895" t="str">
        <f t="shared" si="29"/>
        <v>Apr-2024</v>
      </c>
    </row>
    <row r="1896" spans="1:10">
      <c r="A1896">
        <v>1895</v>
      </c>
      <c r="B1896">
        <v>14744</v>
      </c>
      <c r="C1896" t="s">
        <v>22</v>
      </c>
      <c r="D1896">
        <v>103294.61</v>
      </c>
      <c r="E1896" t="s">
        <v>16</v>
      </c>
      <c r="F1896">
        <v>34</v>
      </c>
      <c r="G1896" t="s">
        <v>21</v>
      </c>
      <c r="H1896" s="1">
        <v>45485</v>
      </c>
      <c r="I1896" s="1">
        <v>45519</v>
      </c>
      <c r="J1896" t="str">
        <f t="shared" si="29"/>
        <v>Jul-2024</v>
      </c>
    </row>
    <row r="1897" spans="1:10">
      <c r="A1897">
        <v>1896</v>
      </c>
      <c r="B1897">
        <v>17735</v>
      </c>
      <c r="C1897" t="s">
        <v>15</v>
      </c>
      <c r="D1897">
        <v>107704.42</v>
      </c>
      <c r="E1897" t="s">
        <v>16</v>
      </c>
      <c r="F1897">
        <v>29</v>
      </c>
      <c r="G1897" t="s">
        <v>17</v>
      </c>
      <c r="H1897" s="1">
        <v>45652</v>
      </c>
      <c r="I1897" s="1">
        <v>45681</v>
      </c>
      <c r="J1897" t="str">
        <f t="shared" si="29"/>
        <v>Dec-2024</v>
      </c>
    </row>
    <row r="1898" spans="1:10">
      <c r="A1898">
        <v>1897</v>
      </c>
      <c r="B1898">
        <v>19821</v>
      </c>
      <c r="C1898" t="s">
        <v>23</v>
      </c>
      <c r="D1898">
        <v>185709</v>
      </c>
      <c r="E1898" t="s">
        <v>16</v>
      </c>
      <c r="F1898">
        <v>2</v>
      </c>
      <c r="G1898" t="s">
        <v>25</v>
      </c>
      <c r="H1898" s="1">
        <v>45595</v>
      </c>
      <c r="I1898" s="1">
        <v>45597</v>
      </c>
      <c r="J1898" t="str">
        <f t="shared" si="29"/>
        <v>Oct-2024</v>
      </c>
    </row>
    <row r="1899" spans="1:10">
      <c r="A1899">
        <v>1898</v>
      </c>
      <c r="B1899">
        <v>13530</v>
      </c>
      <c r="C1899" t="s">
        <v>23</v>
      </c>
      <c r="D1899">
        <v>11164.93</v>
      </c>
      <c r="E1899" t="s">
        <v>16</v>
      </c>
      <c r="F1899">
        <v>42</v>
      </c>
      <c r="G1899" t="s">
        <v>17</v>
      </c>
      <c r="H1899" s="1">
        <v>45587</v>
      </c>
      <c r="I1899" s="1">
        <v>45629</v>
      </c>
      <c r="J1899" t="str">
        <f t="shared" si="29"/>
        <v>Oct-2024</v>
      </c>
    </row>
    <row r="1900" spans="1:10">
      <c r="A1900">
        <v>1899</v>
      </c>
      <c r="B1900">
        <v>15085</v>
      </c>
      <c r="C1900" t="s">
        <v>23</v>
      </c>
      <c r="D1900">
        <v>155811.48000000001</v>
      </c>
      <c r="E1900" t="s">
        <v>16</v>
      </c>
      <c r="F1900">
        <v>36</v>
      </c>
      <c r="G1900" t="s">
        <v>20</v>
      </c>
      <c r="H1900" s="1">
        <v>45443</v>
      </c>
      <c r="I1900" s="1">
        <v>45479</v>
      </c>
      <c r="J1900" t="str">
        <f t="shared" si="29"/>
        <v>May-2024</v>
      </c>
    </row>
    <row r="1901" spans="1:10">
      <c r="A1901">
        <v>1900</v>
      </c>
      <c r="B1901">
        <v>18995</v>
      </c>
      <c r="C1901" t="s">
        <v>23</v>
      </c>
      <c r="D1901">
        <v>15150.22</v>
      </c>
      <c r="E1901" t="s">
        <v>16</v>
      </c>
      <c r="F1901">
        <v>25</v>
      </c>
      <c r="G1901" t="s">
        <v>25</v>
      </c>
      <c r="H1901" s="1">
        <v>45514</v>
      </c>
      <c r="I1901" s="1">
        <v>45539</v>
      </c>
      <c r="J1901" t="str">
        <f t="shared" si="29"/>
        <v>Aug-2024</v>
      </c>
    </row>
    <row r="1902" spans="1:10">
      <c r="A1902">
        <v>1901</v>
      </c>
      <c r="B1902">
        <v>18319</v>
      </c>
      <c r="C1902" t="s">
        <v>23</v>
      </c>
      <c r="D1902">
        <v>12439.95</v>
      </c>
      <c r="E1902" t="s">
        <v>16</v>
      </c>
      <c r="F1902">
        <v>7</v>
      </c>
      <c r="G1902" t="s">
        <v>20</v>
      </c>
      <c r="H1902" s="1">
        <v>45487</v>
      </c>
      <c r="I1902" s="1">
        <v>45494</v>
      </c>
      <c r="J1902" t="str">
        <f t="shared" si="29"/>
        <v>Jul-2024</v>
      </c>
    </row>
    <row r="1903" spans="1:10">
      <c r="A1903">
        <v>1902</v>
      </c>
      <c r="B1903">
        <v>19143</v>
      </c>
      <c r="C1903" t="s">
        <v>18</v>
      </c>
      <c r="D1903">
        <v>88814.45</v>
      </c>
      <c r="E1903" t="s">
        <v>16</v>
      </c>
      <c r="F1903">
        <v>8</v>
      </c>
      <c r="G1903" t="s">
        <v>21</v>
      </c>
      <c r="H1903" s="1">
        <v>45379</v>
      </c>
      <c r="I1903" s="1">
        <v>45387</v>
      </c>
      <c r="J1903" t="str">
        <f t="shared" si="29"/>
        <v>Mar-2024</v>
      </c>
    </row>
    <row r="1904" spans="1:10">
      <c r="A1904">
        <v>1903</v>
      </c>
      <c r="B1904">
        <v>12264</v>
      </c>
      <c r="C1904" t="s">
        <v>23</v>
      </c>
      <c r="D1904">
        <v>17299.66</v>
      </c>
      <c r="E1904" t="s">
        <v>16</v>
      </c>
      <c r="F1904">
        <v>10</v>
      </c>
      <c r="G1904" t="s">
        <v>21</v>
      </c>
      <c r="H1904" s="1">
        <v>45590</v>
      </c>
      <c r="I1904" s="1">
        <v>45600</v>
      </c>
      <c r="J1904" t="str">
        <f t="shared" si="29"/>
        <v>Oct-2024</v>
      </c>
    </row>
    <row r="1905" spans="1:10">
      <c r="A1905">
        <v>1904</v>
      </c>
      <c r="B1905">
        <v>10019</v>
      </c>
      <c r="C1905" t="s">
        <v>23</v>
      </c>
      <c r="D1905">
        <v>158883.07</v>
      </c>
      <c r="E1905" t="s">
        <v>16</v>
      </c>
      <c r="F1905">
        <v>38</v>
      </c>
      <c r="G1905" t="s">
        <v>21</v>
      </c>
      <c r="H1905" s="1">
        <v>45308</v>
      </c>
      <c r="I1905" s="1">
        <v>45346</v>
      </c>
      <c r="J1905" t="str">
        <f t="shared" si="29"/>
        <v>Jan-2024</v>
      </c>
    </row>
    <row r="1906" spans="1:10">
      <c r="A1906">
        <v>1905</v>
      </c>
      <c r="B1906">
        <v>11781</v>
      </c>
      <c r="C1906" t="s">
        <v>22</v>
      </c>
      <c r="D1906">
        <v>108264.8</v>
      </c>
      <c r="E1906" t="s">
        <v>16</v>
      </c>
      <c r="F1906">
        <v>17</v>
      </c>
      <c r="G1906" t="s">
        <v>17</v>
      </c>
      <c r="H1906" s="1">
        <v>45502</v>
      </c>
      <c r="I1906" s="1">
        <v>45519</v>
      </c>
      <c r="J1906" t="str">
        <f t="shared" si="29"/>
        <v>Jul-2024</v>
      </c>
    </row>
    <row r="1907" spans="1:10">
      <c r="A1907">
        <v>1906</v>
      </c>
      <c r="B1907">
        <v>16857</v>
      </c>
      <c r="C1907" t="s">
        <v>18</v>
      </c>
      <c r="D1907">
        <v>10662.56</v>
      </c>
      <c r="E1907" t="s">
        <v>16</v>
      </c>
      <c r="F1907">
        <v>35</v>
      </c>
      <c r="G1907" t="s">
        <v>25</v>
      </c>
      <c r="H1907" s="1">
        <v>45523</v>
      </c>
      <c r="I1907" s="1">
        <v>45558</v>
      </c>
      <c r="J1907" t="str">
        <f t="shared" si="29"/>
        <v>Aug-2024</v>
      </c>
    </row>
    <row r="1908" spans="1:10">
      <c r="A1908">
        <v>1907</v>
      </c>
      <c r="B1908">
        <v>14834</v>
      </c>
      <c r="C1908" t="s">
        <v>22</v>
      </c>
      <c r="D1908">
        <v>12897.63</v>
      </c>
      <c r="E1908" t="s">
        <v>16</v>
      </c>
      <c r="F1908">
        <v>36</v>
      </c>
      <c r="G1908" t="s">
        <v>21</v>
      </c>
      <c r="H1908" s="1">
        <v>45649</v>
      </c>
      <c r="I1908" s="1">
        <v>45685</v>
      </c>
      <c r="J1908" t="str">
        <f t="shared" si="29"/>
        <v>Dec-2024</v>
      </c>
    </row>
    <row r="1909" spans="1:10">
      <c r="A1909">
        <v>1908</v>
      </c>
      <c r="B1909">
        <v>17296</v>
      </c>
      <c r="C1909" t="s">
        <v>23</v>
      </c>
      <c r="D1909">
        <v>124470.36</v>
      </c>
      <c r="E1909" t="s">
        <v>16</v>
      </c>
      <c r="F1909">
        <v>36</v>
      </c>
      <c r="G1909" t="s">
        <v>21</v>
      </c>
      <c r="H1909" s="1">
        <v>45474</v>
      </c>
      <c r="I1909" s="1">
        <v>45510</v>
      </c>
      <c r="J1909" t="str">
        <f t="shared" si="29"/>
        <v>Jul-2024</v>
      </c>
    </row>
    <row r="1910" spans="1:10">
      <c r="A1910">
        <v>1909</v>
      </c>
      <c r="B1910">
        <v>18748</v>
      </c>
      <c r="C1910" t="s">
        <v>23</v>
      </c>
      <c r="D1910">
        <v>162191.79999999999</v>
      </c>
      <c r="E1910" t="s">
        <v>16</v>
      </c>
      <c r="F1910">
        <v>21</v>
      </c>
      <c r="G1910" t="s">
        <v>25</v>
      </c>
      <c r="H1910" s="1">
        <v>45453</v>
      </c>
      <c r="I1910" s="1">
        <v>45474</v>
      </c>
      <c r="J1910" t="str">
        <f t="shared" si="29"/>
        <v>Jun-2024</v>
      </c>
    </row>
    <row r="1911" spans="1:10">
      <c r="A1911">
        <v>1910</v>
      </c>
      <c r="B1911">
        <v>12244</v>
      </c>
      <c r="C1911" t="s">
        <v>18</v>
      </c>
      <c r="D1911">
        <v>90370.91</v>
      </c>
      <c r="E1911" t="s">
        <v>16</v>
      </c>
      <c r="F1911">
        <v>24</v>
      </c>
      <c r="G1911" t="s">
        <v>21</v>
      </c>
      <c r="H1911" s="1">
        <v>45361</v>
      </c>
      <c r="I1911" s="1">
        <v>45385</v>
      </c>
      <c r="J1911" t="str">
        <f t="shared" si="29"/>
        <v>Mar-2024</v>
      </c>
    </row>
    <row r="1912" spans="1:10">
      <c r="A1912">
        <v>1911</v>
      </c>
      <c r="B1912">
        <v>12983</v>
      </c>
      <c r="C1912" t="s">
        <v>23</v>
      </c>
      <c r="D1912">
        <v>113143.23</v>
      </c>
      <c r="E1912" t="s">
        <v>16</v>
      </c>
      <c r="F1912">
        <v>43</v>
      </c>
      <c r="G1912" t="s">
        <v>20</v>
      </c>
      <c r="H1912" s="1">
        <v>45351</v>
      </c>
      <c r="I1912" s="1">
        <v>45394</v>
      </c>
      <c r="J1912" t="str">
        <f t="shared" si="29"/>
        <v>Feb-2024</v>
      </c>
    </row>
    <row r="1913" spans="1:10">
      <c r="A1913">
        <v>1912</v>
      </c>
      <c r="B1913">
        <v>12725</v>
      </c>
      <c r="C1913" t="s">
        <v>23</v>
      </c>
      <c r="D1913">
        <v>160966.74</v>
      </c>
      <c r="E1913" t="s">
        <v>16</v>
      </c>
      <c r="F1913">
        <v>36</v>
      </c>
      <c r="G1913" t="s">
        <v>25</v>
      </c>
      <c r="H1913" s="1">
        <v>45470</v>
      </c>
      <c r="I1913" s="1">
        <v>45506</v>
      </c>
      <c r="J1913" t="str">
        <f t="shared" si="29"/>
        <v>Jun-2024</v>
      </c>
    </row>
    <row r="1914" spans="1:10">
      <c r="A1914">
        <v>1913</v>
      </c>
      <c r="B1914">
        <v>14599</v>
      </c>
      <c r="C1914" t="s">
        <v>18</v>
      </c>
      <c r="D1914">
        <v>124048.7</v>
      </c>
      <c r="E1914" t="s">
        <v>19</v>
      </c>
      <c r="F1914">
        <v>24</v>
      </c>
      <c r="G1914" t="s">
        <v>25</v>
      </c>
      <c r="H1914" s="1">
        <v>45368</v>
      </c>
      <c r="I1914" s="1">
        <v>45392</v>
      </c>
      <c r="J1914" t="str">
        <f t="shared" si="29"/>
        <v>Mar-2024</v>
      </c>
    </row>
    <row r="1915" spans="1:10">
      <c r="A1915">
        <v>1914</v>
      </c>
      <c r="B1915">
        <v>15366</v>
      </c>
      <c r="C1915" t="s">
        <v>18</v>
      </c>
      <c r="D1915">
        <v>48828.25</v>
      </c>
      <c r="E1915" t="s">
        <v>16</v>
      </c>
      <c r="F1915">
        <v>5</v>
      </c>
      <c r="G1915" t="s">
        <v>25</v>
      </c>
      <c r="H1915" s="1">
        <v>45326</v>
      </c>
      <c r="I1915" s="1">
        <v>45331</v>
      </c>
      <c r="J1915" t="str">
        <f t="shared" si="29"/>
        <v>Feb-2024</v>
      </c>
    </row>
    <row r="1916" spans="1:10">
      <c r="A1916">
        <v>1915</v>
      </c>
      <c r="B1916">
        <v>14887</v>
      </c>
      <c r="C1916" t="s">
        <v>23</v>
      </c>
      <c r="D1916">
        <v>124545.15</v>
      </c>
      <c r="E1916" t="s">
        <v>16</v>
      </c>
      <c r="F1916">
        <v>11</v>
      </c>
      <c r="G1916" t="s">
        <v>20</v>
      </c>
      <c r="H1916" s="1">
        <v>45307</v>
      </c>
      <c r="I1916" s="1">
        <v>45318</v>
      </c>
      <c r="J1916" t="str">
        <f t="shared" si="29"/>
        <v>Jan-2024</v>
      </c>
    </row>
    <row r="1917" spans="1:10">
      <c r="A1917">
        <v>1916</v>
      </c>
      <c r="B1917">
        <v>10196</v>
      </c>
      <c r="C1917" t="s">
        <v>23</v>
      </c>
      <c r="D1917">
        <v>127514.49</v>
      </c>
      <c r="E1917" t="s">
        <v>16</v>
      </c>
      <c r="F1917">
        <v>44</v>
      </c>
      <c r="G1917" t="s">
        <v>25</v>
      </c>
      <c r="H1917" s="1">
        <v>45585</v>
      </c>
      <c r="I1917" s="1">
        <v>45629</v>
      </c>
      <c r="J1917" t="str">
        <f t="shared" si="29"/>
        <v>Oct-2024</v>
      </c>
    </row>
    <row r="1918" spans="1:10">
      <c r="A1918">
        <v>1917</v>
      </c>
      <c r="B1918">
        <v>15226</v>
      </c>
      <c r="C1918" t="s">
        <v>23</v>
      </c>
      <c r="D1918">
        <v>148150.85999999999</v>
      </c>
      <c r="E1918" t="s">
        <v>16</v>
      </c>
      <c r="F1918">
        <v>12</v>
      </c>
      <c r="G1918" t="s">
        <v>20</v>
      </c>
      <c r="H1918" s="1">
        <v>45462</v>
      </c>
      <c r="I1918" s="1">
        <v>45474</v>
      </c>
      <c r="J1918" t="str">
        <f t="shared" si="29"/>
        <v>Jun-2024</v>
      </c>
    </row>
    <row r="1919" spans="1:10">
      <c r="A1919">
        <v>1918</v>
      </c>
      <c r="B1919">
        <v>12828</v>
      </c>
      <c r="C1919" t="s">
        <v>23</v>
      </c>
      <c r="D1919">
        <v>126070.47</v>
      </c>
      <c r="E1919" t="s">
        <v>16</v>
      </c>
      <c r="F1919">
        <v>41</v>
      </c>
      <c r="G1919" t="s">
        <v>25</v>
      </c>
      <c r="H1919" s="1">
        <v>45323</v>
      </c>
      <c r="I1919" s="1">
        <v>45364</v>
      </c>
      <c r="J1919" t="str">
        <f t="shared" si="29"/>
        <v>Feb-2024</v>
      </c>
    </row>
    <row r="1920" spans="1:10">
      <c r="A1920">
        <v>1919</v>
      </c>
      <c r="B1920">
        <v>13988</v>
      </c>
      <c r="C1920" t="s">
        <v>23</v>
      </c>
      <c r="D1920">
        <v>194002.22</v>
      </c>
      <c r="E1920" t="s">
        <v>16</v>
      </c>
      <c r="F1920">
        <v>10</v>
      </c>
      <c r="G1920" t="s">
        <v>17</v>
      </c>
      <c r="H1920" s="1">
        <v>45554</v>
      </c>
      <c r="I1920" s="1">
        <v>45564</v>
      </c>
      <c r="J1920" t="str">
        <f t="shared" si="29"/>
        <v>Sep-2024</v>
      </c>
    </row>
    <row r="1921" spans="1:10">
      <c r="A1921">
        <v>1920</v>
      </c>
      <c r="B1921">
        <v>15732</v>
      </c>
      <c r="C1921" t="s">
        <v>23</v>
      </c>
      <c r="D1921">
        <v>43471.22</v>
      </c>
      <c r="E1921" t="s">
        <v>16</v>
      </c>
      <c r="F1921">
        <v>41</v>
      </c>
      <c r="G1921" t="s">
        <v>21</v>
      </c>
      <c r="H1921" s="1">
        <v>45506</v>
      </c>
      <c r="I1921" s="1">
        <v>45547</v>
      </c>
      <c r="J1921" t="str">
        <f t="shared" si="29"/>
        <v>Aug-2024</v>
      </c>
    </row>
    <row r="1922" spans="1:10">
      <c r="A1922">
        <v>1921</v>
      </c>
      <c r="B1922">
        <v>15279</v>
      </c>
      <c r="C1922" t="s">
        <v>23</v>
      </c>
      <c r="D1922">
        <v>190462.68</v>
      </c>
      <c r="E1922" t="s">
        <v>24</v>
      </c>
      <c r="G1922" t="s">
        <v>17</v>
      </c>
      <c r="H1922" s="1">
        <v>45337</v>
      </c>
      <c r="J1922" t="str">
        <f t="shared" si="29"/>
        <v>Feb-2024</v>
      </c>
    </row>
    <row r="1923" spans="1:10">
      <c r="A1923">
        <v>1922</v>
      </c>
      <c r="B1923">
        <v>12469</v>
      </c>
      <c r="C1923" t="s">
        <v>22</v>
      </c>
      <c r="D1923">
        <v>109976.2</v>
      </c>
      <c r="E1923" t="s">
        <v>16</v>
      </c>
      <c r="F1923">
        <v>18</v>
      </c>
      <c r="G1923" t="s">
        <v>21</v>
      </c>
      <c r="H1923" s="1">
        <v>45480</v>
      </c>
      <c r="I1923" s="1">
        <v>45498</v>
      </c>
      <c r="J1923" t="str">
        <f t="shared" ref="J1923:J1986" si="30">TEXT(H1923,"mmm-yyyy")</f>
        <v>Jul-2024</v>
      </c>
    </row>
    <row r="1924" spans="1:10">
      <c r="A1924">
        <v>1923</v>
      </c>
      <c r="B1924">
        <v>11630</v>
      </c>
      <c r="C1924" t="s">
        <v>18</v>
      </c>
      <c r="D1924">
        <v>136031.45000000001</v>
      </c>
      <c r="E1924" t="s">
        <v>16</v>
      </c>
      <c r="F1924">
        <v>33</v>
      </c>
      <c r="G1924" t="s">
        <v>20</v>
      </c>
      <c r="H1924" s="1">
        <v>45565</v>
      </c>
      <c r="I1924" s="1">
        <v>45598</v>
      </c>
      <c r="J1924" t="str">
        <f t="shared" si="30"/>
        <v>Sep-2024</v>
      </c>
    </row>
    <row r="1925" spans="1:10">
      <c r="A1925">
        <v>1924</v>
      </c>
      <c r="B1925">
        <v>13278</v>
      </c>
      <c r="C1925" t="s">
        <v>18</v>
      </c>
      <c r="D1925">
        <v>24395.01</v>
      </c>
      <c r="E1925" t="s">
        <v>16</v>
      </c>
      <c r="F1925">
        <v>24</v>
      </c>
      <c r="G1925" t="s">
        <v>17</v>
      </c>
      <c r="H1925" s="1">
        <v>45362</v>
      </c>
      <c r="I1925" s="1">
        <v>45386</v>
      </c>
      <c r="J1925" t="str">
        <f t="shared" si="30"/>
        <v>Mar-2024</v>
      </c>
    </row>
    <row r="1926" spans="1:10">
      <c r="A1926">
        <v>1925</v>
      </c>
      <c r="B1926">
        <v>12038</v>
      </c>
      <c r="C1926" t="s">
        <v>23</v>
      </c>
      <c r="D1926">
        <v>79212.31</v>
      </c>
      <c r="E1926" t="s">
        <v>24</v>
      </c>
      <c r="G1926" t="s">
        <v>25</v>
      </c>
      <c r="H1926" s="1">
        <v>45587</v>
      </c>
      <c r="J1926" t="str">
        <f t="shared" si="30"/>
        <v>Oct-2024</v>
      </c>
    </row>
    <row r="1927" spans="1:10">
      <c r="A1927">
        <v>1926</v>
      </c>
      <c r="B1927">
        <v>15432</v>
      </c>
      <c r="C1927" t="s">
        <v>23</v>
      </c>
      <c r="D1927">
        <v>155028.93</v>
      </c>
      <c r="E1927" t="s">
        <v>19</v>
      </c>
      <c r="F1927">
        <v>29</v>
      </c>
      <c r="G1927" t="s">
        <v>21</v>
      </c>
      <c r="H1927" s="1">
        <v>45379</v>
      </c>
      <c r="I1927" s="1">
        <v>45408</v>
      </c>
      <c r="J1927" t="str">
        <f t="shared" si="30"/>
        <v>Mar-2024</v>
      </c>
    </row>
    <row r="1928" spans="1:10">
      <c r="A1928">
        <v>1927</v>
      </c>
      <c r="B1928">
        <v>15021</v>
      </c>
      <c r="C1928" t="s">
        <v>23</v>
      </c>
      <c r="D1928">
        <v>142847.65</v>
      </c>
      <c r="E1928" t="s">
        <v>16</v>
      </c>
      <c r="F1928">
        <v>39</v>
      </c>
      <c r="G1928" t="s">
        <v>21</v>
      </c>
      <c r="H1928" s="1">
        <v>45625</v>
      </c>
      <c r="I1928" s="1">
        <v>45664</v>
      </c>
      <c r="J1928" t="str">
        <f t="shared" si="30"/>
        <v>Nov-2024</v>
      </c>
    </row>
    <row r="1929" spans="1:10">
      <c r="A1929">
        <v>1928</v>
      </c>
      <c r="B1929">
        <v>14330</v>
      </c>
      <c r="C1929" t="s">
        <v>23</v>
      </c>
      <c r="D1929">
        <v>12827.18</v>
      </c>
      <c r="E1929" t="s">
        <v>19</v>
      </c>
      <c r="F1929">
        <v>6</v>
      </c>
      <c r="G1929" t="s">
        <v>17</v>
      </c>
      <c r="H1929" s="1">
        <v>45552</v>
      </c>
      <c r="I1929" s="1">
        <v>45558</v>
      </c>
      <c r="J1929" t="str">
        <f t="shared" si="30"/>
        <v>Sep-2024</v>
      </c>
    </row>
    <row r="1930" spans="1:10">
      <c r="A1930">
        <v>1929</v>
      </c>
      <c r="B1930">
        <v>16470</v>
      </c>
      <c r="C1930" t="s">
        <v>23</v>
      </c>
      <c r="D1930">
        <v>111585.88</v>
      </c>
      <c r="E1930" t="s">
        <v>16</v>
      </c>
      <c r="F1930">
        <v>41</v>
      </c>
      <c r="G1930" t="s">
        <v>20</v>
      </c>
      <c r="H1930" s="1">
        <v>45473</v>
      </c>
      <c r="I1930" s="1">
        <v>45514</v>
      </c>
      <c r="J1930" t="str">
        <f t="shared" si="30"/>
        <v>Jun-2024</v>
      </c>
    </row>
    <row r="1931" spans="1:10">
      <c r="A1931">
        <v>1930</v>
      </c>
      <c r="B1931">
        <v>17077</v>
      </c>
      <c r="C1931" t="s">
        <v>18</v>
      </c>
      <c r="D1931">
        <v>22214.25</v>
      </c>
      <c r="E1931" t="s">
        <v>19</v>
      </c>
      <c r="F1931">
        <v>19</v>
      </c>
      <c r="G1931" t="s">
        <v>17</v>
      </c>
      <c r="H1931" s="1">
        <v>45633</v>
      </c>
      <c r="I1931" s="1">
        <v>45652</v>
      </c>
      <c r="J1931" t="str">
        <f t="shared" si="30"/>
        <v>Dec-2024</v>
      </c>
    </row>
    <row r="1932" spans="1:10">
      <c r="A1932">
        <v>1931</v>
      </c>
      <c r="B1932">
        <v>14761</v>
      </c>
      <c r="C1932" t="s">
        <v>18</v>
      </c>
      <c r="D1932">
        <v>199192</v>
      </c>
      <c r="E1932" t="s">
        <v>19</v>
      </c>
      <c r="F1932">
        <v>22</v>
      </c>
      <c r="G1932" t="s">
        <v>20</v>
      </c>
      <c r="H1932" s="1">
        <v>45313</v>
      </c>
      <c r="I1932" s="1">
        <v>45335</v>
      </c>
      <c r="J1932" t="str">
        <f t="shared" si="30"/>
        <v>Jan-2024</v>
      </c>
    </row>
    <row r="1933" spans="1:10">
      <c r="A1933">
        <v>1932</v>
      </c>
      <c r="B1933">
        <v>15219</v>
      </c>
      <c r="C1933" t="s">
        <v>18</v>
      </c>
      <c r="D1933">
        <v>179972.83</v>
      </c>
      <c r="E1933" t="s">
        <v>16</v>
      </c>
      <c r="F1933">
        <v>16</v>
      </c>
      <c r="G1933" t="s">
        <v>20</v>
      </c>
      <c r="H1933" s="1">
        <v>45365</v>
      </c>
      <c r="I1933" s="1">
        <v>45381</v>
      </c>
      <c r="J1933" t="str">
        <f t="shared" si="30"/>
        <v>Mar-2024</v>
      </c>
    </row>
    <row r="1934" spans="1:10">
      <c r="A1934">
        <v>1933</v>
      </c>
      <c r="B1934">
        <v>17001</v>
      </c>
      <c r="C1934" t="s">
        <v>23</v>
      </c>
      <c r="D1934">
        <v>9110.73</v>
      </c>
      <c r="E1934" t="s">
        <v>19</v>
      </c>
      <c r="F1934">
        <v>4</v>
      </c>
      <c r="G1934" t="s">
        <v>21</v>
      </c>
      <c r="H1934" s="1">
        <v>45381</v>
      </c>
      <c r="I1934" s="1">
        <v>45385</v>
      </c>
      <c r="J1934" t="str">
        <f t="shared" si="30"/>
        <v>Mar-2024</v>
      </c>
    </row>
    <row r="1935" spans="1:10">
      <c r="A1935">
        <v>1934</v>
      </c>
      <c r="B1935">
        <v>11387</v>
      </c>
      <c r="C1935" t="s">
        <v>22</v>
      </c>
      <c r="D1935">
        <v>172436.67</v>
      </c>
      <c r="E1935" t="s">
        <v>16</v>
      </c>
      <c r="F1935">
        <v>27</v>
      </c>
      <c r="G1935" t="s">
        <v>17</v>
      </c>
      <c r="H1935" s="1">
        <v>45626</v>
      </c>
      <c r="I1935" s="1">
        <v>45653</v>
      </c>
      <c r="J1935" t="str">
        <f t="shared" si="30"/>
        <v>Nov-2024</v>
      </c>
    </row>
    <row r="1936" spans="1:10">
      <c r="A1936">
        <v>1935</v>
      </c>
      <c r="B1936">
        <v>10641</v>
      </c>
      <c r="C1936" t="s">
        <v>23</v>
      </c>
      <c r="D1936">
        <v>184288.77</v>
      </c>
      <c r="E1936" t="s">
        <v>16</v>
      </c>
      <c r="F1936">
        <v>16</v>
      </c>
      <c r="G1936" t="s">
        <v>17</v>
      </c>
      <c r="H1936" s="1">
        <v>45457</v>
      </c>
      <c r="I1936" s="1">
        <v>45473</v>
      </c>
      <c r="J1936" t="str">
        <f t="shared" si="30"/>
        <v>Jun-2024</v>
      </c>
    </row>
    <row r="1937" spans="1:10">
      <c r="A1937">
        <v>1936</v>
      </c>
      <c r="B1937">
        <v>15612</v>
      </c>
      <c r="C1937" t="s">
        <v>23</v>
      </c>
      <c r="D1937">
        <v>73941.899999999994</v>
      </c>
      <c r="E1937" t="s">
        <v>16</v>
      </c>
      <c r="F1937">
        <v>21</v>
      </c>
      <c r="G1937" t="s">
        <v>20</v>
      </c>
      <c r="H1937" s="1">
        <v>45525</v>
      </c>
      <c r="I1937" s="1">
        <v>45546</v>
      </c>
      <c r="J1937" t="str">
        <f t="shared" si="30"/>
        <v>Aug-2024</v>
      </c>
    </row>
    <row r="1938" spans="1:10">
      <c r="A1938">
        <v>1937</v>
      </c>
      <c r="B1938">
        <v>17210</v>
      </c>
      <c r="C1938" t="s">
        <v>23</v>
      </c>
      <c r="D1938">
        <v>145302.82</v>
      </c>
      <c r="E1938" t="s">
        <v>19</v>
      </c>
      <c r="F1938">
        <v>22</v>
      </c>
      <c r="G1938" t="s">
        <v>17</v>
      </c>
      <c r="H1938" s="1">
        <v>45420</v>
      </c>
      <c r="I1938" s="1">
        <v>45442</v>
      </c>
      <c r="J1938" t="str">
        <f t="shared" si="30"/>
        <v>May-2024</v>
      </c>
    </row>
    <row r="1939" spans="1:10">
      <c r="A1939">
        <v>1938</v>
      </c>
      <c r="B1939">
        <v>10574</v>
      </c>
      <c r="C1939" t="s">
        <v>18</v>
      </c>
      <c r="D1939">
        <v>91210.23</v>
      </c>
      <c r="E1939" t="s">
        <v>16</v>
      </c>
      <c r="F1939">
        <v>27</v>
      </c>
      <c r="G1939" t="s">
        <v>25</v>
      </c>
      <c r="H1939" s="1">
        <v>45625</v>
      </c>
      <c r="I1939" s="1">
        <v>45652</v>
      </c>
      <c r="J1939" t="str">
        <f t="shared" si="30"/>
        <v>Nov-2024</v>
      </c>
    </row>
    <row r="1940" spans="1:10">
      <c r="A1940">
        <v>1939</v>
      </c>
      <c r="B1940">
        <v>19913</v>
      </c>
      <c r="C1940" t="s">
        <v>22</v>
      </c>
      <c r="D1940">
        <v>132770.32999999999</v>
      </c>
      <c r="E1940" t="s">
        <v>16</v>
      </c>
      <c r="F1940">
        <v>42</v>
      </c>
      <c r="G1940" t="s">
        <v>25</v>
      </c>
      <c r="H1940" s="1">
        <v>45583</v>
      </c>
      <c r="I1940" s="1">
        <v>45625</v>
      </c>
      <c r="J1940" t="str">
        <f t="shared" si="30"/>
        <v>Oct-2024</v>
      </c>
    </row>
    <row r="1941" spans="1:10">
      <c r="A1941">
        <v>1940</v>
      </c>
      <c r="B1941">
        <v>19210</v>
      </c>
      <c r="C1941" t="s">
        <v>23</v>
      </c>
      <c r="D1941">
        <v>71361.89</v>
      </c>
      <c r="E1941" t="s">
        <v>19</v>
      </c>
      <c r="F1941">
        <v>24</v>
      </c>
      <c r="G1941" t="s">
        <v>17</v>
      </c>
      <c r="H1941" s="1">
        <v>45386</v>
      </c>
      <c r="I1941" s="1">
        <v>45410</v>
      </c>
      <c r="J1941" t="str">
        <f t="shared" si="30"/>
        <v>Apr-2024</v>
      </c>
    </row>
    <row r="1942" spans="1:10">
      <c r="A1942">
        <v>1941</v>
      </c>
      <c r="B1942">
        <v>17796</v>
      </c>
      <c r="C1942" t="s">
        <v>15</v>
      </c>
      <c r="D1942">
        <v>67899.05</v>
      </c>
      <c r="E1942" t="s">
        <v>16</v>
      </c>
      <c r="F1942">
        <v>26</v>
      </c>
      <c r="G1942" t="s">
        <v>17</v>
      </c>
      <c r="H1942" s="1">
        <v>45319</v>
      </c>
      <c r="I1942" s="1">
        <v>45345</v>
      </c>
      <c r="J1942" t="str">
        <f t="shared" si="30"/>
        <v>Jan-2024</v>
      </c>
    </row>
    <row r="1943" spans="1:10">
      <c r="A1943">
        <v>1942</v>
      </c>
      <c r="B1943">
        <v>18591</v>
      </c>
      <c r="C1943" t="s">
        <v>15</v>
      </c>
      <c r="D1943">
        <v>87764.61</v>
      </c>
      <c r="E1943" t="s">
        <v>16</v>
      </c>
      <c r="F1943">
        <v>5</v>
      </c>
      <c r="G1943" t="s">
        <v>20</v>
      </c>
      <c r="H1943" s="1">
        <v>45645</v>
      </c>
      <c r="I1943" s="1">
        <v>45650</v>
      </c>
      <c r="J1943" t="str">
        <f t="shared" si="30"/>
        <v>Dec-2024</v>
      </c>
    </row>
    <row r="1944" spans="1:10">
      <c r="A1944">
        <v>1943</v>
      </c>
      <c r="B1944">
        <v>14690</v>
      </c>
      <c r="C1944" t="s">
        <v>23</v>
      </c>
      <c r="D1944">
        <v>33385.71</v>
      </c>
      <c r="E1944" t="s">
        <v>16</v>
      </c>
      <c r="F1944">
        <v>11</v>
      </c>
      <c r="G1944" t="s">
        <v>25</v>
      </c>
      <c r="H1944" s="1">
        <v>45326</v>
      </c>
      <c r="I1944" s="1">
        <v>45337</v>
      </c>
      <c r="J1944" t="str">
        <f t="shared" si="30"/>
        <v>Feb-2024</v>
      </c>
    </row>
    <row r="1945" spans="1:10">
      <c r="A1945">
        <v>1944</v>
      </c>
      <c r="B1945">
        <v>11456</v>
      </c>
      <c r="C1945" t="s">
        <v>23</v>
      </c>
      <c r="D1945">
        <v>167072.1</v>
      </c>
      <c r="E1945" t="s">
        <v>16</v>
      </c>
      <c r="F1945">
        <v>23</v>
      </c>
      <c r="G1945" t="s">
        <v>25</v>
      </c>
      <c r="H1945" s="1">
        <v>45522</v>
      </c>
      <c r="I1945" s="1">
        <v>45545</v>
      </c>
      <c r="J1945" t="str">
        <f t="shared" si="30"/>
        <v>Aug-2024</v>
      </c>
    </row>
    <row r="1946" spans="1:10">
      <c r="A1946">
        <v>1945</v>
      </c>
      <c r="B1946">
        <v>11595</v>
      </c>
      <c r="C1946" t="s">
        <v>23</v>
      </c>
      <c r="D1946">
        <v>72996.09</v>
      </c>
      <c r="E1946" t="s">
        <v>16</v>
      </c>
      <c r="F1946">
        <v>4</v>
      </c>
      <c r="G1946" t="s">
        <v>21</v>
      </c>
      <c r="H1946" s="1">
        <v>45609</v>
      </c>
      <c r="I1946" s="1">
        <v>45613</v>
      </c>
      <c r="J1946" t="str">
        <f t="shared" si="30"/>
        <v>Nov-2024</v>
      </c>
    </row>
    <row r="1947" spans="1:10">
      <c r="A1947">
        <v>1946</v>
      </c>
      <c r="B1947">
        <v>18308</v>
      </c>
      <c r="C1947" t="s">
        <v>22</v>
      </c>
      <c r="D1947">
        <v>83029.16</v>
      </c>
      <c r="E1947" t="s">
        <v>16</v>
      </c>
      <c r="F1947">
        <v>20</v>
      </c>
      <c r="G1947" t="s">
        <v>20</v>
      </c>
      <c r="H1947" s="1">
        <v>45634</v>
      </c>
      <c r="I1947" s="1">
        <v>45654</v>
      </c>
      <c r="J1947" t="str">
        <f t="shared" si="30"/>
        <v>Dec-2024</v>
      </c>
    </row>
    <row r="1948" spans="1:10">
      <c r="A1948">
        <v>1947</v>
      </c>
      <c r="B1948">
        <v>17986</v>
      </c>
      <c r="C1948" t="s">
        <v>23</v>
      </c>
      <c r="D1948">
        <v>179340.65</v>
      </c>
      <c r="E1948" t="s">
        <v>24</v>
      </c>
      <c r="G1948" t="s">
        <v>21</v>
      </c>
      <c r="H1948" s="1">
        <v>45655</v>
      </c>
      <c r="J1948" t="str">
        <f t="shared" si="30"/>
        <v>Dec-2024</v>
      </c>
    </row>
    <row r="1949" spans="1:10">
      <c r="A1949">
        <v>1948</v>
      </c>
      <c r="B1949">
        <v>18574</v>
      </c>
      <c r="C1949" t="s">
        <v>18</v>
      </c>
      <c r="D1949">
        <v>101841.64</v>
      </c>
      <c r="E1949" t="s">
        <v>19</v>
      </c>
      <c r="F1949">
        <v>10</v>
      </c>
      <c r="G1949" t="s">
        <v>25</v>
      </c>
      <c r="H1949" s="1">
        <v>45416</v>
      </c>
      <c r="I1949" s="1">
        <v>45426</v>
      </c>
      <c r="J1949" t="str">
        <f t="shared" si="30"/>
        <v>May-2024</v>
      </c>
    </row>
    <row r="1950" spans="1:10">
      <c r="A1950">
        <v>1949</v>
      </c>
      <c r="B1950">
        <v>12129</v>
      </c>
      <c r="C1950" t="s">
        <v>23</v>
      </c>
      <c r="D1950">
        <v>111129.51</v>
      </c>
      <c r="E1950" t="s">
        <v>16</v>
      </c>
      <c r="F1950">
        <v>30</v>
      </c>
      <c r="G1950" t="s">
        <v>20</v>
      </c>
      <c r="H1950" s="1">
        <v>45370</v>
      </c>
      <c r="I1950" s="1">
        <v>45400</v>
      </c>
      <c r="J1950" t="str">
        <f t="shared" si="30"/>
        <v>Mar-2024</v>
      </c>
    </row>
    <row r="1951" spans="1:10">
      <c r="A1951">
        <v>1950</v>
      </c>
      <c r="B1951">
        <v>10831</v>
      </c>
      <c r="C1951" t="s">
        <v>18</v>
      </c>
      <c r="D1951">
        <v>191517.13</v>
      </c>
      <c r="E1951" t="s">
        <v>16</v>
      </c>
      <c r="F1951">
        <v>38</v>
      </c>
      <c r="G1951" t="s">
        <v>17</v>
      </c>
      <c r="H1951" s="1">
        <v>45352</v>
      </c>
      <c r="I1951" s="1">
        <v>45390</v>
      </c>
      <c r="J1951" t="str">
        <f t="shared" si="30"/>
        <v>Mar-2024</v>
      </c>
    </row>
    <row r="1952" spans="1:10">
      <c r="A1952">
        <v>1951</v>
      </c>
      <c r="B1952">
        <v>14968</v>
      </c>
      <c r="C1952" t="s">
        <v>23</v>
      </c>
      <c r="D1952">
        <v>177911.64</v>
      </c>
      <c r="E1952" t="s">
        <v>16</v>
      </c>
      <c r="F1952">
        <v>8</v>
      </c>
      <c r="G1952" t="s">
        <v>20</v>
      </c>
      <c r="H1952" s="1">
        <v>45508</v>
      </c>
      <c r="I1952" s="1">
        <v>45516</v>
      </c>
      <c r="J1952" t="str">
        <f t="shared" si="30"/>
        <v>Aug-2024</v>
      </c>
    </row>
    <row r="1953" spans="1:10">
      <c r="A1953">
        <v>1952</v>
      </c>
      <c r="B1953">
        <v>13481</v>
      </c>
      <c r="C1953" t="s">
        <v>18</v>
      </c>
      <c r="D1953">
        <v>38046.01</v>
      </c>
      <c r="E1953" t="s">
        <v>16</v>
      </c>
      <c r="F1953">
        <v>39</v>
      </c>
      <c r="G1953" t="s">
        <v>17</v>
      </c>
      <c r="H1953" s="1">
        <v>45573</v>
      </c>
      <c r="I1953" s="1">
        <v>45612</v>
      </c>
      <c r="J1953" t="str">
        <f t="shared" si="30"/>
        <v>Oct-2024</v>
      </c>
    </row>
    <row r="1954" spans="1:10">
      <c r="A1954">
        <v>1953</v>
      </c>
      <c r="B1954">
        <v>12117</v>
      </c>
      <c r="C1954" t="s">
        <v>15</v>
      </c>
      <c r="D1954">
        <v>97276.93</v>
      </c>
      <c r="E1954" t="s">
        <v>16</v>
      </c>
      <c r="F1954">
        <v>25</v>
      </c>
      <c r="G1954" t="s">
        <v>17</v>
      </c>
      <c r="H1954" s="1">
        <v>45454</v>
      </c>
      <c r="I1954" s="1">
        <v>45479</v>
      </c>
      <c r="J1954" t="str">
        <f t="shared" si="30"/>
        <v>Jun-2024</v>
      </c>
    </row>
    <row r="1955" spans="1:10">
      <c r="A1955">
        <v>1954</v>
      </c>
      <c r="B1955">
        <v>14482</v>
      </c>
      <c r="C1955" t="s">
        <v>15</v>
      </c>
      <c r="D1955">
        <v>194402.76</v>
      </c>
      <c r="E1955" t="s">
        <v>16</v>
      </c>
      <c r="F1955">
        <v>9</v>
      </c>
      <c r="G1955" t="s">
        <v>20</v>
      </c>
      <c r="H1955" s="1">
        <v>45348</v>
      </c>
      <c r="I1955" s="1">
        <v>45357</v>
      </c>
      <c r="J1955" t="str">
        <f t="shared" si="30"/>
        <v>Feb-2024</v>
      </c>
    </row>
    <row r="1956" spans="1:10">
      <c r="A1956">
        <v>1955</v>
      </c>
      <c r="B1956">
        <v>12006</v>
      </c>
      <c r="C1956" t="s">
        <v>15</v>
      </c>
      <c r="D1956">
        <v>77611.429999999993</v>
      </c>
      <c r="E1956" t="s">
        <v>19</v>
      </c>
      <c r="F1956">
        <v>35</v>
      </c>
      <c r="G1956" t="s">
        <v>17</v>
      </c>
      <c r="H1956" s="1">
        <v>45482</v>
      </c>
      <c r="I1956" s="1">
        <v>45517</v>
      </c>
      <c r="J1956" t="str">
        <f t="shared" si="30"/>
        <v>Jul-2024</v>
      </c>
    </row>
    <row r="1957" spans="1:10">
      <c r="A1957">
        <v>1956</v>
      </c>
      <c r="B1957">
        <v>18488</v>
      </c>
      <c r="C1957" t="s">
        <v>23</v>
      </c>
      <c r="D1957">
        <v>77456.759999999995</v>
      </c>
      <c r="E1957" t="s">
        <v>16</v>
      </c>
      <c r="F1957">
        <v>27</v>
      </c>
      <c r="G1957" t="s">
        <v>21</v>
      </c>
      <c r="H1957" s="1">
        <v>45423</v>
      </c>
      <c r="I1957" s="1">
        <v>45450</v>
      </c>
      <c r="J1957" t="str">
        <f t="shared" si="30"/>
        <v>May-2024</v>
      </c>
    </row>
    <row r="1958" spans="1:10">
      <c r="A1958">
        <v>1957</v>
      </c>
      <c r="B1958">
        <v>16760</v>
      </c>
      <c r="C1958" t="s">
        <v>18</v>
      </c>
      <c r="D1958">
        <v>43030.9</v>
      </c>
      <c r="E1958" t="s">
        <v>16</v>
      </c>
      <c r="F1958">
        <v>29</v>
      </c>
      <c r="G1958" t="s">
        <v>25</v>
      </c>
      <c r="H1958" s="1">
        <v>45333</v>
      </c>
      <c r="I1958" s="1">
        <v>45362</v>
      </c>
      <c r="J1958" t="str">
        <f t="shared" si="30"/>
        <v>Feb-2024</v>
      </c>
    </row>
    <row r="1959" spans="1:10">
      <c r="A1959">
        <v>1958</v>
      </c>
      <c r="B1959">
        <v>18910</v>
      </c>
      <c r="C1959" t="s">
        <v>23</v>
      </c>
      <c r="D1959">
        <v>27293.01</v>
      </c>
      <c r="E1959" t="s">
        <v>19</v>
      </c>
      <c r="F1959">
        <v>29</v>
      </c>
      <c r="G1959" t="s">
        <v>17</v>
      </c>
      <c r="H1959" s="1">
        <v>45464</v>
      </c>
      <c r="I1959" s="1">
        <v>45493</v>
      </c>
      <c r="J1959" t="str">
        <f t="shared" si="30"/>
        <v>Jun-2024</v>
      </c>
    </row>
    <row r="1960" spans="1:10">
      <c r="A1960">
        <v>1959</v>
      </c>
      <c r="B1960">
        <v>15694</v>
      </c>
      <c r="C1960" t="s">
        <v>23</v>
      </c>
      <c r="D1960">
        <v>149359.43</v>
      </c>
      <c r="E1960" t="s">
        <v>16</v>
      </c>
      <c r="F1960">
        <v>8</v>
      </c>
      <c r="G1960" t="s">
        <v>21</v>
      </c>
      <c r="H1960" s="1">
        <v>45458</v>
      </c>
      <c r="I1960" s="1">
        <v>45466</v>
      </c>
      <c r="J1960" t="str">
        <f t="shared" si="30"/>
        <v>Jun-2024</v>
      </c>
    </row>
    <row r="1961" spans="1:10">
      <c r="A1961">
        <v>1960</v>
      </c>
      <c r="B1961">
        <v>16062</v>
      </c>
      <c r="C1961" t="s">
        <v>18</v>
      </c>
      <c r="D1961">
        <v>155155.94</v>
      </c>
      <c r="E1961" t="s">
        <v>16</v>
      </c>
      <c r="F1961">
        <v>4</v>
      </c>
      <c r="G1961" t="s">
        <v>17</v>
      </c>
      <c r="H1961" s="1">
        <v>45541</v>
      </c>
      <c r="I1961" s="1">
        <v>45545</v>
      </c>
      <c r="J1961" t="str">
        <f t="shared" si="30"/>
        <v>Sep-2024</v>
      </c>
    </row>
    <row r="1962" spans="1:10">
      <c r="A1962">
        <v>1961</v>
      </c>
      <c r="B1962">
        <v>13079</v>
      </c>
      <c r="C1962" t="s">
        <v>23</v>
      </c>
      <c r="D1962">
        <v>193957.53</v>
      </c>
      <c r="E1962" t="s">
        <v>16</v>
      </c>
      <c r="F1962">
        <v>23</v>
      </c>
      <c r="G1962" t="s">
        <v>25</v>
      </c>
      <c r="H1962" s="1">
        <v>45484</v>
      </c>
      <c r="I1962" s="1">
        <v>45507</v>
      </c>
      <c r="J1962" t="str">
        <f t="shared" si="30"/>
        <v>Jul-2024</v>
      </c>
    </row>
    <row r="1963" spans="1:10">
      <c r="A1963">
        <v>1962</v>
      </c>
      <c r="B1963">
        <v>15278</v>
      </c>
      <c r="C1963" t="s">
        <v>18</v>
      </c>
      <c r="D1963">
        <v>155816.54999999999</v>
      </c>
      <c r="E1963" t="s">
        <v>16</v>
      </c>
      <c r="F1963">
        <v>39</v>
      </c>
      <c r="G1963" t="s">
        <v>21</v>
      </c>
      <c r="H1963" s="1">
        <v>45569</v>
      </c>
      <c r="I1963" s="1">
        <v>45608</v>
      </c>
      <c r="J1963" t="str">
        <f t="shared" si="30"/>
        <v>Oct-2024</v>
      </c>
    </row>
    <row r="1964" spans="1:10">
      <c r="A1964">
        <v>1963</v>
      </c>
      <c r="B1964">
        <v>10010</v>
      </c>
      <c r="C1964" t="s">
        <v>22</v>
      </c>
      <c r="D1964">
        <v>52453.74</v>
      </c>
      <c r="E1964" t="s">
        <v>19</v>
      </c>
      <c r="F1964">
        <v>19</v>
      </c>
      <c r="G1964" t="s">
        <v>25</v>
      </c>
      <c r="H1964" s="1">
        <v>45529</v>
      </c>
      <c r="I1964" s="1">
        <v>45548</v>
      </c>
      <c r="J1964" t="str">
        <f t="shared" si="30"/>
        <v>Aug-2024</v>
      </c>
    </row>
    <row r="1965" spans="1:10">
      <c r="A1965">
        <v>1964</v>
      </c>
      <c r="B1965">
        <v>14880</v>
      </c>
      <c r="C1965" t="s">
        <v>23</v>
      </c>
      <c r="D1965">
        <v>12822.73</v>
      </c>
      <c r="E1965" t="s">
        <v>16</v>
      </c>
      <c r="F1965">
        <v>13</v>
      </c>
      <c r="G1965" t="s">
        <v>25</v>
      </c>
      <c r="H1965" s="1">
        <v>45521</v>
      </c>
      <c r="I1965" s="1">
        <v>45534</v>
      </c>
      <c r="J1965" t="str">
        <f t="shared" si="30"/>
        <v>Aug-2024</v>
      </c>
    </row>
    <row r="1966" spans="1:10">
      <c r="A1966">
        <v>1965</v>
      </c>
      <c r="B1966">
        <v>10410</v>
      </c>
      <c r="C1966" t="s">
        <v>18</v>
      </c>
      <c r="D1966">
        <v>197160.29</v>
      </c>
      <c r="E1966" t="s">
        <v>19</v>
      </c>
      <c r="F1966">
        <v>32</v>
      </c>
      <c r="G1966" t="s">
        <v>21</v>
      </c>
      <c r="H1966" s="1">
        <v>45456</v>
      </c>
      <c r="I1966" s="1">
        <v>45488</v>
      </c>
      <c r="J1966" t="str">
        <f t="shared" si="30"/>
        <v>Jun-2024</v>
      </c>
    </row>
    <row r="1967" spans="1:10">
      <c r="A1967">
        <v>1966</v>
      </c>
      <c r="B1967">
        <v>10598</v>
      </c>
      <c r="C1967" t="s">
        <v>23</v>
      </c>
      <c r="D1967">
        <v>71387.89</v>
      </c>
      <c r="E1967" t="s">
        <v>24</v>
      </c>
      <c r="G1967" t="s">
        <v>21</v>
      </c>
      <c r="H1967" s="1">
        <v>45534</v>
      </c>
      <c r="J1967" t="str">
        <f t="shared" si="30"/>
        <v>Aug-2024</v>
      </c>
    </row>
    <row r="1968" spans="1:10">
      <c r="A1968">
        <v>1967</v>
      </c>
      <c r="B1968">
        <v>10823</v>
      </c>
      <c r="C1968" t="s">
        <v>23</v>
      </c>
      <c r="D1968">
        <v>65834.45</v>
      </c>
      <c r="E1968" t="s">
        <v>24</v>
      </c>
      <c r="G1968" t="s">
        <v>21</v>
      </c>
      <c r="H1968" s="1">
        <v>45381</v>
      </c>
      <c r="J1968" t="str">
        <f t="shared" si="30"/>
        <v>Mar-2024</v>
      </c>
    </row>
    <row r="1969" spans="1:10">
      <c r="A1969">
        <v>1968</v>
      </c>
      <c r="B1969">
        <v>17876</v>
      </c>
      <c r="C1969" t="s">
        <v>23</v>
      </c>
      <c r="D1969">
        <v>181661.27</v>
      </c>
      <c r="E1969" t="s">
        <v>24</v>
      </c>
      <c r="G1969" t="s">
        <v>20</v>
      </c>
      <c r="H1969" s="1">
        <v>45470</v>
      </c>
      <c r="J1969" t="str">
        <f t="shared" si="30"/>
        <v>Jun-2024</v>
      </c>
    </row>
    <row r="1970" spans="1:10">
      <c r="A1970">
        <v>1969</v>
      </c>
      <c r="B1970">
        <v>15217</v>
      </c>
      <c r="C1970" t="s">
        <v>22</v>
      </c>
      <c r="D1970">
        <v>119094.48</v>
      </c>
      <c r="E1970" t="s">
        <v>16</v>
      </c>
      <c r="F1970">
        <v>30</v>
      </c>
      <c r="G1970" t="s">
        <v>21</v>
      </c>
      <c r="H1970" s="1">
        <v>45349</v>
      </c>
      <c r="I1970" s="1">
        <v>45379</v>
      </c>
      <c r="J1970" t="str">
        <f t="shared" si="30"/>
        <v>Feb-2024</v>
      </c>
    </row>
    <row r="1971" spans="1:10">
      <c r="A1971">
        <v>1970</v>
      </c>
      <c r="B1971">
        <v>17086</v>
      </c>
      <c r="C1971" t="s">
        <v>15</v>
      </c>
      <c r="D1971">
        <v>46899.88</v>
      </c>
      <c r="E1971" t="s">
        <v>16</v>
      </c>
      <c r="F1971">
        <v>44</v>
      </c>
      <c r="G1971" t="s">
        <v>21</v>
      </c>
      <c r="H1971" s="1">
        <v>45554</v>
      </c>
      <c r="I1971" s="1">
        <v>45598</v>
      </c>
      <c r="J1971" t="str">
        <f t="shared" si="30"/>
        <v>Sep-2024</v>
      </c>
    </row>
    <row r="1972" spans="1:10">
      <c r="A1972">
        <v>1971</v>
      </c>
      <c r="B1972">
        <v>10312</v>
      </c>
      <c r="C1972" t="s">
        <v>22</v>
      </c>
      <c r="D1972">
        <v>178373.77</v>
      </c>
      <c r="E1972" t="s">
        <v>16</v>
      </c>
      <c r="F1972">
        <v>37</v>
      </c>
      <c r="G1972" t="s">
        <v>21</v>
      </c>
      <c r="H1972" s="1">
        <v>45427</v>
      </c>
      <c r="I1972" s="1">
        <v>45464</v>
      </c>
      <c r="J1972" t="str">
        <f t="shared" si="30"/>
        <v>May-2024</v>
      </c>
    </row>
    <row r="1973" spans="1:10">
      <c r="A1973">
        <v>1972</v>
      </c>
      <c r="B1973">
        <v>16671</v>
      </c>
      <c r="C1973" t="s">
        <v>22</v>
      </c>
      <c r="D1973">
        <v>198705.37</v>
      </c>
      <c r="E1973" t="s">
        <v>16</v>
      </c>
      <c r="F1973">
        <v>15</v>
      </c>
      <c r="G1973" t="s">
        <v>21</v>
      </c>
      <c r="H1973" s="1">
        <v>45529</v>
      </c>
      <c r="I1973" s="1">
        <v>45544</v>
      </c>
      <c r="J1973" t="str">
        <f t="shared" si="30"/>
        <v>Aug-2024</v>
      </c>
    </row>
    <row r="1974" spans="1:10">
      <c r="A1974">
        <v>1973</v>
      </c>
      <c r="B1974">
        <v>16700</v>
      </c>
      <c r="C1974" t="s">
        <v>23</v>
      </c>
      <c r="D1974">
        <v>21902.32</v>
      </c>
      <c r="E1974" t="s">
        <v>19</v>
      </c>
      <c r="F1974">
        <v>19</v>
      </c>
      <c r="G1974" t="s">
        <v>17</v>
      </c>
      <c r="H1974" s="1">
        <v>45598</v>
      </c>
      <c r="I1974" s="1">
        <v>45617</v>
      </c>
      <c r="J1974" t="str">
        <f t="shared" si="30"/>
        <v>Nov-2024</v>
      </c>
    </row>
    <row r="1975" spans="1:10">
      <c r="A1975">
        <v>1974</v>
      </c>
      <c r="B1975">
        <v>12492</v>
      </c>
      <c r="C1975" t="s">
        <v>23</v>
      </c>
      <c r="D1975">
        <v>173139.07</v>
      </c>
      <c r="E1975" t="s">
        <v>16</v>
      </c>
      <c r="F1975">
        <v>8</v>
      </c>
      <c r="G1975" t="s">
        <v>20</v>
      </c>
      <c r="H1975" s="1">
        <v>45534</v>
      </c>
      <c r="I1975" s="1">
        <v>45542</v>
      </c>
      <c r="J1975" t="str">
        <f t="shared" si="30"/>
        <v>Aug-2024</v>
      </c>
    </row>
    <row r="1976" spans="1:10">
      <c r="A1976">
        <v>1975</v>
      </c>
      <c r="B1976">
        <v>10230</v>
      </c>
      <c r="C1976" t="s">
        <v>18</v>
      </c>
      <c r="D1976">
        <v>81150.559999999998</v>
      </c>
      <c r="E1976" t="s">
        <v>24</v>
      </c>
      <c r="G1976" t="s">
        <v>25</v>
      </c>
      <c r="H1976" s="1">
        <v>45442</v>
      </c>
      <c r="J1976" t="str">
        <f t="shared" si="30"/>
        <v>May-2024</v>
      </c>
    </row>
    <row r="1977" spans="1:10">
      <c r="A1977">
        <v>1976</v>
      </c>
      <c r="B1977">
        <v>13740</v>
      </c>
      <c r="C1977" t="s">
        <v>23</v>
      </c>
      <c r="D1977">
        <v>107194.13</v>
      </c>
      <c r="E1977" t="s">
        <v>19</v>
      </c>
      <c r="F1977">
        <v>34</v>
      </c>
      <c r="G1977" t="s">
        <v>21</v>
      </c>
      <c r="H1977" s="1">
        <v>45637</v>
      </c>
      <c r="I1977" s="1">
        <v>45671</v>
      </c>
      <c r="J1977" t="str">
        <f t="shared" si="30"/>
        <v>Dec-2024</v>
      </c>
    </row>
    <row r="1978" spans="1:10">
      <c r="A1978">
        <v>1977</v>
      </c>
      <c r="B1978">
        <v>10043</v>
      </c>
      <c r="C1978" t="s">
        <v>23</v>
      </c>
      <c r="D1978">
        <v>183389.12</v>
      </c>
      <c r="E1978" t="s">
        <v>24</v>
      </c>
      <c r="G1978" t="s">
        <v>17</v>
      </c>
      <c r="H1978" s="1">
        <v>45655</v>
      </c>
      <c r="J1978" t="str">
        <f t="shared" si="30"/>
        <v>Dec-2024</v>
      </c>
    </row>
    <row r="1979" spans="1:10">
      <c r="A1979">
        <v>1978</v>
      </c>
      <c r="B1979">
        <v>17532</v>
      </c>
      <c r="C1979" t="s">
        <v>23</v>
      </c>
      <c r="D1979">
        <v>194808.94</v>
      </c>
      <c r="E1979" t="s">
        <v>19</v>
      </c>
      <c r="F1979">
        <v>38</v>
      </c>
      <c r="G1979" t="s">
        <v>17</v>
      </c>
      <c r="H1979" s="1">
        <v>45538</v>
      </c>
      <c r="I1979" s="1">
        <v>45576</v>
      </c>
      <c r="J1979" t="str">
        <f t="shared" si="30"/>
        <v>Sep-2024</v>
      </c>
    </row>
    <row r="1980" spans="1:10">
      <c r="A1980">
        <v>1979</v>
      </c>
      <c r="B1980">
        <v>18092</v>
      </c>
      <c r="C1980" t="s">
        <v>18</v>
      </c>
      <c r="D1980">
        <v>56121.96</v>
      </c>
      <c r="E1980" t="s">
        <v>16</v>
      </c>
      <c r="F1980">
        <v>26</v>
      </c>
      <c r="G1980" t="s">
        <v>17</v>
      </c>
      <c r="H1980" s="1">
        <v>45510</v>
      </c>
      <c r="I1980" s="1">
        <v>45536</v>
      </c>
      <c r="J1980" t="str">
        <f t="shared" si="30"/>
        <v>Aug-2024</v>
      </c>
    </row>
    <row r="1981" spans="1:10">
      <c r="A1981">
        <v>1980</v>
      </c>
      <c r="B1981">
        <v>17278</v>
      </c>
      <c r="C1981" t="s">
        <v>18</v>
      </c>
      <c r="D1981">
        <v>46505.9</v>
      </c>
      <c r="E1981" t="s">
        <v>16</v>
      </c>
      <c r="F1981">
        <v>10</v>
      </c>
      <c r="G1981" t="s">
        <v>25</v>
      </c>
      <c r="H1981" s="1">
        <v>45300</v>
      </c>
      <c r="I1981" s="1">
        <v>45310</v>
      </c>
      <c r="J1981" t="str">
        <f t="shared" si="30"/>
        <v>Jan-2024</v>
      </c>
    </row>
    <row r="1982" spans="1:10">
      <c r="A1982">
        <v>1981</v>
      </c>
      <c r="B1982">
        <v>13457</v>
      </c>
      <c r="C1982" t="s">
        <v>23</v>
      </c>
      <c r="D1982">
        <v>20700.73</v>
      </c>
      <c r="E1982" t="s">
        <v>16</v>
      </c>
      <c r="F1982">
        <v>29</v>
      </c>
      <c r="G1982" t="s">
        <v>21</v>
      </c>
      <c r="H1982" s="1">
        <v>45585</v>
      </c>
      <c r="I1982" s="1">
        <v>45614</v>
      </c>
      <c r="J1982" t="str">
        <f t="shared" si="30"/>
        <v>Oct-2024</v>
      </c>
    </row>
    <row r="1983" spans="1:10">
      <c r="A1983">
        <v>1982</v>
      </c>
      <c r="B1983">
        <v>15384</v>
      </c>
      <c r="C1983" t="s">
        <v>23</v>
      </c>
      <c r="D1983">
        <v>114550.58</v>
      </c>
      <c r="E1983" t="s">
        <v>16</v>
      </c>
      <c r="F1983">
        <v>10</v>
      </c>
      <c r="G1983" t="s">
        <v>20</v>
      </c>
      <c r="H1983" s="1">
        <v>45304</v>
      </c>
      <c r="I1983" s="1">
        <v>45314</v>
      </c>
      <c r="J1983" t="str">
        <f t="shared" si="30"/>
        <v>Jan-2024</v>
      </c>
    </row>
    <row r="1984" spans="1:10">
      <c r="A1984">
        <v>1983</v>
      </c>
      <c r="B1984">
        <v>15615</v>
      </c>
      <c r="C1984" t="s">
        <v>18</v>
      </c>
      <c r="D1984">
        <v>7652.86</v>
      </c>
      <c r="E1984" t="s">
        <v>16</v>
      </c>
      <c r="F1984">
        <v>13</v>
      </c>
      <c r="G1984" t="s">
        <v>20</v>
      </c>
      <c r="H1984" s="1">
        <v>45554</v>
      </c>
      <c r="I1984" s="1">
        <v>45567</v>
      </c>
      <c r="J1984" t="str">
        <f t="shared" si="30"/>
        <v>Sep-2024</v>
      </c>
    </row>
    <row r="1985" spans="1:10">
      <c r="A1985">
        <v>1984</v>
      </c>
      <c r="B1985">
        <v>15506</v>
      </c>
      <c r="C1985" t="s">
        <v>18</v>
      </c>
      <c r="D1985">
        <v>85320.17</v>
      </c>
      <c r="E1985" t="s">
        <v>19</v>
      </c>
      <c r="F1985">
        <v>19</v>
      </c>
      <c r="G1985" t="s">
        <v>17</v>
      </c>
      <c r="H1985" s="1">
        <v>45516</v>
      </c>
      <c r="I1985" s="1">
        <v>45535</v>
      </c>
      <c r="J1985" t="str">
        <f t="shared" si="30"/>
        <v>Aug-2024</v>
      </c>
    </row>
    <row r="1986" spans="1:10">
      <c r="A1986">
        <v>1985</v>
      </c>
      <c r="B1986">
        <v>12995</v>
      </c>
      <c r="C1986" t="s">
        <v>23</v>
      </c>
      <c r="D1986">
        <v>19309.88</v>
      </c>
      <c r="E1986" t="s">
        <v>19</v>
      </c>
      <c r="F1986">
        <v>28</v>
      </c>
      <c r="G1986" t="s">
        <v>25</v>
      </c>
      <c r="H1986" s="1">
        <v>45522</v>
      </c>
      <c r="I1986" s="1">
        <v>45550</v>
      </c>
      <c r="J1986" t="str">
        <f t="shared" si="30"/>
        <v>Aug-2024</v>
      </c>
    </row>
    <row r="1987" spans="1:10">
      <c r="A1987">
        <v>1986</v>
      </c>
      <c r="B1987">
        <v>13638</v>
      </c>
      <c r="C1987" t="s">
        <v>18</v>
      </c>
      <c r="D1987">
        <v>84019.03</v>
      </c>
      <c r="E1987" t="s">
        <v>16</v>
      </c>
      <c r="F1987">
        <v>27</v>
      </c>
      <c r="G1987" t="s">
        <v>25</v>
      </c>
      <c r="H1987" s="1">
        <v>45469</v>
      </c>
      <c r="I1987" s="1">
        <v>45496</v>
      </c>
      <c r="J1987" t="str">
        <f t="shared" ref="J1987:J2050" si="31">TEXT(H1987,"mmm-yyyy")</f>
        <v>Jun-2024</v>
      </c>
    </row>
    <row r="1988" spans="1:10">
      <c r="A1988">
        <v>1987</v>
      </c>
      <c r="B1988">
        <v>17517</v>
      </c>
      <c r="C1988" t="s">
        <v>23</v>
      </c>
      <c r="D1988">
        <v>12786.78</v>
      </c>
      <c r="E1988" t="s">
        <v>16</v>
      </c>
      <c r="F1988">
        <v>27</v>
      </c>
      <c r="G1988" t="s">
        <v>25</v>
      </c>
      <c r="H1988" s="1">
        <v>45538</v>
      </c>
      <c r="I1988" s="1">
        <v>45565</v>
      </c>
      <c r="J1988" t="str">
        <f t="shared" si="31"/>
        <v>Sep-2024</v>
      </c>
    </row>
    <row r="1989" spans="1:10">
      <c r="A1989">
        <v>1988</v>
      </c>
      <c r="B1989">
        <v>13284</v>
      </c>
      <c r="C1989" t="s">
        <v>23</v>
      </c>
      <c r="D1989">
        <v>167867.37</v>
      </c>
      <c r="E1989" t="s">
        <v>16</v>
      </c>
      <c r="F1989">
        <v>11</v>
      </c>
      <c r="G1989" t="s">
        <v>20</v>
      </c>
      <c r="H1989" s="1">
        <v>45358</v>
      </c>
      <c r="I1989" s="1">
        <v>45369</v>
      </c>
      <c r="J1989" t="str">
        <f t="shared" si="31"/>
        <v>Mar-2024</v>
      </c>
    </row>
    <row r="1990" spans="1:10">
      <c r="A1990">
        <v>1989</v>
      </c>
      <c r="B1990">
        <v>18362</v>
      </c>
      <c r="C1990" t="s">
        <v>18</v>
      </c>
      <c r="D1990">
        <v>45899.1</v>
      </c>
      <c r="E1990" t="s">
        <v>16</v>
      </c>
      <c r="F1990">
        <v>18</v>
      </c>
      <c r="G1990" t="s">
        <v>17</v>
      </c>
      <c r="H1990" s="1">
        <v>45588</v>
      </c>
      <c r="I1990" s="1">
        <v>45606</v>
      </c>
      <c r="J1990" t="str">
        <f t="shared" si="31"/>
        <v>Oct-2024</v>
      </c>
    </row>
    <row r="1991" spans="1:10">
      <c r="A1991">
        <v>1990</v>
      </c>
      <c r="B1991">
        <v>14341</v>
      </c>
      <c r="C1991" t="s">
        <v>18</v>
      </c>
      <c r="D1991">
        <v>69020.2</v>
      </c>
      <c r="E1991" t="s">
        <v>16</v>
      </c>
      <c r="F1991">
        <v>33</v>
      </c>
      <c r="G1991" t="s">
        <v>21</v>
      </c>
      <c r="H1991" s="1">
        <v>45448</v>
      </c>
      <c r="I1991" s="1">
        <v>45481</v>
      </c>
      <c r="J1991" t="str">
        <f t="shared" si="31"/>
        <v>Jun-2024</v>
      </c>
    </row>
    <row r="1992" spans="1:10">
      <c r="A1992">
        <v>1991</v>
      </c>
      <c r="B1992">
        <v>19831</v>
      </c>
      <c r="C1992" t="s">
        <v>23</v>
      </c>
      <c r="D1992">
        <v>174659.36</v>
      </c>
      <c r="E1992" t="s">
        <v>16</v>
      </c>
      <c r="F1992">
        <v>25</v>
      </c>
      <c r="G1992" t="s">
        <v>20</v>
      </c>
      <c r="H1992" s="1">
        <v>45456</v>
      </c>
      <c r="I1992" s="1">
        <v>45481</v>
      </c>
      <c r="J1992" t="str">
        <f t="shared" si="31"/>
        <v>Jun-2024</v>
      </c>
    </row>
    <row r="1993" spans="1:10">
      <c r="A1993">
        <v>1992</v>
      </c>
      <c r="B1993">
        <v>10616</v>
      </c>
      <c r="C1993" t="s">
        <v>18</v>
      </c>
      <c r="D1993">
        <v>150521.88</v>
      </c>
      <c r="E1993" t="s">
        <v>16</v>
      </c>
      <c r="F1993">
        <v>44</v>
      </c>
      <c r="G1993" t="s">
        <v>17</v>
      </c>
      <c r="H1993" s="1">
        <v>45475</v>
      </c>
      <c r="I1993" s="1">
        <v>45519</v>
      </c>
      <c r="J1993" t="str">
        <f t="shared" si="31"/>
        <v>Jul-2024</v>
      </c>
    </row>
    <row r="1994" spans="1:10">
      <c r="A1994">
        <v>1993</v>
      </c>
      <c r="B1994">
        <v>10239</v>
      </c>
      <c r="C1994" t="s">
        <v>18</v>
      </c>
      <c r="D1994">
        <v>47712.480000000003</v>
      </c>
      <c r="E1994" t="s">
        <v>16</v>
      </c>
      <c r="F1994">
        <v>9</v>
      </c>
      <c r="G1994" t="s">
        <v>17</v>
      </c>
      <c r="H1994" s="1">
        <v>45499</v>
      </c>
      <c r="I1994" s="1">
        <v>45508</v>
      </c>
      <c r="J1994" t="str">
        <f t="shared" si="31"/>
        <v>Jul-2024</v>
      </c>
    </row>
    <row r="1995" spans="1:10">
      <c r="A1995">
        <v>1994</v>
      </c>
      <c r="B1995">
        <v>16052</v>
      </c>
      <c r="C1995" t="s">
        <v>18</v>
      </c>
      <c r="D1995">
        <v>19020.39</v>
      </c>
      <c r="E1995" t="s">
        <v>16</v>
      </c>
      <c r="F1995">
        <v>31</v>
      </c>
      <c r="G1995" t="s">
        <v>21</v>
      </c>
      <c r="H1995" s="1">
        <v>45307</v>
      </c>
      <c r="I1995" s="1">
        <v>45338</v>
      </c>
      <c r="J1995" t="str">
        <f t="shared" si="31"/>
        <v>Jan-2024</v>
      </c>
    </row>
    <row r="1996" spans="1:10">
      <c r="A1996">
        <v>1995</v>
      </c>
      <c r="B1996">
        <v>16454</v>
      </c>
      <c r="C1996" t="s">
        <v>18</v>
      </c>
      <c r="D1996">
        <v>144556.39000000001</v>
      </c>
      <c r="E1996" t="s">
        <v>16</v>
      </c>
      <c r="F1996">
        <v>27</v>
      </c>
      <c r="G1996" t="s">
        <v>21</v>
      </c>
      <c r="H1996" s="1">
        <v>45591</v>
      </c>
      <c r="I1996" s="1">
        <v>45618</v>
      </c>
      <c r="J1996" t="str">
        <f t="shared" si="31"/>
        <v>Oct-2024</v>
      </c>
    </row>
    <row r="1997" spans="1:10">
      <c r="A1997">
        <v>1996</v>
      </c>
      <c r="B1997">
        <v>19114</v>
      </c>
      <c r="C1997" t="s">
        <v>18</v>
      </c>
      <c r="D1997">
        <v>81187</v>
      </c>
      <c r="E1997" t="s">
        <v>16</v>
      </c>
      <c r="F1997">
        <v>25</v>
      </c>
      <c r="G1997" t="s">
        <v>21</v>
      </c>
      <c r="H1997" s="1">
        <v>45597</v>
      </c>
      <c r="I1997" s="1">
        <v>45622</v>
      </c>
      <c r="J1997" t="str">
        <f t="shared" si="31"/>
        <v>Nov-2024</v>
      </c>
    </row>
    <row r="1998" spans="1:10">
      <c r="A1998">
        <v>1997</v>
      </c>
      <c r="B1998">
        <v>14887</v>
      </c>
      <c r="C1998" t="s">
        <v>23</v>
      </c>
      <c r="D1998">
        <v>154385.60000000001</v>
      </c>
      <c r="E1998" t="s">
        <v>16</v>
      </c>
      <c r="F1998">
        <v>28</v>
      </c>
      <c r="G1998" t="s">
        <v>25</v>
      </c>
      <c r="H1998" s="1">
        <v>45532</v>
      </c>
      <c r="I1998" s="1">
        <v>45560</v>
      </c>
      <c r="J1998" t="str">
        <f t="shared" si="31"/>
        <v>Aug-2024</v>
      </c>
    </row>
    <row r="1999" spans="1:10">
      <c r="A1999">
        <v>1998</v>
      </c>
      <c r="B1999">
        <v>11904</v>
      </c>
      <c r="C1999" t="s">
        <v>23</v>
      </c>
      <c r="D1999">
        <v>91832.48</v>
      </c>
      <c r="E1999" t="s">
        <v>16</v>
      </c>
      <c r="F1999">
        <v>16</v>
      </c>
      <c r="G1999" t="s">
        <v>21</v>
      </c>
      <c r="H1999" s="1">
        <v>45521</v>
      </c>
      <c r="I1999" s="1">
        <v>45537</v>
      </c>
      <c r="J1999" t="str">
        <f t="shared" si="31"/>
        <v>Aug-2024</v>
      </c>
    </row>
    <row r="2000" spans="1:10">
      <c r="A2000">
        <v>1999</v>
      </c>
      <c r="B2000">
        <v>16165</v>
      </c>
      <c r="C2000" t="s">
        <v>23</v>
      </c>
      <c r="D2000">
        <v>72470.47</v>
      </c>
      <c r="E2000" t="s">
        <v>24</v>
      </c>
      <c r="G2000" t="s">
        <v>17</v>
      </c>
      <c r="H2000" s="1">
        <v>45309</v>
      </c>
      <c r="J2000" t="str">
        <f t="shared" si="31"/>
        <v>Jan-2024</v>
      </c>
    </row>
    <row r="2001" spans="1:10">
      <c r="A2001">
        <v>2000</v>
      </c>
      <c r="B2001">
        <v>10812</v>
      </c>
      <c r="C2001" t="s">
        <v>23</v>
      </c>
      <c r="D2001">
        <v>92985.05</v>
      </c>
      <c r="E2001" t="s">
        <v>16</v>
      </c>
      <c r="F2001">
        <v>12</v>
      </c>
      <c r="G2001" t="s">
        <v>21</v>
      </c>
      <c r="H2001" s="1">
        <v>45438</v>
      </c>
      <c r="I2001" s="1">
        <v>45450</v>
      </c>
      <c r="J2001" t="str">
        <f t="shared" si="31"/>
        <v>May-2024</v>
      </c>
    </row>
    <row r="2002" spans="1:10">
      <c r="A2002">
        <v>2001</v>
      </c>
      <c r="B2002">
        <v>14999</v>
      </c>
      <c r="C2002" t="s">
        <v>18</v>
      </c>
      <c r="D2002">
        <v>150969</v>
      </c>
      <c r="E2002" t="s">
        <v>16</v>
      </c>
      <c r="F2002">
        <v>40</v>
      </c>
      <c r="G2002" t="s">
        <v>17</v>
      </c>
      <c r="H2002" s="1">
        <v>45535</v>
      </c>
      <c r="I2002" s="1">
        <v>45575</v>
      </c>
      <c r="J2002" t="str">
        <f t="shared" si="31"/>
        <v>Aug-2024</v>
      </c>
    </row>
    <row r="2003" spans="1:10">
      <c r="A2003">
        <v>2002</v>
      </c>
      <c r="B2003">
        <v>17642</v>
      </c>
      <c r="C2003" t="s">
        <v>18</v>
      </c>
      <c r="D2003">
        <v>180932.96</v>
      </c>
      <c r="E2003" t="s">
        <v>19</v>
      </c>
      <c r="F2003">
        <v>3</v>
      </c>
      <c r="G2003" t="s">
        <v>20</v>
      </c>
      <c r="H2003" s="1">
        <v>45342</v>
      </c>
      <c r="I2003" s="1">
        <v>45345</v>
      </c>
      <c r="J2003" t="str">
        <f t="shared" si="31"/>
        <v>Feb-2024</v>
      </c>
    </row>
    <row r="2004" spans="1:10">
      <c r="A2004">
        <v>2003</v>
      </c>
      <c r="B2004">
        <v>11730</v>
      </c>
      <c r="C2004" t="s">
        <v>23</v>
      </c>
      <c r="D2004">
        <v>14704.6</v>
      </c>
      <c r="E2004" t="s">
        <v>16</v>
      </c>
      <c r="F2004">
        <v>10</v>
      </c>
      <c r="G2004" t="s">
        <v>25</v>
      </c>
      <c r="H2004" s="1">
        <v>45550</v>
      </c>
      <c r="I2004" s="1">
        <v>45560</v>
      </c>
      <c r="J2004" t="str">
        <f t="shared" si="31"/>
        <v>Sep-2024</v>
      </c>
    </row>
    <row r="2005" spans="1:10">
      <c r="A2005">
        <v>2004</v>
      </c>
      <c r="B2005">
        <v>19023</v>
      </c>
      <c r="C2005" t="s">
        <v>23</v>
      </c>
      <c r="D2005">
        <v>107201.75</v>
      </c>
      <c r="E2005" t="s">
        <v>24</v>
      </c>
      <c r="G2005" t="s">
        <v>20</v>
      </c>
      <c r="H2005" s="1">
        <v>45529</v>
      </c>
      <c r="J2005" t="str">
        <f t="shared" si="31"/>
        <v>Aug-2024</v>
      </c>
    </row>
    <row r="2006" spans="1:10">
      <c r="A2006">
        <v>2005</v>
      </c>
      <c r="B2006">
        <v>13424</v>
      </c>
      <c r="C2006" t="s">
        <v>23</v>
      </c>
      <c r="D2006">
        <v>11402.91</v>
      </c>
      <c r="E2006" t="s">
        <v>16</v>
      </c>
      <c r="F2006">
        <v>34</v>
      </c>
      <c r="G2006" t="s">
        <v>20</v>
      </c>
      <c r="H2006" s="1">
        <v>45537</v>
      </c>
      <c r="I2006" s="1">
        <v>45571</v>
      </c>
      <c r="J2006" t="str">
        <f t="shared" si="31"/>
        <v>Sep-2024</v>
      </c>
    </row>
    <row r="2007" spans="1:10">
      <c r="A2007">
        <v>2006</v>
      </c>
      <c r="B2007">
        <v>16062</v>
      </c>
      <c r="C2007" t="s">
        <v>23</v>
      </c>
      <c r="D2007">
        <v>96339.86</v>
      </c>
      <c r="E2007" t="s">
        <v>16</v>
      </c>
      <c r="F2007">
        <v>20</v>
      </c>
      <c r="G2007" t="s">
        <v>17</v>
      </c>
      <c r="H2007" s="1">
        <v>45636</v>
      </c>
      <c r="I2007" s="1">
        <v>45656</v>
      </c>
      <c r="J2007" t="str">
        <f t="shared" si="31"/>
        <v>Dec-2024</v>
      </c>
    </row>
    <row r="2008" spans="1:10">
      <c r="A2008">
        <v>2007</v>
      </c>
      <c r="B2008">
        <v>12207</v>
      </c>
      <c r="C2008" t="s">
        <v>18</v>
      </c>
      <c r="D2008">
        <v>177630.15</v>
      </c>
      <c r="E2008" t="s">
        <v>16</v>
      </c>
      <c r="F2008">
        <v>14</v>
      </c>
      <c r="G2008" t="s">
        <v>20</v>
      </c>
      <c r="H2008" s="1">
        <v>45601</v>
      </c>
      <c r="I2008" s="1">
        <v>45615</v>
      </c>
      <c r="J2008" t="str">
        <f t="shared" si="31"/>
        <v>Nov-2024</v>
      </c>
    </row>
    <row r="2009" spans="1:10">
      <c r="A2009">
        <v>2008</v>
      </c>
      <c r="B2009">
        <v>13368</v>
      </c>
      <c r="C2009" t="s">
        <v>23</v>
      </c>
      <c r="D2009">
        <v>75510.100000000006</v>
      </c>
      <c r="E2009" t="s">
        <v>16</v>
      </c>
      <c r="F2009">
        <v>15</v>
      </c>
      <c r="G2009" t="s">
        <v>17</v>
      </c>
      <c r="H2009" s="1">
        <v>45340</v>
      </c>
      <c r="I2009" s="1">
        <v>45355</v>
      </c>
      <c r="J2009" t="str">
        <f t="shared" si="31"/>
        <v>Feb-2024</v>
      </c>
    </row>
    <row r="2010" spans="1:10">
      <c r="A2010">
        <v>2009</v>
      </c>
      <c r="B2010">
        <v>15471</v>
      </c>
      <c r="C2010" t="s">
        <v>18</v>
      </c>
      <c r="D2010">
        <v>186827.83</v>
      </c>
      <c r="E2010" t="s">
        <v>16</v>
      </c>
      <c r="F2010">
        <v>33</v>
      </c>
      <c r="G2010" t="s">
        <v>21</v>
      </c>
      <c r="H2010" s="1">
        <v>45575</v>
      </c>
      <c r="I2010" s="1">
        <v>45608</v>
      </c>
      <c r="J2010" t="str">
        <f t="shared" si="31"/>
        <v>Oct-2024</v>
      </c>
    </row>
    <row r="2011" spans="1:10">
      <c r="A2011">
        <v>2010</v>
      </c>
      <c r="B2011">
        <v>12227</v>
      </c>
      <c r="C2011" t="s">
        <v>22</v>
      </c>
      <c r="D2011">
        <v>127968.65</v>
      </c>
      <c r="E2011" t="s">
        <v>16</v>
      </c>
      <c r="F2011">
        <v>23</v>
      </c>
      <c r="G2011" t="s">
        <v>21</v>
      </c>
      <c r="H2011" s="1">
        <v>45329</v>
      </c>
      <c r="I2011" s="1">
        <v>45352</v>
      </c>
      <c r="J2011" t="str">
        <f t="shared" si="31"/>
        <v>Feb-2024</v>
      </c>
    </row>
    <row r="2012" spans="1:10">
      <c r="A2012">
        <v>2011</v>
      </c>
      <c r="B2012">
        <v>17639</v>
      </c>
      <c r="C2012" t="s">
        <v>23</v>
      </c>
      <c r="D2012">
        <v>187160.29</v>
      </c>
      <c r="E2012" t="s">
        <v>16</v>
      </c>
      <c r="F2012">
        <v>21</v>
      </c>
      <c r="G2012" t="s">
        <v>17</v>
      </c>
      <c r="H2012" s="1">
        <v>45575</v>
      </c>
      <c r="I2012" s="1">
        <v>45596</v>
      </c>
      <c r="J2012" t="str">
        <f t="shared" si="31"/>
        <v>Oct-2024</v>
      </c>
    </row>
    <row r="2013" spans="1:10">
      <c r="A2013">
        <v>2012</v>
      </c>
      <c r="B2013">
        <v>14380</v>
      </c>
      <c r="C2013" t="s">
        <v>23</v>
      </c>
      <c r="D2013">
        <v>152647.49</v>
      </c>
      <c r="E2013" t="s">
        <v>16</v>
      </c>
      <c r="F2013">
        <v>34</v>
      </c>
      <c r="G2013" t="s">
        <v>21</v>
      </c>
      <c r="H2013" s="1">
        <v>45323</v>
      </c>
      <c r="I2013" s="1">
        <v>45357</v>
      </c>
      <c r="J2013" t="str">
        <f t="shared" si="31"/>
        <v>Feb-2024</v>
      </c>
    </row>
    <row r="2014" spans="1:10">
      <c r="A2014">
        <v>2013</v>
      </c>
      <c r="B2014">
        <v>11820</v>
      </c>
      <c r="C2014" t="s">
        <v>23</v>
      </c>
      <c r="D2014">
        <v>25169.86</v>
      </c>
      <c r="E2014" t="s">
        <v>16</v>
      </c>
      <c r="F2014">
        <v>6</v>
      </c>
      <c r="G2014" t="s">
        <v>25</v>
      </c>
      <c r="H2014" s="1">
        <v>45534</v>
      </c>
      <c r="I2014" s="1">
        <v>45540</v>
      </c>
      <c r="J2014" t="str">
        <f t="shared" si="31"/>
        <v>Aug-2024</v>
      </c>
    </row>
    <row r="2015" spans="1:10">
      <c r="A2015">
        <v>2014</v>
      </c>
      <c r="B2015">
        <v>18840</v>
      </c>
      <c r="C2015" t="s">
        <v>18</v>
      </c>
      <c r="D2015">
        <v>50074.52</v>
      </c>
      <c r="E2015" t="s">
        <v>16</v>
      </c>
      <c r="F2015">
        <v>21</v>
      </c>
      <c r="G2015" t="s">
        <v>20</v>
      </c>
      <c r="H2015" s="1">
        <v>45332</v>
      </c>
      <c r="I2015" s="1">
        <v>45353</v>
      </c>
      <c r="J2015" t="str">
        <f t="shared" si="31"/>
        <v>Feb-2024</v>
      </c>
    </row>
    <row r="2016" spans="1:10">
      <c r="A2016">
        <v>2015</v>
      </c>
      <c r="B2016">
        <v>10188</v>
      </c>
      <c r="C2016" t="s">
        <v>18</v>
      </c>
      <c r="D2016">
        <v>81863.240000000005</v>
      </c>
      <c r="E2016" t="s">
        <v>16</v>
      </c>
      <c r="F2016">
        <v>15</v>
      </c>
      <c r="G2016" t="s">
        <v>25</v>
      </c>
      <c r="H2016" s="1">
        <v>45583</v>
      </c>
      <c r="I2016" s="1">
        <v>45598</v>
      </c>
      <c r="J2016" t="str">
        <f t="shared" si="31"/>
        <v>Oct-2024</v>
      </c>
    </row>
    <row r="2017" spans="1:10">
      <c r="A2017">
        <v>2016</v>
      </c>
      <c r="B2017">
        <v>19414</v>
      </c>
      <c r="C2017" t="s">
        <v>23</v>
      </c>
      <c r="D2017">
        <v>38170.839999999997</v>
      </c>
      <c r="E2017" t="s">
        <v>16</v>
      </c>
      <c r="F2017">
        <v>28</v>
      </c>
      <c r="G2017" t="s">
        <v>20</v>
      </c>
      <c r="H2017" s="1">
        <v>45394</v>
      </c>
      <c r="I2017" s="1">
        <v>45422</v>
      </c>
      <c r="J2017" t="str">
        <f t="shared" si="31"/>
        <v>Apr-2024</v>
      </c>
    </row>
    <row r="2018" spans="1:10">
      <c r="A2018">
        <v>2017</v>
      </c>
      <c r="B2018">
        <v>15221</v>
      </c>
      <c r="C2018" t="s">
        <v>18</v>
      </c>
      <c r="D2018">
        <v>101507.76</v>
      </c>
      <c r="E2018" t="s">
        <v>16</v>
      </c>
      <c r="F2018">
        <v>27</v>
      </c>
      <c r="G2018" t="s">
        <v>21</v>
      </c>
      <c r="H2018" s="1">
        <v>45583</v>
      </c>
      <c r="I2018" s="1">
        <v>45610</v>
      </c>
      <c r="J2018" t="str">
        <f t="shared" si="31"/>
        <v>Oct-2024</v>
      </c>
    </row>
    <row r="2019" spans="1:10">
      <c r="A2019">
        <v>2018</v>
      </c>
      <c r="B2019">
        <v>18670</v>
      </c>
      <c r="C2019" t="s">
        <v>15</v>
      </c>
      <c r="D2019">
        <v>96916.79</v>
      </c>
      <c r="E2019" t="s">
        <v>19</v>
      </c>
      <c r="F2019">
        <v>33</v>
      </c>
      <c r="G2019" t="s">
        <v>25</v>
      </c>
      <c r="H2019" s="1">
        <v>45398</v>
      </c>
      <c r="I2019" s="1">
        <v>45431</v>
      </c>
      <c r="J2019" t="str">
        <f t="shared" si="31"/>
        <v>Apr-2024</v>
      </c>
    </row>
    <row r="2020" spans="1:10">
      <c r="A2020">
        <v>2019</v>
      </c>
      <c r="B2020">
        <v>16746</v>
      </c>
      <c r="C2020" t="s">
        <v>23</v>
      </c>
      <c r="D2020">
        <v>191470.54</v>
      </c>
      <c r="E2020" t="s">
        <v>16</v>
      </c>
      <c r="F2020">
        <v>31</v>
      </c>
      <c r="G2020" t="s">
        <v>21</v>
      </c>
      <c r="H2020" s="1">
        <v>45537</v>
      </c>
      <c r="I2020" s="1">
        <v>45568</v>
      </c>
      <c r="J2020" t="str">
        <f t="shared" si="31"/>
        <v>Sep-2024</v>
      </c>
    </row>
    <row r="2021" spans="1:10">
      <c r="A2021">
        <v>2020</v>
      </c>
      <c r="B2021">
        <v>14612</v>
      </c>
      <c r="C2021" t="s">
        <v>23</v>
      </c>
      <c r="D2021">
        <v>89576.94</v>
      </c>
      <c r="E2021" t="s">
        <v>16</v>
      </c>
      <c r="F2021">
        <v>28</v>
      </c>
      <c r="G2021" t="s">
        <v>20</v>
      </c>
      <c r="H2021" s="1">
        <v>45378</v>
      </c>
      <c r="I2021" s="1">
        <v>45406</v>
      </c>
      <c r="J2021" t="str">
        <f t="shared" si="31"/>
        <v>Mar-2024</v>
      </c>
    </row>
    <row r="2022" spans="1:10">
      <c r="A2022">
        <v>2021</v>
      </c>
      <c r="B2022">
        <v>11888</v>
      </c>
      <c r="C2022" t="s">
        <v>15</v>
      </c>
      <c r="D2022">
        <v>158197.23000000001</v>
      </c>
      <c r="E2022" t="s">
        <v>16</v>
      </c>
      <c r="F2022">
        <v>27</v>
      </c>
      <c r="G2022" t="s">
        <v>17</v>
      </c>
      <c r="H2022" s="1">
        <v>45357</v>
      </c>
      <c r="I2022" s="1">
        <v>45384</v>
      </c>
      <c r="J2022" t="str">
        <f t="shared" si="31"/>
        <v>Mar-2024</v>
      </c>
    </row>
    <row r="2023" spans="1:10">
      <c r="A2023">
        <v>2022</v>
      </c>
      <c r="B2023">
        <v>11550</v>
      </c>
      <c r="C2023" t="s">
        <v>18</v>
      </c>
      <c r="D2023">
        <v>188672.56</v>
      </c>
      <c r="E2023" t="s">
        <v>16</v>
      </c>
      <c r="F2023">
        <v>19</v>
      </c>
      <c r="G2023" t="s">
        <v>17</v>
      </c>
      <c r="H2023" s="1">
        <v>45429</v>
      </c>
      <c r="I2023" s="1">
        <v>45448</v>
      </c>
      <c r="J2023" t="str">
        <f t="shared" si="31"/>
        <v>May-2024</v>
      </c>
    </row>
    <row r="2024" spans="1:10">
      <c r="A2024">
        <v>2023</v>
      </c>
      <c r="B2024">
        <v>17059</v>
      </c>
      <c r="C2024" t="s">
        <v>15</v>
      </c>
      <c r="D2024">
        <v>176012.82</v>
      </c>
      <c r="E2024" t="s">
        <v>24</v>
      </c>
      <c r="G2024" t="s">
        <v>25</v>
      </c>
      <c r="H2024" s="1">
        <v>45617</v>
      </c>
      <c r="J2024" t="str">
        <f t="shared" si="31"/>
        <v>Nov-2024</v>
      </c>
    </row>
    <row r="2025" spans="1:10">
      <c r="A2025">
        <v>2024</v>
      </c>
      <c r="B2025">
        <v>15233</v>
      </c>
      <c r="C2025" t="s">
        <v>18</v>
      </c>
      <c r="D2025">
        <v>45690.19</v>
      </c>
      <c r="E2025" t="s">
        <v>16</v>
      </c>
      <c r="F2025">
        <v>25</v>
      </c>
      <c r="G2025" t="s">
        <v>21</v>
      </c>
      <c r="H2025" s="1">
        <v>45491</v>
      </c>
      <c r="I2025" s="1">
        <v>45516</v>
      </c>
      <c r="J2025" t="str">
        <f t="shared" si="31"/>
        <v>Jul-2024</v>
      </c>
    </row>
    <row r="2026" spans="1:10">
      <c r="A2026">
        <v>2025</v>
      </c>
      <c r="B2026">
        <v>15635</v>
      </c>
      <c r="C2026" t="s">
        <v>15</v>
      </c>
      <c r="D2026">
        <v>101725.83</v>
      </c>
      <c r="E2026" t="s">
        <v>16</v>
      </c>
      <c r="F2026">
        <v>5</v>
      </c>
      <c r="G2026" t="s">
        <v>21</v>
      </c>
      <c r="H2026" s="1">
        <v>45626</v>
      </c>
      <c r="I2026" s="1">
        <v>45631</v>
      </c>
      <c r="J2026" t="str">
        <f t="shared" si="31"/>
        <v>Nov-2024</v>
      </c>
    </row>
    <row r="2027" spans="1:10">
      <c r="A2027">
        <v>2026</v>
      </c>
      <c r="B2027">
        <v>10033</v>
      </c>
      <c r="C2027" t="s">
        <v>23</v>
      </c>
      <c r="D2027">
        <v>72809.259999999995</v>
      </c>
      <c r="E2027" t="s">
        <v>16</v>
      </c>
      <c r="F2027">
        <v>42</v>
      </c>
      <c r="G2027" t="s">
        <v>25</v>
      </c>
      <c r="H2027" s="1">
        <v>45384</v>
      </c>
      <c r="I2027" s="1">
        <v>45426</v>
      </c>
      <c r="J2027" t="str">
        <f t="shared" si="31"/>
        <v>Apr-2024</v>
      </c>
    </row>
    <row r="2028" spans="1:10">
      <c r="A2028">
        <v>2027</v>
      </c>
      <c r="B2028">
        <v>18487</v>
      </c>
      <c r="C2028" t="s">
        <v>18</v>
      </c>
      <c r="D2028">
        <v>82972.45</v>
      </c>
      <c r="E2028" t="s">
        <v>19</v>
      </c>
      <c r="F2028">
        <v>4</v>
      </c>
      <c r="G2028" t="s">
        <v>17</v>
      </c>
      <c r="H2028" s="1">
        <v>45639</v>
      </c>
      <c r="I2028" s="1">
        <v>45643</v>
      </c>
      <c r="J2028" t="str">
        <f t="shared" si="31"/>
        <v>Dec-2024</v>
      </c>
    </row>
    <row r="2029" spans="1:10">
      <c r="A2029">
        <v>2028</v>
      </c>
      <c r="B2029">
        <v>11429</v>
      </c>
      <c r="C2029" t="s">
        <v>22</v>
      </c>
      <c r="D2029">
        <v>75357.33</v>
      </c>
      <c r="E2029" t="s">
        <v>16</v>
      </c>
      <c r="F2029">
        <v>44</v>
      </c>
      <c r="G2029" t="s">
        <v>20</v>
      </c>
      <c r="H2029" s="1">
        <v>45569</v>
      </c>
      <c r="I2029" s="1">
        <v>45613</v>
      </c>
      <c r="J2029" t="str">
        <f t="shared" si="31"/>
        <v>Oct-2024</v>
      </c>
    </row>
    <row r="2030" spans="1:10">
      <c r="A2030">
        <v>2029</v>
      </c>
      <c r="B2030">
        <v>15246</v>
      </c>
      <c r="C2030" t="s">
        <v>18</v>
      </c>
      <c r="D2030">
        <v>166140.04999999999</v>
      </c>
      <c r="E2030" t="s">
        <v>24</v>
      </c>
      <c r="G2030" t="s">
        <v>25</v>
      </c>
      <c r="H2030" s="1">
        <v>45311</v>
      </c>
      <c r="J2030" t="str">
        <f t="shared" si="31"/>
        <v>Jan-2024</v>
      </c>
    </row>
    <row r="2031" spans="1:10">
      <c r="A2031">
        <v>2030</v>
      </c>
      <c r="B2031">
        <v>11987</v>
      </c>
      <c r="C2031" t="s">
        <v>23</v>
      </c>
      <c r="D2031">
        <v>93167.12</v>
      </c>
      <c r="E2031" t="s">
        <v>24</v>
      </c>
      <c r="G2031" t="s">
        <v>20</v>
      </c>
      <c r="H2031" s="1">
        <v>45580</v>
      </c>
      <c r="J2031" t="str">
        <f t="shared" si="31"/>
        <v>Oct-2024</v>
      </c>
    </row>
    <row r="2032" spans="1:10">
      <c r="A2032">
        <v>2031</v>
      </c>
      <c r="B2032">
        <v>16271</v>
      </c>
      <c r="C2032" t="s">
        <v>23</v>
      </c>
      <c r="D2032">
        <v>107120.39</v>
      </c>
      <c r="E2032" t="s">
        <v>16</v>
      </c>
      <c r="F2032">
        <v>8</v>
      </c>
      <c r="G2032" t="s">
        <v>17</v>
      </c>
      <c r="H2032" s="1">
        <v>45381</v>
      </c>
      <c r="I2032" s="1">
        <v>45389</v>
      </c>
      <c r="J2032" t="str">
        <f t="shared" si="31"/>
        <v>Mar-2024</v>
      </c>
    </row>
    <row r="2033" spans="1:10">
      <c r="A2033">
        <v>2032</v>
      </c>
      <c r="B2033">
        <v>12882</v>
      </c>
      <c r="C2033" t="s">
        <v>23</v>
      </c>
      <c r="D2033">
        <v>196577.23</v>
      </c>
      <c r="E2033" t="s">
        <v>24</v>
      </c>
      <c r="G2033" t="s">
        <v>21</v>
      </c>
      <c r="H2033" s="1">
        <v>45341</v>
      </c>
      <c r="J2033" t="str">
        <f t="shared" si="31"/>
        <v>Feb-2024</v>
      </c>
    </row>
    <row r="2034" spans="1:10">
      <c r="A2034">
        <v>2033</v>
      </c>
      <c r="B2034">
        <v>19901</v>
      </c>
      <c r="C2034" t="s">
        <v>23</v>
      </c>
      <c r="D2034">
        <v>16695.96</v>
      </c>
      <c r="E2034" t="s">
        <v>16</v>
      </c>
      <c r="F2034">
        <v>23</v>
      </c>
      <c r="G2034" t="s">
        <v>17</v>
      </c>
      <c r="H2034" s="1">
        <v>45301</v>
      </c>
      <c r="I2034" s="1">
        <v>45324</v>
      </c>
      <c r="J2034" t="str">
        <f t="shared" si="31"/>
        <v>Jan-2024</v>
      </c>
    </row>
    <row r="2035" spans="1:10">
      <c r="A2035">
        <v>2034</v>
      </c>
      <c r="B2035">
        <v>11547</v>
      </c>
      <c r="C2035" t="s">
        <v>23</v>
      </c>
      <c r="D2035">
        <v>100151.74</v>
      </c>
      <c r="E2035" t="s">
        <v>19</v>
      </c>
      <c r="F2035">
        <v>42</v>
      </c>
      <c r="G2035" t="s">
        <v>25</v>
      </c>
      <c r="H2035" s="1">
        <v>45370</v>
      </c>
      <c r="I2035" s="1">
        <v>45412</v>
      </c>
      <c r="J2035" t="str">
        <f t="shared" si="31"/>
        <v>Mar-2024</v>
      </c>
    </row>
    <row r="2036" spans="1:10">
      <c r="A2036">
        <v>2035</v>
      </c>
      <c r="B2036">
        <v>10462</v>
      </c>
      <c r="C2036" t="s">
        <v>18</v>
      </c>
      <c r="D2036">
        <v>155942.03</v>
      </c>
      <c r="E2036" t="s">
        <v>16</v>
      </c>
      <c r="F2036">
        <v>32</v>
      </c>
      <c r="G2036" t="s">
        <v>21</v>
      </c>
      <c r="H2036" s="1">
        <v>45328</v>
      </c>
      <c r="I2036" s="1">
        <v>45360</v>
      </c>
      <c r="J2036" t="str">
        <f t="shared" si="31"/>
        <v>Feb-2024</v>
      </c>
    </row>
    <row r="2037" spans="1:10">
      <c r="A2037">
        <v>2036</v>
      </c>
      <c r="B2037">
        <v>16707</v>
      </c>
      <c r="C2037" t="s">
        <v>18</v>
      </c>
      <c r="D2037">
        <v>34476.58</v>
      </c>
      <c r="E2037" t="s">
        <v>16</v>
      </c>
      <c r="F2037">
        <v>14</v>
      </c>
      <c r="G2037" t="s">
        <v>25</v>
      </c>
      <c r="H2037" s="1">
        <v>45350</v>
      </c>
      <c r="I2037" s="1">
        <v>45364</v>
      </c>
      <c r="J2037" t="str">
        <f t="shared" si="31"/>
        <v>Feb-2024</v>
      </c>
    </row>
    <row r="2038" spans="1:10">
      <c r="A2038">
        <v>2037</v>
      </c>
      <c r="B2038">
        <v>15305</v>
      </c>
      <c r="C2038" t="s">
        <v>23</v>
      </c>
      <c r="D2038">
        <v>124248.66</v>
      </c>
      <c r="E2038" t="s">
        <v>16</v>
      </c>
      <c r="F2038">
        <v>42</v>
      </c>
      <c r="G2038" t="s">
        <v>25</v>
      </c>
      <c r="H2038" s="1">
        <v>45379</v>
      </c>
      <c r="I2038" s="1">
        <v>45421</v>
      </c>
      <c r="J2038" t="str">
        <f t="shared" si="31"/>
        <v>Mar-2024</v>
      </c>
    </row>
    <row r="2039" spans="1:10">
      <c r="A2039">
        <v>2038</v>
      </c>
      <c r="B2039">
        <v>10513</v>
      </c>
      <c r="C2039" t="s">
        <v>18</v>
      </c>
      <c r="D2039">
        <v>51695.63</v>
      </c>
      <c r="E2039" t="s">
        <v>19</v>
      </c>
      <c r="F2039">
        <v>42</v>
      </c>
      <c r="G2039" t="s">
        <v>17</v>
      </c>
      <c r="H2039" s="1">
        <v>45395</v>
      </c>
      <c r="I2039" s="1">
        <v>45437</v>
      </c>
      <c r="J2039" t="str">
        <f t="shared" si="31"/>
        <v>Apr-2024</v>
      </c>
    </row>
    <row r="2040" spans="1:10">
      <c r="A2040">
        <v>2039</v>
      </c>
      <c r="B2040">
        <v>15174</v>
      </c>
      <c r="C2040" t="s">
        <v>23</v>
      </c>
      <c r="D2040">
        <v>174143.8</v>
      </c>
      <c r="E2040" t="s">
        <v>16</v>
      </c>
      <c r="F2040">
        <v>30</v>
      </c>
      <c r="G2040" t="s">
        <v>25</v>
      </c>
      <c r="H2040" s="1">
        <v>45610</v>
      </c>
      <c r="I2040" s="1">
        <v>45640</v>
      </c>
      <c r="J2040" t="str">
        <f t="shared" si="31"/>
        <v>Nov-2024</v>
      </c>
    </row>
    <row r="2041" spans="1:10">
      <c r="A2041">
        <v>2040</v>
      </c>
      <c r="B2041">
        <v>13566</v>
      </c>
      <c r="C2041" t="s">
        <v>23</v>
      </c>
      <c r="D2041">
        <v>68784.429999999993</v>
      </c>
      <c r="E2041" t="s">
        <v>16</v>
      </c>
      <c r="F2041">
        <v>29</v>
      </c>
      <c r="G2041" t="s">
        <v>17</v>
      </c>
      <c r="H2041" s="1">
        <v>45568</v>
      </c>
      <c r="I2041" s="1">
        <v>45597</v>
      </c>
      <c r="J2041" t="str">
        <f t="shared" si="31"/>
        <v>Oct-2024</v>
      </c>
    </row>
    <row r="2042" spans="1:10">
      <c r="A2042">
        <v>2041</v>
      </c>
      <c r="B2042">
        <v>13803</v>
      </c>
      <c r="C2042" t="s">
        <v>23</v>
      </c>
      <c r="D2042">
        <v>69167.25</v>
      </c>
      <c r="E2042" t="s">
        <v>16</v>
      </c>
      <c r="F2042">
        <v>20</v>
      </c>
      <c r="G2042" t="s">
        <v>21</v>
      </c>
      <c r="H2042" s="1">
        <v>45395</v>
      </c>
      <c r="I2042" s="1">
        <v>45415</v>
      </c>
      <c r="J2042" t="str">
        <f t="shared" si="31"/>
        <v>Apr-2024</v>
      </c>
    </row>
    <row r="2043" spans="1:10">
      <c r="A2043">
        <v>2042</v>
      </c>
      <c r="B2043">
        <v>13938</v>
      </c>
      <c r="C2043" t="s">
        <v>18</v>
      </c>
      <c r="D2043">
        <v>121647.81</v>
      </c>
      <c r="E2043" t="s">
        <v>16</v>
      </c>
      <c r="F2043">
        <v>24</v>
      </c>
      <c r="G2043" t="s">
        <v>17</v>
      </c>
      <c r="H2043" s="1">
        <v>45545</v>
      </c>
      <c r="I2043" s="1">
        <v>45569</v>
      </c>
      <c r="J2043" t="str">
        <f t="shared" si="31"/>
        <v>Sep-2024</v>
      </c>
    </row>
    <row r="2044" spans="1:10">
      <c r="A2044">
        <v>2043</v>
      </c>
      <c r="B2044">
        <v>11471</v>
      </c>
      <c r="C2044" t="s">
        <v>23</v>
      </c>
      <c r="D2044">
        <v>40794.769999999997</v>
      </c>
      <c r="E2044" t="s">
        <v>16</v>
      </c>
      <c r="F2044">
        <v>9</v>
      </c>
      <c r="G2044" t="s">
        <v>21</v>
      </c>
      <c r="H2044" s="1">
        <v>45521</v>
      </c>
      <c r="I2044" s="1">
        <v>45530</v>
      </c>
      <c r="J2044" t="str">
        <f t="shared" si="31"/>
        <v>Aug-2024</v>
      </c>
    </row>
    <row r="2045" spans="1:10">
      <c r="A2045">
        <v>2044</v>
      </c>
      <c r="B2045">
        <v>18003</v>
      </c>
      <c r="C2045" t="s">
        <v>23</v>
      </c>
      <c r="D2045">
        <v>60553.279999999999</v>
      </c>
      <c r="E2045" t="s">
        <v>16</v>
      </c>
      <c r="F2045">
        <v>26</v>
      </c>
      <c r="G2045" t="s">
        <v>17</v>
      </c>
      <c r="H2045" s="1">
        <v>45626</v>
      </c>
      <c r="I2045" s="1">
        <v>45652</v>
      </c>
      <c r="J2045" t="str">
        <f t="shared" si="31"/>
        <v>Nov-2024</v>
      </c>
    </row>
    <row r="2046" spans="1:10">
      <c r="A2046">
        <v>2045</v>
      </c>
      <c r="B2046">
        <v>10337</v>
      </c>
      <c r="C2046" t="s">
        <v>23</v>
      </c>
      <c r="D2046">
        <v>86243.21</v>
      </c>
      <c r="E2046" t="s">
        <v>16</v>
      </c>
      <c r="F2046">
        <v>39</v>
      </c>
      <c r="G2046" t="s">
        <v>20</v>
      </c>
      <c r="H2046" s="1">
        <v>45328</v>
      </c>
      <c r="I2046" s="1">
        <v>45367</v>
      </c>
      <c r="J2046" t="str">
        <f t="shared" si="31"/>
        <v>Feb-2024</v>
      </c>
    </row>
    <row r="2047" spans="1:10">
      <c r="A2047">
        <v>2046</v>
      </c>
      <c r="B2047">
        <v>17051</v>
      </c>
      <c r="C2047" t="s">
        <v>15</v>
      </c>
      <c r="D2047">
        <v>73959.38</v>
      </c>
      <c r="E2047" t="s">
        <v>16</v>
      </c>
      <c r="F2047">
        <v>39</v>
      </c>
      <c r="G2047" t="s">
        <v>20</v>
      </c>
      <c r="H2047" s="1">
        <v>45592</v>
      </c>
      <c r="I2047" s="1">
        <v>45631</v>
      </c>
      <c r="J2047" t="str">
        <f t="shared" si="31"/>
        <v>Oct-2024</v>
      </c>
    </row>
    <row r="2048" spans="1:10">
      <c r="A2048">
        <v>2047</v>
      </c>
      <c r="B2048">
        <v>17444</v>
      </c>
      <c r="C2048" t="s">
        <v>23</v>
      </c>
      <c r="D2048">
        <v>107351.06</v>
      </c>
      <c r="E2048" t="s">
        <v>16</v>
      </c>
      <c r="F2048">
        <v>36</v>
      </c>
      <c r="G2048" t="s">
        <v>25</v>
      </c>
      <c r="H2048" s="1">
        <v>45433</v>
      </c>
      <c r="I2048" s="1">
        <v>45469</v>
      </c>
      <c r="J2048" t="str">
        <f t="shared" si="31"/>
        <v>May-2024</v>
      </c>
    </row>
    <row r="2049" spans="1:10">
      <c r="A2049">
        <v>2048</v>
      </c>
      <c r="B2049">
        <v>13412</v>
      </c>
      <c r="C2049" t="s">
        <v>18</v>
      </c>
      <c r="D2049">
        <v>121929.83</v>
      </c>
      <c r="E2049" t="s">
        <v>16</v>
      </c>
      <c r="F2049">
        <v>27</v>
      </c>
      <c r="G2049" t="s">
        <v>17</v>
      </c>
      <c r="H2049" s="1">
        <v>45334</v>
      </c>
      <c r="I2049" s="1">
        <v>45361</v>
      </c>
      <c r="J2049" t="str">
        <f t="shared" si="31"/>
        <v>Feb-2024</v>
      </c>
    </row>
    <row r="2050" spans="1:10">
      <c r="A2050">
        <v>2049</v>
      </c>
      <c r="B2050">
        <v>12392</v>
      </c>
      <c r="C2050" t="s">
        <v>18</v>
      </c>
      <c r="D2050">
        <v>115500.15</v>
      </c>
      <c r="E2050" t="s">
        <v>16</v>
      </c>
      <c r="F2050">
        <v>4</v>
      </c>
      <c r="G2050" t="s">
        <v>17</v>
      </c>
      <c r="H2050" s="1">
        <v>45407</v>
      </c>
      <c r="I2050" s="1">
        <v>45411</v>
      </c>
      <c r="J2050" t="str">
        <f t="shared" si="31"/>
        <v>Apr-2024</v>
      </c>
    </row>
    <row r="2051" spans="1:10">
      <c r="A2051">
        <v>2050</v>
      </c>
      <c r="B2051">
        <v>10976</v>
      </c>
      <c r="C2051" t="s">
        <v>18</v>
      </c>
      <c r="D2051">
        <v>132562.82</v>
      </c>
      <c r="E2051" t="s">
        <v>24</v>
      </c>
      <c r="G2051" t="s">
        <v>21</v>
      </c>
      <c r="H2051" s="1">
        <v>45632</v>
      </c>
      <c r="J2051" t="str">
        <f t="shared" ref="J2051:J2114" si="32">TEXT(H2051,"mmm-yyyy")</f>
        <v>Dec-2024</v>
      </c>
    </row>
    <row r="2052" spans="1:10">
      <c r="A2052">
        <v>2051</v>
      </c>
      <c r="B2052">
        <v>14978</v>
      </c>
      <c r="C2052" t="s">
        <v>22</v>
      </c>
      <c r="D2052">
        <v>65011.16</v>
      </c>
      <c r="E2052" t="s">
        <v>16</v>
      </c>
      <c r="F2052">
        <v>6</v>
      </c>
      <c r="G2052" t="s">
        <v>25</v>
      </c>
      <c r="H2052" s="1">
        <v>45375</v>
      </c>
      <c r="I2052" s="1">
        <v>45381</v>
      </c>
      <c r="J2052" t="str">
        <f t="shared" si="32"/>
        <v>Mar-2024</v>
      </c>
    </row>
    <row r="2053" spans="1:10">
      <c r="A2053">
        <v>2052</v>
      </c>
      <c r="B2053">
        <v>14068</v>
      </c>
      <c r="C2053" t="s">
        <v>23</v>
      </c>
      <c r="D2053">
        <v>29653.11</v>
      </c>
      <c r="E2053" t="s">
        <v>24</v>
      </c>
      <c r="G2053" t="s">
        <v>17</v>
      </c>
      <c r="H2053" s="1">
        <v>45550</v>
      </c>
      <c r="J2053" t="str">
        <f t="shared" si="32"/>
        <v>Sep-2024</v>
      </c>
    </row>
    <row r="2054" spans="1:10">
      <c r="A2054">
        <v>2053</v>
      </c>
      <c r="B2054">
        <v>19895</v>
      </c>
      <c r="C2054" t="s">
        <v>23</v>
      </c>
      <c r="D2054">
        <v>153357.47</v>
      </c>
      <c r="E2054" t="s">
        <v>19</v>
      </c>
      <c r="F2054">
        <v>13</v>
      </c>
      <c r="G2054" t="s">
        <v>25</v>
      </c>
      <c r="H2054" s="1">
        <v>45651</v>
      </c>
      <c r="I2054" s="1">
        <v>45664</v>
      </c>
      <c r="J2054" t="str">
        <f t="shared" si="32"/>
        <v>Dec-2024</v>
      </c>
    </row>
    <row r="2055" spans="1:10">
      <c r="A2055">
        <v>2054</v>
      </c>
      <c r="B2055">
        <v>10871</v>
      </c>
      <c r="C2055" t="s">
        <v>15</v>
      </c>
      <c r="D2055">
        <v>170902.17</v>
      </c>
      <c r="E2055" t="s">
        <v>16</v>
      </c>
      <c r="F2055">
        <v>39</v>
      </c>
      <c r="G2055" t="s">
        <v>20</v>
      </c>
      <c r="H2055" s="1">
        <v>45378</v>
      </c>
      <c r="I2055" s="1">
        <v>45417</v>
      </c>
      <c r="J2055" t="str">
        <f t="shared" si="32"/>
        <v>Mar-2024</v>
      </c>
    </row>
    <row r="2056" spans="1:10">
      <c r="A2056">
        <v>2055</v>
      </c>
      <c r="B2056">
        <v>13409</v>
      </c>
      <c r="C2056" t="s">
        <v>23</v>
      </c>
      <c r="D2056">
        <v>55116.22</v>
      </c>
      <c r="E2056" t="s">
        <v>16</v>
      </c>
      <c r="F2056">
        <v>17</v>
      </c>
      <c r="G2056" t="s">
        <v>17</v>
      </c>
      <c r="H2056" s="1">
        <v>45634</v>
      </c>
      <c r="I2056" s="1">
        <v>45651</v>
      </c>
      <c r="J2056" t="str">
        <f t="shared" si="32"/>
        <v>Dec-2024</v>
      </c>
    </row>
    <row r="2057" spans="1:10">
      <c r="A2057">
        <v>2056</v>
      </c>
      <c r="B2057">
        <v>12589</v>
      </c>
      <c r="C2057" t="s">
        <v>18</v>
      </c>
      <c r="D2057">
        <v>84382.93</v>
      </c>
      <c r="E2057" t="s">
        <v>19</v>
      </c>
      <c r="F2057">
        <v>38</v>
      </c>
      <c r="G2057" t="s">
        <v>17</v>
      </c>
      <c r="H2057" s="1">
        <v>45638</v>
      </c>
      <c r="I2057" s="1">
        <v>45676</v>
      </c>
      <c r="J2057" t="str">
        <f t="shared" si="32"/>
        <v>Dec-2024</v>
      </c>
    </row>
    <row r="2058" spans="1:10">
      <c r="A2058">
        <v>2057</v>
      </c>
      <c r="B2058">
        <v>11549</v>
      </c>
      <c r="C2058" t="s">
        <v>18</v>
      </c>
      <c r="D2058">
        <v>102221</v>
      </c>
      <c r="E2058" t="s">
        <v>16</v>
      </c>
      <c r="F2058">
        <v>39</v>
      </c>
      <c r="G2058" t="s">
        <v>25</v>
      </c>
      <c r="H2058" s="1">
        <v>45582</v>
      </c>
      <c r="I2058" s="1">
        <v>45621</v>
      </c>
      <c r="J2058" t="str">
        <f t="shared" si="32"/>
        <v>Oct-2024</v>
      </c>
    </row>
    <row r="2059" spans="1:10">
      <c r="A2059">
        <v>2058</v>
      </c>
      <c r="B2059">
        <v>14461</v>
      </c>
      <c r="C2059" t="s">
        <v>18</v>
      </c>
      <c r="D2059">
        <v>108998.73</v>
      </c>
      <c r="E2059" t="s">
        <v>16</v>
      </c>
      <c r="F2059">
        <v>37</v>
      </c>
      <c r="G2059" t="s">
        <v>17</v>
      </c>
      <c r="H2059" s="1">
        <v>45387</v>
      </c>
      <c r="I2059" s="1">
        <v>45424</v>
      </c>
      <c r="J2059" t="str">
        <f t="shared" si="32"/>
        <v>Apr-2024</v>
      </c>
    </row>
    <row r="2060" spans="1:10">
      <c r="A2060">
        <v>2059</v>
      </c>
      <c r="B2060">
        <v>12621</v>
      </c>
      <c r="C2060" t="s">
        <v>22</v>
      </c>
      <c r="D2060">
        <v>133600.57999999999</v>
      </c>
      <c r="E2060" t="s">
        <v>16</v>
      </c>
      <c r="F2060">
        <v>30</v>
      </c>
      <c r="G2060" t="s">
        <v>25</v>
      </c>
      <c r="H2060" s="1">
        <v>45546</v>
      </c>
      <c r="I2060" s="1">
        <v>45576</v>
      </c>
      <c r="J2060" t="str">
        <f t="shared" si="32"/>
        <v>Sep-2024</v>
      </c>
    </row>
    <row r="2061" spans="1:10">
      <c r="A2061">
        <v>2060</v>
      </c>
      <c r="B2061">
        <v>12529</v>
      </c>
      <c r="C2061" t="s">
        <v>22</v>
      </c>
      <c r="D2061">
        <v>13112.63</v>
      </c>
      <c r="E2061" t="s">
        <v>16</v>
      </c>
      <c r="F2061">
        <v>36</v>
      </c>
      <c r="G2061" t="s">
        <v>17</v>
      </c>
      <c r="H2061" s="1">
        <v>45633</v>
      </c>
      <c r="I2061" s="1">
        <v>45669</v>
      </c>
      <c r="J2061" t="str">
        <f t="shared" si="32"/>
        <v>Dec-2024</v>
      </c>
    </row>
    <row r="2062" spans="1:10">
      <c r="A2062">
        <v>2061</v>
      </c>
      <c r="B2062">
        <v>17162</v>
      </c>
      <c r="C2062" t="s">
        <v>18</v>
      </c>
      <c r="D2062">
        <v>145688.03</v>
      </c>
      <c r="E2062" t="s">
        <v>19</v>
      </c>
      <c r="F2062">
        <v>38</v>
      </c>
      <c r="G2062" t="s">
        <v>21</v>
      </c>
      <c r="H2062" s="1">
        <v>45427</v>
      </c>
      <c r="I2062" s="1">
        <v>45465</v>
      </c>
      <c r="J2062" t="str">
        <f t="shared" si="32"/>
        <v>May-2024</v>
      </c>
    </row>
    <row r="2063" spans="1:10">
      <c r="A2063">
        <v>2062</v>
      </c>
      <c r="B2063">
        <v>18351</v>
      </c>
      <c r="C2063" t="s">
        <v>23</v>
      </c>
      <c r="D2063">
        <v>17084.349999999999</v>
      </c>
      <c r="E2063" t="s">
        <v>16</v>
      </c>
      <c r="F2063">
        <v>22</v>
      </c>
      <c r="G2063" t="s">
        <v>25</v>
      </c>
      <c r="H2063" s="1">
        <v>45539</v>
      </c>
      <c r="I2063" s="1">
        <v>45561</v>
      </c>
      <c r="J2063" t="str">
        <f t="shared" si="32"/>
        <v>Sep-2024</v>
      </c>
    </row>
    <row r="2064" spans="1:10">
      <c r="A2064">
        <v>2063</v>
      </c>
      <c r="B2064">
        <v>16399</v>
      </c>
      <c r="C2064" t="s">
        <v>15</v>
      </c>
      <c r="D2064">
        <v>96316.27</v>
      </c>
      <c r="E2064" t="s">
        <v>16</v>
      </c>
      <c r="F2064">
        <v>22</v>
      </c>
      <c r="G2064" t="s">
        <v>17</v>
      </c>
      <c r="H2064" s="1">
        <v>45383</v>
      </c>
      <c r="I2064" s="1">
        <v>45405</v>
      </c>
      <c r="J2064" t="str">
        <f t="shared" si="32"/>
        <v>Apr-2024</v>
      </c>
    </row>
    <row r="2065" spans="1:10">
      <c r="A2065">
        <v>2064</v>
      </c>
      <c r="B2065">
        <v>12581</v>
      </c>
      <c r="C2065" t="s">
        <v>23</v>
      </c>
      <c r="D2065">
        <v>166395.87</v>
      </c>
      <c r="E2065" t="s">
        <v>16</v>
      </c>
      <c r="F2065">
        <v>29</v>
      </c>
      <c r="G2065" t="s">
        <v>20</v>
      </c>
      <c r="H2065" s="1">
        <v>45538</v>
      </c>
      <c r="I2065" s="1">
        <v>45567</v>
      </c>
      <c r="J2065" t="str">
        <f t="shared" si="32"/>
        <v>Sep-2024</v>
      </c>
    </row>
    <row r="2066" spans="1:10">
      <c r="A2066">
        <v>2065</v>
      </c>
      <c r="B2066">
        <v>16565</v>
      </c>
      <c r="C2066" t="s">
        <v>23</v>
      </c>
      <c r="D2066">
        <v>92986.99</v>
      </c>
      <c r="E2066" t="s">
        <v>16</v>
      </c>
      <c r="F2066">
        <v>7</v>
      </c>
      <c r="G2066" t="s">
        <v>17</v>
      </c>
      <c r="H2066" s="1">
        <v>45549</v>
      </c>
      <c r="I2066" s="1">
        <v>45556</v>
      </c>
      <c r="J2066" t="str">
        <f t="shared" si="32"/>
        <v>Sep-2024</v>
      </c>
    </row>
    <row r="2067" spans="1:10">
      <c r="A2067">
        <v>2066</v>
      </c>
      <c r="B2067">
        <v>17105</v>
      </c>
      <c r="C2067" t="s">
        <v>15</v>
      </c>
      <c r="D2067">
        <v>34072.5</v>
      </c>
      <c r="E2067" t="s">
        <v>16</v>
      </c>
      <c r="F2067">
        <v>21</v>
      </c>
      <c r="G2067" t="s">
        <v>20</v>
      </c>
      <c r="H2067" s="1">
        <v>45478</v>
      </c>
      <c r="I2067" s="1">
        <v>45499</v>
      </c>
      <c r="J2067" t="str">
        <f t="shared" si="32"/>
        <v>Jul-2024</v>
      </c>
    </row>
    <row r="2068" spans="1:10">
      <c r="A2068">
        <v>2067</v>
      </c>
      <c r="B2068">
        <v>16956</v>
      </c>
      <c r="C2068" t="s">
        <v>23</v>
      </c>
      <c r="D2068">
        <v>197081.60000000001</v>
      </c>
      <c r="E2068" t="s">
        <v>16</v>
      </c>
      <c r="F2068">
        <v>37</v>
      </c>
      <c r="G2068" t="s">
        <v>20</v>
      </c>
      <c r="H2068" s="1">
        <v>45415</v>
      </c>
      <c r="I2068" s="1">
        <v>45452</v>
      </c>
      <c r="J2068" t="str">
        <f t="shared" si="32"/>
        <v>May-2024</v>
      </c>
    </row>
    <row r="2069" spans="1:10">
      <c r="A2069">
        <v>2068</v>
      </c>
      <c r="B2069">
        <v>12934</v>
      </c>
      <c r="C2069" t="s">
        <v>23</v>
      </c>
      <c r="D2069">
        <v>178410.67</v>
      </c>
      <c r="E2069" t="s">
        <v>19</v>
      </c>
      <c r="F2069">
        <v>14</v>
      </c>
      <c r="G2069" t="s">
        <v>21</v>
      </c>
      <c r="H2069" s="1">
        <v>45551</v>
      </c>
      <c r="I2069" s="1">
        <v>45565</v>
      </c>
      <c r="J2069" t="str">
        <f t="shared" si="32"/>
        <v>Sep-2024</v>
      </c>
    </row>
    <row r="2070" spans="1:10">
      <c r="A2070">
        <v>2069</v>
      </c>
      <c r="B2070">
        <v>12311</v>
      </c>
      <c r="C2070" t="s">
        <v>23</v>
      </c>
      <c r="D2070">
        <v>155406.16</v>
      </c>
      <c r="E2070" t="s">
        <v>16</v>
      </c>
      <c r="F2070">
        <v>41</v>
      </c>
      <c r="G2070" t="s">
        <v>25</v>
      </c>
      <c r="H2070" s="1">
        <v>45460</v>
      </c>
      <c r="I2070" s="1">
        <v>45501</v>
      </c>
      <c r="J2070" t="str">
        <f t="shared" si="32"/>
        <v>Jun-2024</v>
      </c>
    </row>
    <row r="2071" spans="1:10">
      <c r="A2071">
        <v>2070</v>
      </c>
      <c r="B2071">
        <v>12795</v>
      </c>
      <c r="C2071" t="s">
        <v>15</v>
      </c>
      <c r="D2071">
        <v>85244.76</v>
      </c>
      <c r="E2071" t="s">
        <v>19</v>
      </c>
      <c r="F2071">
        <v>12</v>
      </c>
      <c r="G2071" t="s">
        <v>17</v>
      </c>
      <c r="H2071" s="1">
        <v>45656</v>
      </c>
      <c r="I2071" s="1">
        <v>45668</v>
      </c>
      <c r="J2071" t="str">
        <f t="shared" si="32"/>
        <v>Dec-2024</v>
      </c>
    </row>
    <row r="2072" spans="1:10">
      <c r="A2072">
        <v>2071</v>
      </c>
      <c r="B2072">
        <v>14328</v>
      </c>
      <c r="C2072" t="s">
        <v>18</v>
      </c>
      <c r="D2072">
        <v>40849.919999999998</v>
      </c>
      <c r="E2072" t="s">
        <v>16</v>
      </c>
      <c r="F2072">
        <v>25</v>
      </c>
      <c r="G2072" t="s">
        <v>21</v>
      </c>
      <c r="H2072" s="1">
        <v>45402</v>
      </c>
      <c r="I2072" s="1">
        <v>45427</v>
      </c>
      <c r="J2072" t="str">
        <f t="shared" si="32"/>
        <v>Apr-2024</v>
      </c>
    </row>
    <row r="2073" spans="1:10">
      <c r="A2073">
        <v>2072</v>
      </c>
      <c r="B2073">
        <v>16823</v>
      </c>
      <c r="C2073" t="s">
        <v>18</v>
      </c>
      <c r="D2073">
        <v>188575.18</v>
      </c>
      <c r="E2073" t="s">
        <v>16</v>
      </c>
      <c r="F2073">
        <v>20</v>
      </c>
      <c r="G2073" t="s">
        <v>17</v>
      </c>
      <c r="H2073" s="1">
        <v>45581</v>
      </c>
      <c r="I2073" s="1">
        <v>45601</v>
      </c>
      <c r="J2073" t="str">
        <f t="shared" si="32"/>
        <v>Oct-2024</v>
      </c>
    </row>
    <row r="2074" spans="1:10">
      <c r="A2074">
        <v>2073</v>
      </c>
      <c r="B2074">
        <v>14328</v>
      </c>
      <c r="C2074" t="s">
        <v>23</v>
      </c>
      <c r="D2074">
        <v>108808.47</v>
      </c>
      <c r="E2074" t="s">
        <v>16</v>
      </c>
      <c r="F2074">
        <v>24</v>
      </c>
      <c r="G2074" t="s">
        <v>20</v>
      </c>
      <c r="H2074" s="1">
        <v>45378</v>
      </c>
      <c r="I2074" s="1">
        <v>45402</v>
      </c>
      <c r="J2074" t="str">
        <f t="shared" si="32"/>
        <v>Mar-2024</v>
      </c>
    </row>
    <row r="2075" spans="1:10">
      <c r="A2075">
        <v>2074</v>
      </c>
      <c r="B2075">
        <v>13588</v>
      </c>
      <c r="C2075" t="s">
        <v>18</v>
      </c>
      <c r="D2075">
        <v>171209.31</v>
      </c>
      <c r="E2075" t="s">
        <v>16</v>
      </c>
      <c r="F2075">
        <v>32</v>
      </c>
      <c r="G2075" t="s">
        <v>25</v>
      </c>
      <c r="H2075" s="1">
        <v>45304</v>
      </c>
      <c r="I2075" s="1">
        <v>45336</v>
      </c>
      <c r="J2075" t="str">
        <f t="shared" si="32"/>
        <v>Jan-2024</v>
      </c>
    </row>
    <row r="2076" spans="1:10">
      <c r="A2076">
        <v>2075</v>
      </c>
      <c r="B2076">
        <v>13116</v>
      </c>
      <c r="C2076" t="s">
        <v>18</v>
      </c>
      <c r="D2076">
        <v>71708.53</v>
      </c>
      <c r="E2076" t="s">
        <v>16</v>
      </c>
      <c r="F2076">
        <v>38</v>
      </c>
      <c r="G2076" t="s">
        <v>17</v>
      </c>
      <c r="H2076" s="1">
        <v>45554</v>
      </c>
      <c r="I2076" s="1">
        <v>45592</v>
      </c>
      <c r="J2076" t="str">
        <f t="shared" si="32"/>
        <v>Sep-2024</v>
      </c>
    </row>
    <row r="2077" spans="1:10">
      <c r="A2077">
        <v>2076</v>
      </c>
      <c r="B2077">
        <v>14653</v>
      </c>
      <c r="C2077" t="s">
        <v>23</v>
      </c>
      <c r="D2077">
        <v>70381.22</v>
      </c>
      <c r="E2077" t="s">
        <v>16</v>
      </c>
      <c r="F2077">
        <v>38</v>
      </c>
      <c r="G2077" t="s">
        <v>17</v>
      </c>
      <c r="H2077" s="1">
        <v>45579</v>
      </c>
      <c r="I2077" s="1">
        <v>45617</v>
      </c>
      <c r="J2077" t="str">
        <f t="shared" si="32"/>
        <v>Oct-2024</v>
      </c>
    </row>
    <row r="2078" spans="1:10">
      <c r="A2078">
        <v>2077</v>
      </c>
      <c r="B2078">
        <v>13747</v>
      </c>
      <c r="C2078" t="s">
        <v>23</v>
      </c>
      <c r="D2078">
        <v>197180.39</v>
      </c>
      <c r="E2078" t="s">
        <v>19</v>
      </c>
      <c r="F2078">
        <v>4</v>
      </c>
      <c r="G2078" t="s">
        <v>20</v>
      </c>
      <c r="H2078" s="1">
        <v>45314</v>
      </c>
      <c r="I2078" s="1">
        <v>45318</v>
      </c>
      <c r="J2078" t="str">
        <f t="shared" si="32"/>
        <v>Jan-2024</v>
      </c>
    </row>
    <row r="2079" spans="1:10">
      <c r="A2079">
        <v>2078</v>
      </c>
      <c r="B2079">
        <v>16824</v>
      </c>
      <c r="C2079" t="s">
        <v>23</v>
      </c>
      <c r="D2079">
        <v>106757.44</v>
      </c>
      <c r="E2079" t="s">
        <v>19</v>
      </c>
      <c r="F2079">
        <v>35</v>
      </c>
      <c r="G2079" t="s">
        <v>17</v>
      </c>
      <c r="H2079" s="1">
        <v>45491</v>
      </c>
      <c r="I2079" s="1">
        <v>45526</v>
      </c>
      <c r="J2079" t="str">
        <f t="shared" si="32"/>
        <v>Jul-2024</v>
      </c>
    </row>
    <row r="2080" spans="1:10">
      <c r="A2080">
        <v>2079</v>
      </c>
      <c r="B2080">
        <v>11459</v>
      </c>
      <c r="C2080" t="s">
        <v>22</v>
      </c>
      <c r="D2080">
        <v>32435.61</v>
      </c>
      <c r="E2080" t="s">
        <v>16</v>
      </c>
      <c r="F2080">
        <v>30</v>
      </c>
      <c r="G2080" t="s">
        <v>17</v>
      </c>
      <c r="H2080" s="1">
        <v>45533</v>
      </c>
      <c r="I2080" s="1">
        <v>45563</v>
      </c>
      <c r="J2080" t="str">
        <f t="shared" si="32"/>
        <v>Aug-2024</v>
      </c>
    </row>
    <row r="2081" spans="1:10">
      <c r="A2081">
        <v>2080</v>
      </c>
      <c r="B2081">
        <v>14430</v>
      </c>
      <c r="C2081" t="s">
        <v>18</v>
      </c>
      <c r="D2081">
        <v>47836.56</v>
      </c>
      <c r="E2081" t="s">
        <v>16</v>
      </c>
      <c r="F2081">
        <v>4</v>
      </c>
      <c r="G2081" t="s">
        <v>20</v>
      </c>
      <c r="H2081" s="1">
        <v>45530</v>
      </c>
      <c r="I2081" s="1">
        <v>45534</v>
      </c>
      <c r="J2081" t="str">
        <f t="shared" si="32"/>
        <v>Aug-2024</v>
      </c>
    </row>
    <row r="2082" spans="1:10">
      <c r="A2082">
        <v>2081</v>
      </c>
      <c r="B2082">
        <v>12451</v>
      </c>
      <c r="C2082" t="s">
        <v>22</v>
      </c>
      <c r="D2082">
        <v>98979.13</v>
      </c>
      <c r="E2082" t="s">
        <v>16</v>
      </c>
      <c r="F2082">
        <v>16</v>
      </c>
      <c r="G2082" t="s">
        <v>21</v>
      </c>
      <c r="H2082" s="1">
        <v>45594</v>
      </c>
      <c r="I2082" s="1">
        <v>45610</v>
      </c>
      <c r="J2082" t="str">
        <f t="shared" si="32"/>
        <v>Oct-2024</v>
      </c>
    </row>
    <row r="2083" spans="1:10">
      <c r="A2083">
        <v>2082</v>
      </c>
      <c r="B2083">
        <v>17331</v>
      </c>
      <c r="C2083" t="s">
        <v>23</v>
      </c>
      <c r="D2083">
        <v>13281.83</v>
      </c>
      <c r="E2083" t="s">
        <v>16</v>
      </c>
      <c r="F2083">
        <v>8</v>
      </c>
      <c r="G2083" t="s">
        <v>20</v>
      </c>
      <c r="H2083" s="1">
        <v>45456</v>
      </c>
      <c r="I2083" s="1">
        <v>45464</v>
      </c>
      <c r="J2083" t="str">
        <f t="shared" si="32"/>
        <v>Jun-2024</v>
      </c>
    </row>
    <row r="2084" spans="1:10">
      <c r="A2084">
        <v>2083</v>
      </c>
      <c r="B2084">
        <v>14090</v>
      </c>
      <c r="C2084" t="s">
        <v>18</v>
      </c>
      <c r="D2084">
        <v>95194.13</v>
      </c>
      <c r="E2084" t="s">
        <v>16</v>
      </c>
      <c r="F2084">
        <v>4</v>
      </c>
      <c r="G2084" t="s">
        <v>21</v>
      </c>
      <c r="H2084" s="1">
        <v>45517</v>
      </c>
      <c r="I2084" s="1">
        <v>45521</v>
      </c>
      <c r="J2084" t="str">
        <f t="shared" si="32"/>
        <v>Aug-2024</v>
      </c>
    </row>
    <row r="2085" spans="1:10">
      <c r="A2085">
        <v>2084</v>
      </c>
      <c r="B2085">
        <v>18963</v>
      </c>
      <c r="C2085" t="s">
        <v>18</v>
      </c>
      <c r="D2085">
        <v>86693.46</v>
      </c>
      <c r="E2085" t="s">
        <v>16</v>
      </c>
      <c r="F2085">
        <v>44</v>
      </c>
      <c r="G2085" t="s">
        <v>25</v>
      </c>
      <c r="H2085" s="1">
        <v>45467</v>
      </c>
      <c r="I2085" s="1">
        <v>45511</v>
      </c>
      <c r="J2085" t="str">
        <f t="shared" si="32"/>
        <v>Jun-2024</v>
      </c>
    </row>
    <row r="2086" spans="1:10">
      <c r="A2086">
        <v>2085</v>
      </c>
      <c r="B2086">
        <v>15041</v>
      </c>
      <c r="C2086" t="s">
        <v>18</v>
      </c>
      <c r="D2086">
        <v>156970.57</v>
      </c>
      <c r="E2086" t="s">
        <v>24</v>
      </c>
      <c r="G2086" t="s">
        <v>21</v>
      </c>
      <c r="H2086" s="1">
        <v>45320</v>
      </c>
      <c r="J2086" t="str">
        <f t="shared" si="32"/>
        <v>Jan-2024</v>
      </c>
    </row>
    <row r="2087" spans="1:10">
      <c r="A2087">
        <v>2086</v>
      </c>
      <c r="B2087">
        <v>11111</v>
      </c>
      <c r="C2087" t="s">
        <v>22</v>
      </c>
      <c r="D2087">
        <v>74213.679999999993</v>
      </c>
      <c r="E2087" t="s">
        <v>19</v>
      </c>
      <c r="F2087">
        <v>35</v>
      </c>
      <c r="G2087" t="s">
        <v>21</v>
      </c>
      <c r="H2087" s="1">
        <v>45456</v>
      </c>
      <c r="I2087" s="1">
        <v>45491</v>
      </c>
      <c r="J2087" t="str">
        <f t="shared" si="32"/>
        <v>Jun-2024</v>
      </c>
    </row>
    <row r="2088" spans="1:10">
      <c r="A2088">
        <v>2087</v>
      </c>
      <c r="B2088">
        <v>19786</v>
      </c>
      <c r="C2088" t="s">
        <v>23</v>
      </c>
      <c r="D2088">
        <v>196597.01</v>
      </c>
      <c r="E2088" t="s">
        <v>16</v>
      </c>
      <c r="F2088">
        <v>21</v>
      </c>
      <c r="G2088" t="s">
        <v>25</v>
      </c>
      <c r="H2088" s="1">
        <v>45314</v>
      </c>
      <c r="I2088" s="1">
        <v>45335</v>
      </c>
      <c r="J2088" t="str">
        <f t="shared" si="32"/>
        <v>Jan-2024</v>
      </c>
    </row>
    <row r="2089" spans="1:10">
      <c r="A2089">
        <v>2088</v>
      </c>
      <c r="B2089">
        <v>19473</v>
      </c>
      <c r="C2089" t="s">
        <v>23</v>
      </c>
      <c r="D2089">
        <v>40250.129999999997</v>
      </c>
      <c r="E2089" t="s">
        <v>16</v>
      </c>
      <c r="F2089">
        <v>40</v>
      </c>
      <c r="G2089" t="s">
        <v>21</v>
      </c>
      <c r="H2089" s="1">
        <v>45585</v>
      </c>
      <c r="I2089" s="1">
        <v>45625</v>
      </c>
      <c r="J2089" t="str">
        <f t="shared" si="32"/>
        <v>Oct-2024</v>
      </c>
    </row>
    <row r="2090" spans="1:10">
      <c r="A2090">
        <v>2089</v>
      </c>
      <c r="B2090">
        <v>13585</v>
      </c>
      <c r="C2090" t="s">
        <v>18</v>
      </c>
      <c r="D2090">
        <v>120242.4</v>
      </c>
      <c r="E2090" t="s">
        <v>16</v>
      </c>
      <c r="F2090">
        <v>34</v>
      </c>
      <c r="G2090" t="s">
        <v>20</v>
      </c>
      <c r="H2090" s="1">
        <v>45335</v>
      </c>
      <c r="I2090" s="1">
        <v>45369</v>
      </c>
      <c r="J2090" t="str">
        <f t="shared" si="32"/>
        <v>Feb-2024</v>
      </c>
    </row>
    <row r="2091" spans="1:10">
      <c r="A2091">
        <v>2090</v>
      </c>
      <c r="B2091">
        <v>17601</v>
      </c>
      <c r="C2091" t="s">
        <v>18</v>
      </c>
      <c r="D2091">
        <v>22491.360000000001</v>
      </c>
      <c r="E2091" t="s">
        <v>19</v>
      </c>
      <c r="F2091">
        <v>15</v>
      </c>
      <c r="G2091" t="s">
        <v>21</v>
      </c>
      <c r="H2091" s="1">
        <v>45552</v>
      </c>
      <c r="I2091" s="1">
        <v>45567</v>
      </c>
      <c r="J2091" t="str">
        <f t="shared" si="32"/>
        <v>Sep-2024</v>
      </c>
    </row>
    <row r="2092" spans="1:10">
      <c r="A2092">
        <v>2091</v>
      </c>
      <c r="B2092">
        <v>12373</v>
      </c>
      <c r="C2092" t="s">
        <v>18</v>
      </c>
      <c r="D2092">
        <v>148103.48000000001</v>
      </c>
      <c r="E2092" t="s">
        <v>16</v>
      </c>
      <c r="F2092">
        <v>43</v>
      </c>
      <c r="G2092" t="s">
        <v>25</v>
      </c>
      <c r="H2092" s="1">
        <v>45471</v>
      </c>
      <c r="I2092" s="1">
        <v>45514</v>
      </c>
      <c r="J2092" t="str">
        <f t="shared" si="32"/>
        <v>Jun-2024</v>
      </c>
    </row>
    <row r="2093" spans="1:10">
      <c r="A2093">
        <v>2092</v>
      </c>
      <c r="B2093">
        <v>16842</v>
      </c>
      <c r="C2093" t="s">
        <v>23</v>
      </c>
      <c r="D2093">
        <v>198976.97</v>
      </c>
      <c r="E2093" t="s">
        <v>16</v>
      </c>
      <c r="F2093">
        <v>36</v>
      </c>
      <c r="G2093" t="s">
        <v>20</v>
      </c>
      <c r="H2093" s="1">
        <v>45587</v>
      </c>
      <c r="I2093" s="1">
        <v>45623</v>
      </c>
      <c r="J2093" t="str">
        <f t="shared" si="32"/>
        <v>Oct-2024</v>
      </c>
    </row>
    <row r="2094" spans="1:10">
      <c r="A2094">
        <v>2093</v>
      </c>
      <c r="B2094">
        <v>18533</v>
      </c>
      <c r="C2094" t="s">
        <v>18</v>
      </c>
      <c r="D2094">
        <v>164732.03</v>
      </c>
      <c r="E2094" t="s">
        <v>19</v>
      </c>
      <c r="F2094">
        <v>12</v>
      </c>
      <c r="G2094" t="s">
        <v>25</v>
      </c>
      <c r="H2094" s="1">
        <v>45430</v>
      </c>
      <c r="I2094" s="1">
        <v>45442</v>
      </c>
      <c r="J2094" t="str">
        <f t="shared" si="32"/>
        <v>May-2024</v>
      </c>
    </row>
    <row r="2095" spans="1:10">
      <c r="A2095">
        <v>2094</v>
      </c>
      <c r="B2095">
        <v>15098</v>
      </c>
      <c r="C2095" t="s">
        <v>23</v>
      </c>
      <c r="D2095">
        <v>113362.19</v>
      </c>
      <c r="E2095" t="s">
        <v>16</v>
      </c>
      <c r="F2095">
        <v>21</v>
      </c>
      <c r="G2095" t="s">
        <v>25</v>
      </c>
      <c r="H2095" s="1">
        <v>45625</v>
      </c>
      <c r="I2095" s="1">
        <v>45646</v>
      </c>
      <c r="J2095" t="str">
        <f t="shared" si="32"/>
        <v>Nov-2024</v>
      </c>
    </row>
    <row r="2096" spans="1:10">
      <c r="A2096">
        <v>2095</v>
      </c>
      <c r="B2096">
        <v>14723</v>
      </c>
      <c r="C2096" t="s">
        <v>23</v>
      </c>
      <c r="D2096">
        <v>99524.56</v>
      </c>
      <c r="E2096" t="s">
        <v>16</v>
      </c>
      <c r="F2096">
        <v>31</v>
      </c>
      <c r="G2096" t="s">
        <v>17</v>
      </c>
      <c r="H2096" s="1">
        <v>45539</v>
      </c>
      <c r="I2096" s="1">
        <v>45570</v>
      </c>
      <c r="J2096" t="str">
        <f t="shared" si="32"/>
        <v>Sep-2024</v>
      </c>
    </row>
    <row r="2097" spans="1:10">
      <c r="A2097">
        <v>2096</v>
      </c>
      <c r="B2097">
        <v>12818</v>
      </c>
      <c r="C2097" t="s">
        <v>18</v>
      </c>
      <c r="D2097">
        <v>167830.84</v>
      </c>
      <c r="E2097" t="s">
        <v>16</v>
      </c>
      <c r="F2097">
        <v>29</v>
      </c>
      <c r="G2097" t="s">
        <v>17</v>
      </c>
      <c r="H2097" s="1">
        <v>45532</v>
      </c>
      <c r="I2097" s="1">
        <v>45561</v>
      </c>
      <c r="J2097" t="str">
        <f t="shared" si="32"/>
        <v>Aug-2024</v>
      </c>
    </row>
    <row r="2098" spans="1:10">
      <c r="A2098">
        <v>2097</v>
      </c>
      <c r="B2098">
        <v>12925</v>
      </c>
      <c r="C2098" t="s">
        <v>18</v>
      </c>
      <c r="D2098">
        <v>187514.95</v>
      </c>
      <c r="E2098" t="s">
        <v>16</v>
      </c>
      <c r="F2098">
        <v>16</v>
      </c>
      <c r="G2098" t="s">
        <v>25</v>
      </c>
      <c r="H2098" s="1">
        <v>45397</v>
      </c>
      <c r="I2098" s="1">
        <v>45413</v>
      </c>
      <c r="J2098" t="str">
        <f t="shared" si="32"/>
        <v>Apr-2024</v>
      </c>
    </row>
    <row r="2099" spans="1:10">
      <c r="A2099">
        <v>2098</v>
      </c>
      <c r="B2099">
        <v>19464</v>
      </c>
      <c r="C2099" t="s">
        <v>23</v>
      </c>
      <c r="D2099">
        <v>197895.27</v>
      </c>
      <c r="E2099" t="s">
        <v>16</v>
      </c>
      <c r="F2099">
        <v>39</v>
      </c>
      <c r="G2099" t="s">
        <v>25</v>
      </c>
      <c r="H2099" s="1">
        <v>45464</v>
      </c>
      <c r="I2099" s="1">
        <v>45503</v>
      </c>
      <c r="J2099" t="str">
        <f t="shared" si="32"/>
        <v>Jun-2024</v>
      </c>
    </row>
    <row r="2100" spans="1:10">
      <c r="A2100">
        <v>2099</v>
      </c>
      <c r="B2100">
        <v>10709</v>
      </c>
      <c r="C2100" t="s">
        <v>23</v>
      </c>
      <c r="D2100">
        <v>82325.149999999994</v>
      </c>
      <c r="E2100" t="s">
        <v>16</v>
      </c>
      <c r="F2100">
        <v>14</v>
      </c>
      <c r="G2100" t="s">
        <v>25</v>
      </c>
      <c r="H2100" s="1">
        <v>45340</v>
      </c>
      <c r="I2100" s="1">
        <v>45354</v>
      </c>
      <c r="J2100" t="str">
        <f t="shared" si="32"/>
        <v>Feb-2024</v>
      </c>
    </row>
    <row r="2101" spans="1:10">
      <c r="A2101">
        <v>2100</v>
      </c>
      <c r="B2101">
        <v>16992</v>
      </c>
      <c r="C2101" t="s">
        <v>23</v>
      </c>
      <c r="D2101">
        <v>198228.91</v>
      </c>
      <c r="E2101" t="s">
        <v>16</v>
      </c>
      <c r="F2101">
        <v>36</v>
      </c>
      <c r="G2101" t="s">
        <v>17</v>
      </c>
      <c r="H2101" s="1">
        <v>45414</v>
      </c>
      <c r="I2101" s="1">
        <v>45450</v>
      </c>
      <c r="J2101" t="str">
        <f t="shared" si="32"/>
        <v>May-2024</v>
      </c>
    </row>
    <row r="2102" spans="1:10">
      <c r="A2102">
        <v>2101</v>
      </c>
      <c r="B2102">
        <v>10738</v>
      </c>
      <c r="C2102" t="s">
        <v>23</v>
      </c>
      <c r="D2102">
        <v>35405.620000000003</v>
      </c>
      <c r="E2102" t="s">
        <v>16</v>
      </c>
      <c r="F2102">
        <v>25</v>
      </c>
      <c r="G2102" t="s">
        <v>17</v>
      </c>
      <c r="H2102" s="1">
        <v>45326</v>
      </c>
      <c r="I2102" s="1">
        <v>45351</v>
      </c>
      <c r="J2102" t="str">
        <f t="shared" si="32"/>
        <v>Feb-2024</v>
      </c>
    </row>
    <row r="2103" spans="1:10">
      <c r="A2103">
        <v>2102</v>
      </c>
      <c r="B2103">
        <v>19970</v>
      </c>
      <c r="C2103" t="s">
        <v>18</v>
      </c>
      <c r="D2103">
        <v>54442.21</v>
      </c>
      <c r="E2103" t="s">
        <v>19</v>
      </c>
      <c r="F2103">
        <v>2</v>
      </c>
      <c r="G2103" t="s">
        <v>21</v>
      </c>
      <c r="H2103" s="1">
        <v>45397</v>
      </c>
      <c r="I2103" s="1">
        <v>45399</v>
      </c>
      <c r="J2103" t="str">
        <f t="shared" si="32"/>
        <v>Apr-2024</v>
      </c>
    </row>
    <row r="2104" spans="1:10">
      <c r="A2104">
        <v>2103</v>
      </c>
      <c r="B2104">
        <v>14590</v>
      </c>
      <c r="C2104" t="s">
        <v>22</v>
      </c>
      <c r="D2104">
        <v>22358.14</v>
      </c>
      <c r="E2104" t="s">
        <v>16</v>
      </c>
      <c r="F2104">
        <v>43</v>
      </c>
      <c r="G2104" t="s">
        <v>21</v>
      </c>
      <c r="H2104" s="1">
        <v>45619</v>
      </c>
      <c r="I2104" s="1">
        <v>45662</v>
      </c>
      <c r="J2104" t="str">
        <f t="shared" si="32"/>
        <v>Nov-2024</v>
      </c>
    </row>
    <row r="2105" spans="1:10">
      <c r="A2105">
        <v>2104</v>
      </c>
      <c r="B2105">
        <v>16087</v>
      </c>
      <c r="C2105" t="s">
        <v>23</v>
      </c>
      <c r="D2105">
        <v>57989.01</v>
      </c>
      <c r="E2105" t="s">
        <v>16</v>
      </c>
      <c r="F2105">
        <v>25</v>
      </c>
      <c r="G2105" t="s">
        <v>25</v>
      </c>
      <c r="H2105" s="1">
        <v>45487</v>
      </c>
      <c r="I2105" s="1">
        <v>45512</v>
      </c>
      <c r="J2105" t="str">
        <f t="shared" si="32"/>
        <v>Jul-2024</v>
      </c>
    </row>
    <row r="2106" spans="1:10">
      <c r="A2106">
        <v>2105</v>
      </c>
      <c r="B2106">
        <v>13718</v>
      </c>
      <c r="C2106" t="s">
        <v>18</v>
      </c>
      <c r="D2106">
        <v>154747.82</v>
      </c>
      <c r="E2106" t="s">
        <v>16</v>
      </c>
      <c r="F2106">
        <v>28</v>
      </c>
      <c r="G2106" t="s">
        <v>20</v>
      </c>
      <c r="H2106" s="1">
        <v>45400</v>
      </c>
      <c r="I2106" s="1">
        <v>45428</v>
      </c>
      <c r="J2106" t="str">
        <f t="shared" si="32"/>
        <v>Apr-2024</v>
      </c>
    </row>
    <row r="2107" spans="1:10">
      <c r="A2107">
        <v>2106</v>
      </c>
      <c r="B2107">
        <v>18201</v>
      </c>
      <c r="C2107" t="s">
        <v>15</v>
      </c>
      <c r="D2107">
        <v>171320.25</v>
      </c>
      <c r="E2107" t="s">
        <v>19</v>
      </c>
      <c r="F2107">
        <v>19</v>
      </c>
      <c r="G2107" t="s">
        <v>20</v>
      </c>
      <c r="H2107" s="1">
        <v>45416</v>
      </c>
      <c r="I2107" s="1">
        <v>45435</v>
      </c>
      <c r="J2107" t="str">
        <f t="shared" si="32"/>
        <v>May-2024</v>
      </c>
    </row>
    <row r="2108" spans="1:10">
      <c r="A2108">
        <v>2107</v>
      </c>
      <c r="B2108">
        <v>15081</v>
      </c>
      <c r="C2108" t="s">
        <v>15</v>
      </c>
      <c r="D2108">
        <v>156884.07</v>
      </c>
      <c r="E2108" t="s">
        <v>19</v>
      </c>
      <c r="F2108">
        <v>27</v>
      </c>
      <c r="G2108" t="s">
        <v>17</v>
      </c>
      <c r="H2108" s="1">
        <v>45618</v>
      </c>
      <c r="I2108" s="1">
        <v>45645</v>
      </c>
      <c r="J2108" t="str">
        <f t="shared" si="32"/>
        <v>Nov-2024</v>
      </c>
    </row>
    <row r="2109" spans="1:10">
      <c r="A2109">
        <v>2108</v>
      </c>
      <c r="B2109">
        <v>19929</v>
      </c>
      <c r="C2109" t="s">
        <v>23</v>
      </c>
      <c r="D2109">
        <v>128057.83</v>
      </c>
      <c r="E2109" t="s">
        <v>16</v>
      </c>
      <c r="F2109">
        <v>30</v>
      </c>
      <c r="G2109" t="s">
        <v>17</v>
      </c>
      <c r="H2109" s="1">
        <v>45586</v>
      </c>
      <c r="I2109" s="1">
        <v>45616</v>
      </c>
      <c r="J2109" t="str">
        <f t="shared" si="32"/>
        <v>Oct-2024</v>
      </c>
    </row>
    <row r="2110" spans="1:10">
      <c r="A2110">
        <v>2109</v>
      </c>
      <c r="B2110">
        <v>12578</v>
      </c>
      <c r="C2110" t="s">
        <v>22</v>
      </c>
      <c r="D2110">
        <v>105223.47</v>
      </c>
      <c r="E2110" t="s">
        <v>16</v>
      </c>
      <c r="F2110">
        <v>9</v>
      </c>
      <c r="G2110" t="s">
        <v>17</v>
      </c>
      <c r="H2110" s="1">
        <v>45638</v>
      </c>
      <c r="I2110" s="1">
        <v>45647</v>
      </c>
      <c r="J2110" t="str">
        <f t="shared" si="32"/>
        <v>Dec-2024</v>
      </c>
    </row>
    <row r="2111" spans="1:10">
      <c r="A2111">
        <v>2110</v>
      </c>
      <c r="B2111">
        <v>11558</v>
      </c>
      <c r="C2111" t="s">
        <v>23</v>
      </c>
      <c r="D2111">
        <v>143197.34</v>
      </c>
      <c r="E2111" t="s">
        <v>19</v>
      </c>
      <c r="F2111">
        <v>27</v>
      </c>
      <c r="G2111" t="s">
        <v>25</v>
      </c>
      <c r="H2111" s="1">
        <v>45328</v>
      </c>
      <c r="I2111" s="1">
        <v>45355</v>
      </c>
      <c r="J2111" t="str">
        <f t="shared" si="32"/>
        <v>Feb-2024</v>
      </c>
    </row>
    <row r="2112" spans="1:10">
      <c r="A2112">
        <v>2111</v>
      </c>
      <c r="B2112">
        <v>14000</v>
      </c>
      <c r="C2112" t="s">
        <v>23</v>
      </c>
      <c r="D2112">
        <v>81212.539999999994</v>
      </c>
      <c r="E2112" t="s">
        <v>16</v>
      </c>
      <c r="F2112">
        <v>6</v>
      </c>
      <c r="G2112" t="s">
        <v>20</v>
      </c>
      <c r="H2112" s="1">
        <v>45479</v>
      </c>
      <c r="I2112" s="1">
        <v>45485</v>
      </c>
      <c r="J2112" t="str">
        <f t="shared" si="32"/>
        <v>Jul-2024</v>
      </c>
    </row>
    <row r="2113" spans="1:10">
      <c r="A2113">
        <v>2112</v>
      </c>
      <c r="B2113">
        <v>14545</v>
      </c>
      <c r="C2113" t="s">
        <v>23</v>
      </c>
      <c r="D2113">
        <v>169055.13</v>
      </c>
      <c r="E2113" t="s">
        <v>16</v>
      </c>
      <c r="F2113">
        <v>34</v>
      </c>
      <c r="G2113" t="s">
        <v>21</v>
      </c>
      <c r="H2113" s="1">
        <v>45628</v>
      </c>
      <c r="I2113" s="1">
        <v>45662</v>
      </c>
      <c r="J2113" t="str">
        <f t="shared" si="32"/>
        <v>Dec-2024</v>
      </c>
    </row>
    <row r="2114" spans="1:10">
      <c r="A2114">
        <v>2113</v>
      </c>
      <c r="B2114">
        <v>15339</v>
      </c>
      <c r="C2114" t="s">
        <v>23</v>
      </c>
      <c r="D2114">
        <v>137052.07</v>
      </c>
      <c r="E2114" t="s">
        <v>24</v>
      </c>
      <c r="G2114" t="s">
        <v>25</v>
      </c>
      <c r="H2114" s="1">
        <v>45314</v>
      </c>
      <c r="J2114" t="str">
        <f t="shared" si="32"/>
        <v>Jan-2024</v>
      </c>
    </row>
    <row r="2115" spans="1:10">
      <c r="A2115">
        <v>2114</v>
      </c>
      <c r="B2115">
        <v>19056</v>
      </c>
      <c r="C2115" t="s">
        <v>23</v>
      </c>
      <c r="D2115">
        <v>141071.92000000001</v>
      </c>
      <c r="E2115" t="s">
        <v>16</v>
      </c>
      <c r="F2115">
        <v>6</v>
      </c>
      <c r="G2115" t="s">
        <v>21</v>
      </c>
      <c r="H2115" s="1">
        <v>45552</v>
      </c>
      <c r="I2115" s="1">
        <v>45558</v>
      </c>
      <c r="J2115" t="str">
        <f t="shared" ref="J2115:J2178" si="33">TEXT(H2115,"mmm-yyyy")</f>
        <v>Sep-2024</v>
      </c>
    </row>
    <row r="2116" spans="1:10">
      <c r="A2116">
        <v>2115</v>
      </c>
      <c r="B2116">
        <v>19992</v>
      </c>
      <c r="C2116" t="s">
        <v>23</v>
      </c>
      <c r="D2116">
        <v>109507.52</v>
      </c>
      <c r="E2116" t="s">
        <v>24</v>
      </c>
      <c r="G2116" t="s">
        <v>21</v>
      </c>
      <c r="H2116" s="1">
        <v>45485</v>
      </c>
      <c r="J2116" t="str">
        <f t="shared" si="33"/>
        <v>Jul-2024</v>
      </c>
    </row>
    <row r="2117" spans="1:10">
      <c r="A2117">
        <v>2116</v>
      </c>
      <c r="B2117">
        <v>12716</v>
      </c>
      <c r="C2117" t="s">
        <v>23</v>
      </c>
      <c r="D2117">
        <v>177619.65</v>
      </c>
      <c r="E2117" t="s">
        <v>19</v>
      </c>
      <c r="F2117">
        <v>14</v>
      </c>
      <c r="G2117" t="s">
        <v>25</v>
      </c>
      <c r="H2117" s="1">
        <v>45443</v>
      </c>
      <c r="I2117" s="1">
        <v>45457</v>
      </c>
      <c r="J2117" t="str">
        <f t="shared" si="33"/>
        <v>May-2024</v>
      </c>
    </row>
    <row r="2118" spans="1:10">
      <c r="A2118">
        <v>2117</v>
      </c>
      <c r="B2118">
        <v>14302</v>
      </c>
      <c r="C2118" t="s">
        <v>15</v>
      </c>
      <c r="D2118">
        <v>54142.87</v>
      </c>
      <c r="E2118" t="s">
        <v>16</v>
      </c>
      <c r="F2118">
        <v>18</v>
      </c>
      <c r="G2118" t="s">
        <v>21</v>
      </c>
      <c r="H2118" s="1">
        <v>45309</v>
      </c>
      <c r="I2118" s="1">
        <v>45327</v>
      </c>
      <c r="J2118" t="str">
        <f t="shared" si="33"/>
        <v>Jan-2024</v>
      </c>
    </row>
    <row r="2119" spans="1:10">
      <c r="A2119">
        <v>2118</v>
      </c>
      <c r="B2119">
        <v>11809</v>
      </c>
      <c r="C2119" t="s">
        <v>15</v>
      </c>
      <c r="D2119">
        <v>79323.789999999994</v>
      </c>
      <c r="E2119" t="s">
        <v>24</v>
      </c>
      <c r="G2119" t="s">
        <v>20</v>
      </c>
      <c r="H2119" s="1">
        <v>45318</v>
      </c>
      <c r="J2119" t="str">
        <f t="shared" si="33"/>
        <v>Jan-2024</v>
      </c>
    </row>
    <row r="2120" spans="1:10">
      <c r="A2120">
        <v>2119</v>
      </c>
      <c r="B2120">
        <v>15830</v>
      </c>
      <c r="C2120" t="s">
        <v>23</v>
      </c>
      <c r="D2120">
        <v>156640.29999999999</v>
      </c>
      <c r="E2120" t="s">
        <v>19</v>
      </c>
      <c r="F2120">
        <v>26</v>
      </c>
      <c r="G2120" t="s">
        <v>21</v>
      </c>
      <c r="H2120" s="1">
        <v>45315</v>
      </c>
      <c r="I2120" s="1">
        <v>45341</v>
      </c>
      <c r="J2120" t="str">
        <f t="shared" si="33"/>
        <v>Jan-2024</v>
      </c>
    </row>
    <row r="2121" spans="1:10">
      <c r="A2121">
        <v>2120</v>
      </c>
      <c r="B2121">
        <v>11997</v>
      </c>
      <c r="C2121" t="s">
        <v>15</v>
      </c>
      <c r="D2121">
        <v>101086.03</v>
      </c>
      <c r="E2121" t="s">
        <v>16</v>
      </c>
      <c r="F2121">
        <v>3</v>
      </c>
      <c r="G2121" t="s">
        <v>20</v>
      </c>
      <c r="H2121" s="1">
        <v>45320</v>
      </c>
      <c r="I2121" s="1">
        <v>45323</v>
      </c>
      <c r="J2121" t="str">
        <f t="shared" si="33"/>
        <v>Jan-2024</v>
      </c>
    </row>
    <row r="2122" spans="1:10">
      <c r="A2122">
        <v>2121</v>
      </c>
      <c r="B2122">
        <v>12931</v>
      </c>
      <c r="C2122" t="s">
        <v>15</v>
      </c>
      <c r="D2122">
        <v>178396.73</v>
      </c>
      <c r="E2122" t="s">
        <v>16</v>
      </c>
      <c r="F2122">
        <v>25</v>
      </c>
      <c r="G2122" t="s">
        <v>20</v>
      </c>
      <c r="H2122" s="1">
        <v>45430</v>
      </c>
      <c r="I2122" s="1">
        <v>45455</v>
      </c>
      <c r="J2122" t="str">
        <f t="shared" si="33"/>
        <v>May-2024</v>
      </c>
    </row>
    <row r="2123" spans="1:10">
      <c r="A2123">
        <v>2122</v>
      </c>
      <c r="B2123">
        <v>12130</v>
      </c>
      <c r="C2123" t="s">
        <v>18</v>
      </c>
      <c r="D2123">
        <v>72547.87</v>
      </c>
      <c r="E2123" t="s">
        <v>16</v>
      </c>
      <c r="F2123">
        <v>37</v>
      </c>
      <c r="G2123" t="s">
        <v>20</v>
      </c>
      <c r="H2123" s="1">
        <v>45437</v>
      </c>
      <c r="I2123" s="1">
        <v>45474</v>
      </c>
      <c r="J2123" t="str">
        <f t="shared" si="33"/>
        <v>May-2024</v>
      </c>
    </row>
    <row r="2124" spans="1:10">
      <c r="A2124">
        <v>2123</v>
      </c>
      <c r="B2124">
        <v>14412</v>
      </c>
      <c r="C2124" t="s">
        <v>23</v>
      </c>
      <c r="D2124">
        <v>77019.38</v>
      </c>
      <c r="E2124" t="s">
        <v>16</v>
      </c>
      <c r="F2124">
        <v>26</v>
      </c>
      <c r="G2124" t="s">
        <v>17</v>
      </c>
      <c r="H2124" s="1">
        <v>45414</v>
      </c>
      <c r="I2124" s="1">
        <v>45440</v>
      </c>
      <c r="J2124" t="str">
        <f t="shared" si="33"/>
        <v>May-2024</v>
      </c>
    </row>
    <row r="2125" spans="1:10">
      <c r="A2125">
        <v>2124</v>
      </c>
      <c r="B2125">
        <v>16513</v>
      </c>
      <c r="C2125" t="s">
        <v>18</v>
      </c>
      <c r="D2125">
        <v>178303.48</v>
      </c>
      <c r="E2125" t="s">
        <v>19</v>
      </c>
      <c r="F2125">
        <v>35</v>
      </c>
      <c r="G2125" t="s">
        <v>21</v>
      </c>
      <c r="H2125" s="1">
        <v>45419</v>
      </c>
      <c r="I2125" s="1">
        <v>45454</v>
      </c>
      <c r="J2125" t="str">
        <f t="shared" si="33"/>
        <v>May-2024</v>
      </c>
    </row>
    <row r="2126" spans="1:10">
      <c r="A2126">
        <v>2125</v>
      </c>
      <c r="B2126">
        <v>12796</v>
      </c>
      <c r="C2126" t="s">
        <v>22</v>
      </c>
      <c r="D2126">
        <v>95552.21</v>
      </c>
      <c r="E2126" t="s">
        <v>16</v>
      </c>
      <c r="F2126">
        <v>13</v>
      </c>
      <c r="G2126" t="s">
        <v>25</v>
      </c>
      <c r="H2126" s="1">
        <v>45408</v>
      </c>
      <c r="I2126" s="1">
        <v>45421</v>
      </c>
      <c r="J2126" t="str">
        <f t="shared" si="33"/>
        <v>Apr-2024</v>
      </c>
    </row>
    <row r="2127" spans="1:10">
      <c r="A2127">
        <v>2126</v>
      </c>
      <c r="B2127">
        <v>17748</v>
      </c>
      <c r="C2127" t="s">
        <v>18</v>
      </c>
      <c r="D2127">
        <v>105644.29</v>
      </c>
      <c r="E2127" t="s">
        <v>16</v>
      </c>
      <c r="F2127">
        <v>20</v>
      </c>
      <c r="G2127" t="s">
        <v>25</v>
      </c>
      <c r="H2127" s="1">
        <v>45423</v>
      </c>
      <c r="I2127" s="1">
        <v>45443</v>
      </c>
      <c r="J2127" t="str">
        <f t="shared" si="33"/>
        <v>May-2024</v>
      </c>
    </row>
    <row r="2128" spans="1:10">
      <c r="A2128">
        <v>2127</v>
      </c>
      <c r="B2128">
        <v>16323</v>
      </c>
      <c r="C2128" t="s">
        <v>23</v>
      </c>
      <c r="D2128">
        <v>69888.92</v>
      </c>
      <c r="E2128" t="s">
        <v>16</v>
      </c>
      <c r="F2128">
        <v>43</v>
      </c>
      <c r="G2128" t="s">
        <v>21</v>
      </c>
      <c r="H2128" s="1">
        <v>45580</v>
      </c>
      <c r="I2128" s="1">
        <v>45623</v>
      </c>
      <c r="J2128" t="str">
        <f t="shared" si="33"/>
        <v>Oct-2024</v>
      </c>
    </row>
    <row r="2129" spans="1:10">
      <c r="A2129">
        <v>2128</v>
      </c>
      <c r="B2129">
        <v>16745</v>
      </c>
      <c r="C2129" t="s">
        <v>18</v>
      </c>
      <c r="D2129">
        <v>58950.64</v>
      </c>
      <c r="E2129" t="s">
        <v>19</v>
      </c>
      <c r="F2129">
        <v>31</v>
      </c>
      <c r="G2129" t="s">
        <v>17</v>
      </c>
      <c r="H2129" s="1">
        <v>45497</v>
      </c>
      <c r="I2129" s="1">
        <v>45528</v>
      </c>
      <c r="J2129" t="str">
        <f t="shared" si="33"/>
        <v>Jul-2024</v>
      </c>
    </row>
    <row r="2130" spans="1:10">
      <c r="A2130">
        <v>2129</v>
      </c>
      <c r="B2130">
        <v>15202</v>
      </c>
      <c r="C2130" t="s">
        <v>18</v>
      </c>
      <c r="D2130">
        <v>132910</v>
      </c>
      <c r="E2130" t="s">
        <v>16</v>
      </c>
      <c r="F2130">
        <v>38</v>
      </c>
      <c r="G2130" t="s">
        <v>17</v>
      </c>
      <c r="H2130" s="1">
        <v>45527</v>
      </c>
      <c r="I2130" s="1">
        <v>45565</v>
      </c>
      <c r="J2130" t="str">
        <f t="shared" si="33"/>
        <v>Aug-2024</v>
      </c>
    </row>
    <row r="2131" spans="1:10">
      <c r="A2131">
        <v>2130</v>
      </c>
      <c r="B2131">
        <v>11555</v>
      </c>
      <c r="C2131" t="s">
        <v>18</v>
      </c>
      <c r="D2131">
        <v>28368.93</v>
      </c>
      <c r="E2131" t="s">
        <v>16</v>
      </c>
      <c r="F2131">
        <v>44</v>
      </c>
      <c r="G2131" t="s">
        <v>20</v>
      </c>
      <c r="H2131" s="1">
        <v>45333</v>
      </c>
      <c r="I2131" s="1">
        <v>45377</v>
      </c>
      <c r="J2131" t="str">
        <f t="shared" si="33"/>
        <v>Feb-2024</v>
      </c>
    </row>
    <row r="2132" spans="1:10">
      <c r="A2132">
        <v>2131</v>
      </c>
      <c r="B2132">
        <v>18181</v>
      </c>
      <c r="C2132" t="s">
        <v>23</v>
      </c>
      <c r="D2132">
        <v>176458.17</v>
      </c>
      <c r="E2132" t="s">
        <v>16</v>
      </c>
      <c r="F2132">
        <v>2</v>
      </c>
      <c r="G2132" t="s">
        <v>21</v>
      </c>
      <c r="H2132" s="1">
        <v>45451</v>
      </c>
      <c r="I2132" s="1">
        <v>45453</v>
      </c>
      <c r="J2132" t="str">
        <f t="shared" si="33"/>
        <v>Jun-2024</v>
      </c>
    </row>
    <row r="2133" spans="1:10">
      <c r="A2133">
        <v>2132</v>
      </c>
      <c r="B2133">
        <v>14443</v>
      </c>
      <c r="C2133" t="s">
        <v>23</v>
      </c>
      <c r="D2133">
        <v>156944.60999999999</v>
      </c>
      <c r="E2133" t="s">
        <v>16</v>
      </c>
      <c r="F2133">
        <v>4</v>
      </c>
      <c r="G2133" t="s">
        <v>21</v>
      </c>
      <c r="H2133" s="1">
        <v>45543</v>
      </c>
      <c r="I2133" s="1">
        <v>45547</v>
      </c>
      <c r="J2133" t="str">
        <f t="shared" si="33"/>
        <v>Sep-2024</v>
      </c>
    </row>
    <row r="2134" spans="1:10">
      <c r="A2134">
        <v>2133</v>
      </c>
      <c r="B2134">
        <v>18522</v>
      </c>
      <c r="C2134" t="s">
        <v>15</v>
      </c>
      <c r="D2134">
        <v>42195.91</v>
      </c>
      <c r="E2134" t="s">
        <v>16</v>
      </c>
      <c r="F2134">
        <v>27</v>
      </c>
      <c r="G2134" t="s">
        <v>25</v>
      </c>
      <c r="H2134" s="1">
        <v>45470</v>
      </c>
      <c r="I2134" s="1">
        <v>45497</v>
      </c>
      <c r="J2134" t="str">
        <f t="shared" si="33"/>
        <v>Jun-2024</v>
      </c>
    </row>
    <row r="2135" spans="1:10">
      <c r="A2135">
        <v>2134</v>
      </c>
      <c r="B2135">
        <v>14705</v>
      </c>
      <c r="C2135" t="s">
        <v>15</v>
      </c>
      <c r="D2135">
        <v>140333.89000000001</v>
      </c>
      <c r="E2135" t="s">
        <v>16</v>
      </c>
      <c r="F2135">
        <v>16</v>
      </c>
      <c r="G2135" t="s">
        <v>21</v>
      </c>
      <c r="H2135" s="1">
        <v>45416</v>
      </c>
      <c r="I2135" s="1">
        <v>45432</v>
      </c>
      <c r="J2135" t="str">
        <f t="shared" si="33"/>
        <v>May-2024</v>
      </c>
    </row>
    <row r="2136" spans="1:10">
      <c r="A2136">
        <v>2135</v>
      </c>
      <c r="B2136">
        <v>14839</v>
      </c>
      <c r="C2136" t="s">
        <v>23</v>
      </c>
      <c r="D2136">
        <v>122513.42</v>
      </c>
      <c r="E2136" t="s">
        <v>16</v>
      </c>
      <c r="F2136">
        <v>29</v>
      </c>
      <c r="G2136" t="s">
        <v>17</v>
      </c>
      <c r="H2136" s="1">
        <v>45551</v>
      </c>
      <c r="I2136" s="1">
        <v>45580</v>
      </c>
      <c r="J2136" t="str">
        <f t="shared" si="33"/>
        <v>Sep-2024</v>
      </c>
    </row>
    <row r="2137" spans="1:10">
      <c r="A2137">
        <v>2136</v>
      </c>
      <c r="B2137">
        <v>13958</v>
      </c>
      <c r="C2137" t="s">
        <v>22</v>
      </c>
      <c r="D2137">
        <v>40984.33</v>
      </c>
      <c r="E2137" t="s">
        <v>16</v>
      </c>
      <c r="F2137">
        <v>5</v>
      </c>
      <c r="G2137" t="s">
        <v>21</v>
      </c>
      <c r="H2137" s="1">
        <v>45567</v>
      </c>
      <c r="I2137" s="1">
        <v>45572</v>
      </c>
      <c r="J2137" t="str">
        <f t="shared" si="33"/>
        <v>Oct-2024</v>
      </c>
    </row>
    <row r="2138" spans="1:10">
      <c r="A2138">
        <v>2137</v>
      </c>
      <c r="B2138">
        <v>14664</v>
      </c>
      <c r="C2138" t="s">
        <v>23</v>
      </c>
      <c r="D2138">
        <v>58274.68</v>
      </c>
      <c r="E2138" t="s">
        <v>24</v>
      </c>
      <c r="G2138" t="s">
        <v>25</v>
      </c>
      <c r="H2138" s="1">
        <v>45504</v>
      </c>
      <c r="J2138" t="str">
        <f t="shared" si="33"/>
        <v>Jul-2024</v>
      </c>
    </row>
    <row r="2139" spans="1:10">
      <c r="A2139">
        <v>2138</v>
      </c>
      <c r="B2139">
        <v>19876</v>
      </c>
      <c r="C2139" t="s">
        <v>18</v>
      </c>
      <c r="D2139">
        <v>84752.37</v>
      </c>
      <c r="E2139" t="s">
        <v>16</v>
      </c>
      <c r="F2139">
        <v>25</v>
      </c>
      <c r="G2139" t="s">
        <v>20</v>
      </c>
      <c r="H2139" s="1">
        <v>45615</v>
      </c>
      <c r="I2139" s="1">
        <v>45640</v>
      </c>
      <c r="J2139" t="str">
        <f t="shared" si="33"/>
        <v>Nov-2024</v>
      </c>
    </row>
    <row r="2140" spans="1:10">
      <c r="A2140">
        <v>2139</v>
      </c>
      <c r="B2140">
        <v>19162</v>
      </c>
      <c r="C2140" t="s">
        <v>18</v>
      </c>
      <c r="D2140">
        <v>141352.32999999999</v>
      </c>
      <c r="E2140" t="s">
        <v>16</v>
      </c>
      <c r="F2140">
        <v>41</v>
      </c>
      <c r="G2140" t="s">
        <v>25</v>
      </c>
      <c r="H2140" s="1">
        <v>45481</v>
      </c>
      <c r="I2140" s="1">
        <v>45522</v>
      </c>
      <c r="J2140" t="str">
        <f t="shared" si="33"/>
        <v>Jul-2024</v>
      </c>
    </row>
    <row r="2141" spans="1:10">
      <c r="A2141">
        <v>2140</v>
      </c>
      <c r="B2141">
        <v>10746</v>
      </c>
      <c r="C2141" t="s">
        <v>15</v>
      </c>
      <c r="D2141">
        <v>129551.06</v>
      </c>
      <c r="E2141" t="s">
        <v>16</v>
      </c>
      <c r="F2141">
        <v>7</v>
      </c>
      <c r="G2141" t="s">
        <v>25</v>
      </c>
      <c r="H2141" s="1">
        <v>45349</v>
      </c>
      <c r="I2141" s="1">
        <v>45356</v>
      </c>
      <c r="J2141" t="str">
        <f t="shared" si="33"/>
        <v>Feb-2024</v>
      </c>
    </row>
    <row r="2142" spans="1:10">
      <c r="A2142">
        <v>2141</v>
      </c>
      <c r="B2142">
        <v>12184</v>
      </c>
      <c r="C2142" t="s">
        <v>22</v>
      </c>
      <c r="D2142">
        <v>108785.8</v>
      </c>
      <c r="E2142" t="s">
        <v>16</v>
      </c>
      <c r="F2142">
        <v>17</v>
      </c>
      <c r="G2142" t="s">
        <v>20</v>
      </c>
      <c r="H2142" s="1">
        <v>45494</v>
      </c>
      <c r="I2142" s="1">
        <v>45511</v>
      </c>
      <c r="J2142" t="str">
        <f t="shared" si="33"/>
        <v>Jul-2024</v>
      </c>
    </row>
    <row r="2143" spans="1:10">
      <c r="A2143">
        <v>2142</v>
      </c>
      <c r="B2143">
        <v>17946</v>
      </c>
      <c r="C2143" t="s">
        <v>23</v>
      </c>
      <c r="D2143">
        <v>154840.06</v>
      </c>
      <c r="E2143" t="s">
        <v>16</v>
      </c>
      <c r="F2143">
        <v>33</v>
      </c>
      <c r="G2143" t="s">
        <v>25</v>
      </c>
      <c r="H2143" s="1">
        <v>45371</v>
      </c>
      <c r="I2143" s="1">
        <v>45404</v>
      </c>
      <c r="J2143" t="str">
        <f t="shared" si="33"/>
        <v>Mar-2024</v>
      </c>
    </row>
    <row r="2144" spans="1:10">
      <c r="A2144">
        <v>2143</v>
      </c>
      <c r="B2144">
        <v>19576</v>
      </c>
      <c r="C2144" t="s">
        <v>15</v>
      </c>
      <c r="D2144">
        <v>152797.85999999999</v>
      </c>
      <c r="E2144" t="s">
        <v>16</v>
      </c>
      <c r="F2144">
        <v>31</v>
      </c>
      <c r="G2144" t="s">
        <v>25</v>
      </c>
      <c r="H2144" s="1">
        <v>45519</v>
      </c>
      <c r="I2144" s="1">
        <v>45550</v>
      </c>
      <c r="J2144" t="str">
        <f t="shared" si="33"/>
        <v>Aug-2024</v>
      </c>
    </row>
    <row r="2145" spans="1:10">
      <c r="A2145">
        <v>2144</v>
      </c>
      <c r="B2145">
        <v>15321</v>
      </c>
      <c r="C2145" t="s">
        <v>23</v>
      </c>
      <c r="D2145">
        <v>125482.54</v>
      </c>
      <c r="E2145" t="s">
        <v>16</v>
      </c>
      <c r="F2145">
        <v>36</v>
      </c>
      <c r="G2145" t="s">
        <v>21</v>
      </c>
      <c r="H2145" s="1">
        <v>45386</v>
      </c>
      <c r="I2145" s="1">
        <v>45422</v>
      </c>
      <c r="J2145" t="str">
        <f t="shared" si="33"/>
        <v>Apr-2024</v>
      </c>
    </row>
    <row r="2146" spans="1:10">
      <c r="A2146">
        <v>2145</v>
      </c>
      <c r="B2146">
        <v>19210</v>
      </c>
      <c r="C2146" t="s">
        <v>18</v>
      </c>
      <c r="D2146">
        <v>158463.07</v>
      </c>
      <c r="E2146" t="s">
        <v>16</v>
      </c>
      <c r="F2146">
        <v>9</v>
      </c>
      <c r="G2146" t="s">
        <v>21</v>
      </c>
      <c r="H2146" s="1">
        <v>45295</v>
      </c>
      <c r="I2146" s="1">
        <v>45304</v>
      </c>
      <c r="J2146" t="str">
        <f t="shared" si="33"/>
        <v>Jan-2024</v>
      </c>
    </row>
    <row r="2147" spans="1:10">
      <c r="A2147">
        <v>2146</v>
      </c>
      <c r="B2147">
        <v>17148</v>
      </c>
      <c r="C2147" t="s">
        <v>18</v>
      </c>
      <c r="D2147">
        <v>70181.36</v>
      </c>
      <c r="E2147" t="s">
        <v>16</v>
      </c>
      <c r="F2147">
        <v>6</v>
      </c>
      <c r="G2147" t="s">
        <v>20</v>
      </c>
      <c r="H2147" s="1">
        <v>45456</v>
      </c>
      <c r="I2147" s="1">
        <v>45462</v>
      </c>
      <c r="J2147" t="str">
        <f t="shared" si="33"/>
        <v>Jun-2024</v>
      </c>
    </row>
    <row r="2148" spans="1:10">
      <c r="A2148">
        <v>2147</v>
      </c>
      <c r="B2148">
        <v>12024</v>
      </c>
      <c r="C2148" t="s">
        <v>18</v>
      </c>
      <c r="D2148">
        <v>176843.66</v>
      </c>
      <c r="E2148" t="s">
        <v>19</v>
      </c>
      <c r="F2148">
        <v>38</v>
      </c>
      <c r="G2148" t="s">
        <v>21</v>
      </c>
      <c r="H2148" s="1">
        <v>45591</v>
      </c>
      <c r="I2148" s="1">
        <v>45629</v>
      </c>
      <c r="J2148" t="str">
        <f t="shared" si="33"/>
        <v>Oct-2024</v>
      </c>
    </row>
    <row r="2149" spans="1:10">
      <c r="A2149">
        <v>2148</v>
      </c>
      <c r="B2149">
        <v>16173</v>
      </c>
      <c r="C2149" t="s">
        <v>23</v>
      </c>
      <c r="D2149">
        <v>124907.47</v>
      </c>
      <c r="E2149" t="s">
        <v>16</v>
      </c>
      <c r="F2149">
        <v>13</v>
      </c>
      <c r="G2149" t="s">
        <v>21</v>
      </c>
      <c r="H2149" s="1">
        <v>45333</v>
      </c>
      <c r="I2149" s="1">
        <v>45346</v>
      </c>
      <c r="J2149" t="str">
        <f t="shared" si="33"/>
        <v>Feb-2024</v>
      </c>
    </row>
    <row r="2150" spans="1:10">
      <c r="A2150">
        <v>2149</v>
      </c>
      <c r="B2150">
        <v>19734</v>
      </c>
      <c r="C2150" t="s">
        <v>15</v>
      </c>
      <c r="D2150">
        <v>165360.89000000001</v>
      </c>
      <c r="E2150" t="s">
        <v>16</v>
      </c>
      <c r="F2150">
        <v>26</v>
      </c>
      <c r="G2150" t="s">
        <v>25</v>
      </c>
      <c r="H2150" s="1">
        <v>45576</v>
      </c>
      <c r="I2150" s="1">
        <v>45602</v>
      </c>
      <c r="J2150" t="str">
        <f t="shared" si="33"/>
        <v>Oct-2024</v>
      </c>
    </row>
    <row r="2151" spans="1:10">
      <c r="A2151">
        <v>2150</v>
      </c>
      <c r="B2151">
        <v>12711</v>
      </c>
      <c r="C2151" t="s">
        <v>23</v>
      </c>
      <c r="D2151">
        <v>111524.43</v>
      </c>
      <c r="E2151" t="s">
        <v>16</v>
      </c>
      <c r="F2151">
        <v>34</v>
      </c>
      <c r="G2151" t="s">
        <v>17</v>
      </c>
      <c r="H2151" s="1">
        <v>45520</v>
      </c>
      <c r="I2151" s="1">
        <v>45554</v>
      </c>
      <c r="J2151" t="str">
        <f t="shared" si="33"/>
        <v>Aug-2024</v>
      </c>
    </row>
    <row r="2152" spans="1:10">
      <c r="A2152">
        <v>2151</v>
      </c>
      <c r="B2152">
        <v>17018</v>
      </c>
      <c r="C2152" t="s">
        <v>23</v>
      </c>
      <c r="D2152">
        <v>47595.46</v>
      </c>
      <c r="E2152" t="s">
        <v>16</v>
      </c>
      <c r="F2152">
        <v>40</v>
      </c>
      <c r="G2152" t="s">
        <v>21</v>
      </c>
      <c r="H2152" s="1">
        <v>45534</v>
      </c>
      <c r="I2152" s="1">
        <v>45574</v>
      </c>
      <c r="J2152" t="str">
        <f t="shared" si="33"/>
        <v>Aug-2024</v>
      </c>
    </row>
    <row r="2153" spans="1:10">
      <c r="A2153">
        <v>2152</v>
      </c>
      <c r="B2153">
        <v>19646</v>
      </c>
      <c r="C2153" t="s">
        <v>18</v>
      </c>
      <c r="D2153">
        <v>110769.98</v>
      </c>
      <c r="E2153" t="s">
        <v>16</v>
      </c>
      <c r="F2153">
        <v>25</v>
      </c>
      <c r="G2153" t="s">
        <v>17</v>
      </c>
      <c r="H2153" s="1">
        <v>45503</v>
      </c>
      <c r="I2153" s="1">
        <v>45528</v>
      </c>
      <c r="J2153" t="str">
        <f t="shared" si="33"/>
        <v>Jul-2024</v>
      </c>
    </row>
    <row r="2154" spans="1:10">
      <c r="A2154">
        <v>2153</v>
      </c>
      <c r="B2154">
        <v>17197</v>
      </c>
      <c r="C2154" t="s">
        <v>23</v>
      </c>
      <c r="D2154">
        <v>77366.77</v>
      </c>
      <c r="E2154" t="s">
        <v>16</v>
      </c>
      <c r="F2154">
        <v>12</v>
      </c>
      <c r="G2154" t="s">
        <v>21</v>
      </c>
      <c r="H2154" s="1">
        <v>45591</v>
      </c>
      <c r="I2154" s="1">
        <v>45603</v>
      </c>
      <c r="J2154" t="str">
        <f t="shared" si="33"/>
        <v>Oct-2024</v>
      </c>
    </row>
    <row r="2155" spans="1:10">
      <c r="A2155">
        <v>2154</v>
      </c>
      <c r="B2155">
        <v>11702</v>
      </c>
      <c r="C2155" t="s">
        <v>15</v>
      </c>
      <c r="D2155">
        <v>141012.31</v>
      </c>
      <c r="E2155" t="s">
        <v>16</v>
      </c>
      <c r="F2155">
        <v>43</v>
      </c>
      <c r="G2155" t="s">
        <v>21</v>
      </c>
      <c r="H2155" s="1">
        <v>45346</v>
      </c>
      <c r="I2155" s="1">
        <v>45389</v>
      </c>
      <c r="J2155" t="str">
        <f t="shared" si="33"/>
        <v>Feb-2024</v>
      </c>
    </row>
    <row r="2156" spans="1:10">
      <c r="A2156">
        <v>2155</v>
      </c>
      <c r="B2156">
        <v>15529</v>
      </c>
      <c r="C2156" t="s">
        <v>23</v>
      </c>
      <c r="D2156">
        <v>97779.79</v>
      </c>
      <c r="E2156" t="s">
        <v>16</v>
      </c>
      <c r="F2156">
        <v>36</v>
      </c>
      <c r="G2156" t="s">
        <v>20</v>
      </c>
      <c r="H2156" s="1">
        <v>45627</v>
      </c>
      <c r="I2156" s="1">
        <v>45663</v>
      </c>
      <c r="J2156" t="str">
        <f t="shared" si="33"/>
        <v>Dec-2024</v>
      </c>
    </row>
    <row r="2157" spans="1:10">
      <c r="A2157">
        <v>2156</v>
      </c>
      <c r="B2157">
        <v>17216</v>
      </c>
      <c r="C2157" t="s">
        <v>23</v>
      </c>
      <c r="D2157">
        <v>168042</v>
      </c>
      <c r="E2157" t="s">
        <v>16</v>
      </c>
      <c r="F2157">
        <v>41</v>
      </c>
      <c r="G2157" t="s">
        <v>20</v>
      </c>
      <c r="H2157" s="1">
        <v>45464</v>
      </c>
      <c r="I2157" s="1">
        <v>45505</v>
      </c>
      <c r="J2157" t="str">
        <f t="shared" si="33"/>
        <v>Jun-2024</v>
      </c>
    </row>
    <row r="2158" spans="1:10">
      <c r="A2158">
        <v>2157</v>
      </c>
      <c r="B2158">
        <v>17655</v>
      </c>
      <c r="C2158" t="s">
        <v>15</v>
      </c>
      <c r="D2158">
        <v>137224.14000000001</v>
      </c>
      <c r="E2158" t="s">
        <v>24</v>
      </c>
      <c r="G2158" t="s">
        <v>20</v>
      </c>
      <c r="H2158" s="1">
        <v>45568</v>
      </c>
      <c r="J2158" t="str">
        <f t="shared" si="33"/>
        <v>Oct-2024</v>
      </c>
    </row>
    <row r="2159" spans="1:10">
      <c r="A2159">
        <v>2158</v>
      </c>
      <c r="B2159">
        <v>15417</v>
      </c>
      <c r="C2159" t="s">
        <v>18</v>
      </c>
      <c r="D2159">
        <v>138486.16</v>
      </c>
      <c r="E2159" t="s">
        <v>16</v>
      </c>
      <c r="F2159">
        <v>9</v>
      </c>
      <c r="G2159" t="s">
        <v>17</v>
      </c>
      <c r="H2159" s="1">
        <v>45625</v>
      </c>
      <c r="I2159" s="1">
        <v>45634</v>
      </c>
      <c r="J2159" t="str">
        <f t="shared" si="33"/>
        <v>Nov-2024</v>
      </c>
    </row>
    <row r="2160" spans="1:10">
      <c r="A2160">
        <v>2159</v>
      </c>
      <c r="B2160">
        <v>16324</v>
      </c>
      <c r="C2160" t="s">
        <v>23</v>
      </c>
      <c r="D2160">
        <v>47345.29</v>
      </c>
      <c r="E2160" t="s">
        <v>16</v>
      </c>
      <c r="F2160">
        <v>24</v>
      </c>
      <c r="G2160" t="s">
        <v>25</v>
      </c>
      <c r="H2160" s="1">
        <v>45520</v>
      </c>
      <c r="I2160" s="1">
        <v>45544</v>
      </c>
      <c r="J2160" t="str">
        <f t="shared" si="33"/>
        <v>Aug-2024</v>
      </c>
    </row>
    <row r="2161" spans="1:10">
      <c r="A2161">
        <v>2160</v>
      </c>
      <c r="B2161">
        <v>13873</v>
      </c>
      <c r="C2161" t="s">
        <v>18</v>
      </c>
      <c r="D2161">
        <v>196928.7</v>
      </c>
      <c r="E2161" t="s">
        <v>19</v>
      </c>
      <c r="F2161">
        <v>21</v>
      </c>
      <c r="G2161" t="s">
        <v>21</v>
      </c>
      <c r="H2161" s="1">
        <v>45321</v>
      </c>
      <c r="I2161" s="1">
        <v>45342</v>
      </c>
      <c r="J2161" t="str">
        <f t="shared" si="33"/>
        <v>Jan-2024</v>
      </c>
    </row>
    <row r="2162" spans="1:10">
      <c r="A2162">
        <v>2161</v>
      </c>
      <c r="B2162">
        <v>18313</v>
      </c>
      <c r="C2162" t="s">
        <v>18</v>
      </c>
      <c r="D2162">
        <v>169126.67</v>
      </c>
      <c r="E2162" t="s">
        <v>16</v>
      </c>
      <c r="F2162">
        <v>33</v>
      </c>
      <c r="G2162" t="s">
        <v>21</v>
      </c>
      <c r="H2162" s="1">
        <v>45314</v>
      </c>
      <c r="I2162" s="1">
        <v>45347</v>
      </c>
      <c r="J2162" t="str">
        <f t="shared" si="33"/>
        <v>Jan-2024</v>
      </c>
    </row>
    <row r="2163" spans="1:10">
      <c r="A2163">
        <v>2162</v>
      </c>
      <c r="B2163">
        <v>19668</v>
      </c>
      <c r="C2163" t="s">
        <v>18</v>
      </c>
      <c r="D2163">
        <v>158855.95000000001</v>
      </c>
      <c r="E2163" t="s">
        <v>16</v>
      </c>
      <c r="F2163">
        <v>12</v>
      </c>
      <c r="G2163" t="s">
        <v>21</v>
      </c>
      <c r="H2163" s="1">
        <v>45296</v>
      </c>
      <c r="I2163" s="1">
        <v>45308</v>
      </c>
      <c r="J2163" t="str">
        <f t="shared" si="33"/>
        <v>Jan-2024</v>
      </c>
    </row>
    <row r="2164" spans="1:10">
      <c r="A2164">
        <v>2163</v>
      </c>
      <c r="B2164">
        <v>10265</v>
      </c>
      <c r="C2164" t="s">
        <v>23</v>
      </c>
      <c r="D2164">
        <v>69391.97</v>
      </c>
      <c r="E2164" t="s">
        <v>16</v>
      </c>
      <c r="F2164">
        <v>8</v>
      </c>
      <c r="G2164" t="s">
        <v>17</v>
      </c>
      <c r="H2164" s="1">
        <v>45354</v>
      </c>
      <c r="I2164" s="1">
        <v>45362</v>
      </c>
      <c r="J2164" t="str">
        <f t="shared" si="33"/>
        <v>Mar-2024</v>
      </c>
    </row>
    <row r="2165" spans="1:10">
      <c r="A2165">
        <v>2164</v>
      </c>
      <c r="B2165">
        <v>18219</v>
      </c>
      <c r="C2165" t="s">
        <v>15</v>
      </c>
      <c r="D2165">
        <v>109448.17</v>
      </c>
      <c r="E2165" t="s">
        <v>16</v>
      </c>
      <c r="F2165">
        <v>31</v>
      </c>
      <c r="G2165" t="s">
        <v>20</v>
      </c>
      <c r="H2165" s="1">
        <v>45512</v>
      </c>
      <c r="I2165" s="1">
        <v>45543</v>
      </c>
      <c r="J2165" t="str">
        <f t="shared" si="33"/>
        <v>Aug-2024</v>
      </c>
    </row>
    <row r="2166" spans="1:10">
      <c r="A2166">
        <v>2165</v>
      </c>
      <c r="B2166">
        <v>15378</v>
      </c>
      <c r="C2166" t="s">
        <v>15</v>
      </c>
      <c r="D2166">
        <v>31735.119999999999</v>
      </c>
      <c r="E2166" t="s">
        <v>16</v>
      </c>
      <c r="F2166">
        <v>40</v>
      </c>
      <c r="G2166" t="s">
        <v>25</v>
      </c>
      <c r="H2166" s="1">
        <v>45606</v>
      </c>
      <c r="I2166" s="1">
        <v>45646</v>
      </c>
      <c r="J2166" t="str">
        <f t="shared" si="33"/>
        <v>Nov-2024</v>
      </c>
    </row>
    <row r="2167" spans="1:10">
      <c r="A2167">
        <v>2166</v>
      </c>
      <c r="B2167">
        <v>12124</v>
      </c>
      <c r="C2167" t="s">
        <v>18</v>
      </c>
      <c r="D2167">
        <v>110002.82</v>
      </c>
      <c r="E2167" t="s">
        <v>19</v>
      </c>
      <c r="F2167">
        <v>14</v>
      </c>
      <c r="G2167" t="s">
        <v>17</v>
      </c>
      <c r="H2167" s="1">
        <v>45373</v>
      </c>
      <c r="I2167" s="1">
        <v>45387</v>
      </c>
      <c r="J2167" t="str">
        <f t="shared" si="33"/>
        <v>Mar-2024</v>
      </c>
    </row>
    <row r="2168" spans="1:10">
      <c r="A2168">
        <v>2167</v>
      </c>
      <c r="B2168">
        <v>10431</v>
      </c>
      <c r="C2168" t="s">
        <v>23</v>
      </c>
      <c r="D2168">
        <v>33448.400000000001</v>
      </c>
      <c r="E2168" t="s">
        <v>16</v>
      </c>
      <c r="F2168">
        <v>43</v>
      </c>
      <c r="G2168" t="s">
        <v>20</v>
      </c>
      <c r="H2168" s="1">
        <v>45533</v>
      </c>
      <c r="I2168" s="1">
        <v>45576</v>
      </c>
      <c r="J2168" t="str">
        <f t="shared" si="33"/>
        <v>Aug-2024</v>
      </c>
    </row>
    <row r="2169" spans="1:10">
      <c r="A2169">
        <v>2168</v>
      </c>
      <c r="B2169">
        <v>14974</v>
      </c>
      <c r="C2169" t="s">
        <v>15</v>
      </c>
      <c r="D2169">
        <v>112842.38</v>
      </c>
      <c r="E2169" t="s">
        <v>16</v>
      </c>
      <c r="F2169">
        <v>4</v>
      </c>
      <c r="G2169" t="s">
        <v>17</v>
      </c>
      <c r="H2169" s="1">
        <v>45544</v>
      </c>
      <c r="I2169" s="1">
        <v>45548</v>
      </c>
      <c r="J2169" t="str">
        <f t="shared" si="33"/>
        <v>Sep-2024</v>
      </c>
    </row>
    <row r="2170" spans="1:10">
      <c r="A2170">
        <v>2169</v>
      </c>
      <c r="B2170">
        <v>13777</v>
      </c>
      <c r="C2170" t="s">
        <v>18</v>
      </c>
      <c r="D2170">
        <v>131500.76999999999</v>
      </c>
      <c r="E2170" t="s">
        <v>19</v>
      </c>
      <c r="F2170">
        <v>8</v>
      </c>
      <c r="G2170" t="s">
        <v>25</v>
      </c>
      <c r="H2170" s="1">
        <v>45343</v>
      </c>
      <c r="I2170" s="1">
        <v>45351</v>
      </c>
      <c r="J2170" t="str">
        <f t="shared" si="33"/>
        <v>Feb-2024</v>
      </c>
    </row>
    <row r="2171" spans="1:10">
      <c r="A2171">
        <v>2170</v>
      </c>
      <c r="B2171">
        <v>17037</v>
      </c>
      <c r="C2171" t="s">
        <v>18</v>
      </c>
      <c r="D2171">
        <v>81088.210000000006</v>
      </c>
      <c r="E2171" t="s">
        <v>19</v>
      </c>
      <c r="F2171">
        <v>44</v>
      </c>
      <c r="G2171" t="s">
        <v>20</v>
      </c>
      <c r="H2171" s="1">
        <v>45612</v>
      </c>
      <c r="I2171" s="1">
        <v>45656</v>
      </c>
      <c r="J2171" t="str">
        <f t="shared" si="33"/>
        <v>Nov-2024</v>
      </c>
    </row>
    <row r="2172" spans="1:10">
      <c r="A2172">
        <v>2171</v>
      </c>
      <c r="B2172">
        <v>11085</v>
      </c>
      <c r="C2172" t="s">
        <v>23</v>
      </c>
      <c r="D2172">
        <v>102216.25</v>
      </c>
      <c r="E2172" t="s">
        <v>16</v>
      </c>
      <c r="F2172">
        <v>14</v>
      </c>
      <c r="G2172" t="s">
        <v>17</v>
      </c>
      <c r="H2172" s="1">
        <v>45330</v>
      </c>
      <c r="I2172" s="1">
        <v>45344</v>
      </c>
      <c r="J2172" t="str">
        <f t="shared" si="33"/>
        <v>Feb-2024</v>
      </c>
    </row>
    <row r="2173" spans="1:10">
      <c r="A2173">
        <v>2172</v>
      </c>
      <c r="B2173">
        <v>16195</v>
      </c>
      <c r="C2173" t="s">
        <v>15</v>
      </c>
      <c r="D2173">
        <v>175752.41</v>
      </c>
      <c r="E2173" t="s">
        <v>16</v>
      </c>
      <c r="F2173">
        <v>38</v>
      </c>
      <c r="G2173" t="s">
        <v>25</v>
      </c>
      <c r="H2173" s="1">
        <v>45550</v>
      </c>
      <c r="I2173" s="1">
        <v>45588</v>
      </c>
      <c r="J2173" t="str">
        <f t="shared" si="33"/>
        <v>Sep-2024</v>
      </c>
    </row>
    <row r="2174" spans="1:10">
      <c r="A2174">
        <v>2173</v>
      </c>
      <c r="B2174">
        <v>16259</v>
      </c>
      <c r="C2174" t="s">
        <v>18</v>
      </c>
      <c r="D2174">
        <v>26169.81</v>
      </c>
      <c r="E2174" t="s">
        <v>16</v>
      </c>
      <c r="F2174">
        <v>26</v>
      </c>
      <c r="G2174" t="s">
        <v>21</v>
      </c>
      <c r="H2174" s="1">
        <v>45618</v>
      </c>
      <c r="I2174" s="1">
        <v>45644</v>
      </c>
      <c r="J2174" t="str">
        <f t="shared" si="33"/>
        <v>Nov-2024</v>
      </c>
    </row>
    <row r="2175" spans="1:10">
      <c r="A2175">
        <v>2174</v>
      </c>
      <c r="B2175">
        <v>12485</v>
      </c>
      <c r="C2175" t="s">
        <v>23</v>
      </c>
      <c r="D2175">
        <v>159387.91</v>
      </c>
      <c r="E2175" t="s">
        <v>16</v>
      </c>
      <c r="F2175">
        <v>24</v>
      </c>
      <c r="G2175" t="s">
        <v>25</v>
      </c>
      <c r="H2175" s="1">
        <v>45562</v>
      </c>
      <c r="I2175" s="1">
        <v>45586</v>
      </c>
      <c r="J2175" t="str">
        <f t="shared" si="33"/>
        <v>Sep-2024</v>
      </c>
    </row>
    <row r="2176" spans="1:10">
      <c r="A2176">
        <v>2175</v>
      </c>
      <c r="B2176">
        <v>18292</v>
      </c>
      <c r="C2176" t="s">
        <v>23</v>
      </c>
      <c r="D2176">
        <v>38297.14</v>
      </c>
      <c r="E2176" t="s">
        <v>16</v>
      </c>
      <c r="F2176">
        <v>34</v>
      </c>
      <c r="G2176" t="s">
        <v>21</v>
      </c>
      <c r="H2176" s="1">
        <v>45363</v>
      </c>
      <c r="I2176" s="1">
        <v>45397</v>
      </c>
      <c r="J2176" t="str">
        <f t="shared" si="33"/>
        <v>Mar-2024</v>
      </c>
    </row>
    <row r="2177" spans="1:10">
      <c r="A2177">
        <v>2176</v>
      </c>
      <c r="B2177">
        <v>15398</v>
      </c>
      <c r="C2177" t="s">
        <v>15</v>
      </c>
      <c r="D2177">
        <v>12158.06</v>
      </c>
      <c r="E2177" t="s">
        <v>16</v>
      </c>
      <c r="F2177">
        <v>6</v>
      </c>
      <c r="G2177" t="s">
        <v>17</v>
      </c>
      <c r="H2177" s="1">
        <v>45361</v>
      </c>
      <c r="I2177" s="1">
        <v>45367</v>
      </c>
      <c r="J2177" t="str">
        <f t="shared" si="33"/>
        <v>Mar-2024</v>
      </c>
    </row>
    <row r="2178" spans="1:10">
      <c r="A2178">
        <v>2177</v>
      </c>
      <c r="B2178">
        <v>15078</v>
      </c>
      <c r="C2178" t="s">
        <v>23</v>
      </c>
      <c r="D2178">
        <v>41187.050000000003</v>
      </c>
      <c r="E2178" t="s">
        <v>24</v>
      </c>
      <c r="G2178" t="s">
        <v>20</v>
      </c>
      <c r="H2178" s="1">
        <v>45511</v>
      </c>
      <c r="J2178" t="str">
        <f t="shared" si="33"/>
        <v>Aug-2024</v>
      </c>
    </row>
    <row r="2179" spans="1:10">
      <c r="A2179">
        <v>2178</v>
      </c>
      <c r="B2179">
        <v>17202</v>
      </c>
      <c r="C2179" t="s">
        <v>22</v>
      </c>
      <c r="D2179">
        <v>154183.42000000001</v>
      </c>
      <c r="E2179" t="s">
        <v>16</v>
      </c>
      <c r="F2179">
        <v>31</v>
      </c>
      <c r="G2179" t="s">
        <v>20</v>
      </c>
      <c r="H2179" s="1">
        <v>45295</v>
      </c>
      <c r="I2179" s="1">
        <v>45326</v>
      </c>
      <c r="J2179" t="str">
        <f t="shared" ref="J2179:J2242" si="34">TEXT(H2179,"mmm-yyyy")</f>
        <v>Jan-2024</v>
      </c>
    </row>
    <row r="2180" spans="1:10">
      <c r="A2180">
        <v>2179</v>
      </c>
      <c r="B2180">
        <v>13048</v>
      </c>
      <c r="C2180" t="s">
        <v>18</v>
      </c>
      <c r="D2180">
        <v>83999.58</v>
      </c>
      <c r="E2180" t="s">
        <v>16</v>
      </c>
      <c r="F2180">
        <v>32</v>
      </c>
      <c r="G2180" t="s">
        <v>17</v>
      </c>
      <c r="H2180" s="1">
        <v>45641</v>
      </c>
      <c r="I2180" s="1">
        <v>45673</v>
      </c>
      <c r="J2180" t="str">
        <f t="shared" si="34"/>
        <v>Dec-2024</v>
      </c>
    </row>
    <row r="2181" spans="1:10">
      <c r="A2181">
        <v>2180</v>
      </c>
      <c r="B2181">
        <v>16502</v>
      </c>
      <c r="C2181" t="s">
        <v>18</v>
      </c>
      <c r="D2181">
        <v>175141.5</v>
      </c>
      <c r="E2181" t="s">
        <v>16</v>
      </c>
      <c r="F2181">
        <v>14</v>
      </c>
      <c r="G2181" t="s">
        <v>20</v>
      </c>
      <c r="H2181" s="1">
        <v>45581</v>
      </c>
      <c r="I2181" s="1">
        <v>45595</v>
      </c>
      <c r="J2181" t="str">
        <f t="shared" si="34"/>
        <v>Oct-2024</v>
      </c>
    </row>
    <row r="2182" spans="1:10">
      <c r="A2182">
        <v>2181</v>
      </c>
      <c r="B2182">
        <v>10799</v>
      </c>
      <c r="C2182" t="s">
        <v>23</v>
      </c>
      <c r="D2182">
        <v>107317.97</v>
      </c>
      <c r="E2182" t="s">
        <v>16</v>
      </c>
      <c r="F2182">
        <v>43</v>
      </c>
      <c r="G2182" t="s">
        <v>20</v>
      </c>
      <c r="H2182" s="1">
        <v>45583</v>
      </c>
      <c r="I2182" s="1">
        <v>45626</v>
      </c>
      <c r="J2182" t="str">
        <f t="shared" si="34"/>
        <v>Oct-2024</v>
      </c>
    </row>
    <row r="2183" spans="1:10">
      <c r="A2183">
        <v>2182</v>
      </c>
      <c r="B2183">
        <v>13822</v>
      </c>
      <c r="C2183" t="s">
        <v>23</v>
      </c>
      <c r="D2183">
        <v>9338.82</v>
      </c>
      <c r="E2183" t="s">
        <v>16</v>
      </c>
      <c r="F2183">
        <v>6</v>
      </c>
      <c r="G2183" t="s">
        <v>21</v>
      </c>
      <c r="H2183" s="1">
        <v>45646</v>
      </c>
      <c r="I2183" s="1">
        <v>45652</v>
      </c>
      <c r="J2183" t="str">
        <f t="shared" si="34"/>
        <v>Dec-2024</v>
      </c>
    </row>
    <row r="2184" spans="1:10">
      <c r="A2184">
        <v>2183</v>
      </c>
      <c r="B2184">
        <v>15611</v>
      </c>
      <c r="C2184" t="s">
        <v>22</v>
      </c>
      <c r="D2184">
        <v>144759.15</v>
      </c>
      <c r="E2184" t="s">
        <v>16</v>
      </c>
      <c r="F2184">
        <v>24</v>
      </c>
      <c r="G2184" t="s">
        <v>17</v>
      </c>
      <c r="H2184" s="1">
        <v>45522</v>
      </c>
      <c r="I2184" s="1">
        <v>45546</v>
      </c>
      <c r="J2184" t="str">
        <f t="shared" si="34"/>
        <v>Aug-2024</v>
      </c>
    </row>
    <row r="2185" spans="1:10">
      <c r="A2185">
        <v>2184</v>
      </c>
      <c r="B2185">
        <v>16009</v>
      </c>
      <c r="C2185" t="s">
        <v>23</v>
      </c>
      <c r="D2185">
        <v>26495.42</v>
      </c>
      <c r="E2185" t="s">
        <v>19</v>
      </c>
      <c r="F2185">
        <v>2</v>
      </c>
      <c r="G2185" t="s">
        <v>25</v>
      </c>
      <c r="H2185" s="1">
        <v>45371</v>
      </c>
      <c r="I2185" s="1">
        <v>45373</v>
      </c>
      <c r="J2185" t="str">
        <f t="shared" si="34"/>
        <v>Mar-2024</v>
      </c>
    </row>
    <row r="2186" spans="1:10">
      <c r="A2186">
        <v>2185</v>
      </c>
      <c r="B2186">
        <v>19487</v>
      </c>
      <c r="C2186" t="s">
        <v>18</v>
      </c>
      <c r="D2186">
        <v>158929.03</v>
      </c>
      <c r="E2186" t="s">
        <v>16</v>
      </c>
      <c r="F2186">
        <v>11</v>
      </c>
      <c r="G2186" t="s">
        <v>21</v>
      </c>
      <c r="H2186" s="1">
        <v>45357</v>
      </c>
      <c r="I2186" s="1">
        <v>45368</v>
      </c>
      <c r="J2186" t="str">
        <f t="shared" si="34"/>
        <v>Mar-2024</v>
      </c>
    </row>
    <row r="2187" spans="1:10">
      <c r="A2187">
        <v>2186</v>
      </c>
      <c r="B2187">
        <v>15263</v>
      </c>
      <c r="C2187" t="s">
        <v>23</v>
      </c>
      <c r="D2187">
        <v>37780</v>
      </c>
      <c r="E2187" t="s">
        <v>16</v>
      </c>
      <c r="F2187">
        <v>28</v>
      </c>
      <c r="G2187" t="s">
        <v>17</v>
      </c>
      <c r="H2187" s="1">
        <v>45427</v>
      </c>
      <c r="I2187" s="1">
        <v>45455</v>
      </c>
      <c r="J2187" t="str">
        <f t="shared" si="34"/>
        <v>May-2024</v>
      </c>
    </row>
    <row r="2188" spans="1:10">
      <c r="A2188">
        <v>2187</v>
      </c>
      <c r="B2188">
        <v>18626</v>
      </c>
      <c r="C2188" t="s">
        <v>23</v>
      </c>
      <c r="D2188">
        <v>72362.05</v>
      </c>
      <c r="E2188" t="s">
        <v>16</v>
      </c>
      <c r="F2188">
        <v>9</v>
      </c>
      <c r="G2188" t="s">
        <v>21</v>
      </c>
      <c r="H2188" s="1">
        <v>45482</v>
      </c>
      <c r="I2188" s="1">
        <v>45491</v>
      </c>
      <c r="J2188" t="str">
        <f t="shared" si="34"/>
        <v>Jul-2024</v>
      </c>
    </row>
    <row r="2189" spans="1:10">
      <c r="A2189">
        <v>2188</v>
      </c>
      <c r="B2189">
        <v>15570</v>
      </c>
      <c r="C2189" t="s">
        <v>23</v>
      </c>
      <c r="D2189">
        <v>153447.93</v>
      </c>
      <c r="E2189" t="s">
        <v>16</v>
      </c>
      <c r="F2189">
        <v>4</v>
      </c>
      <c r="G2189" t="s">
        <v>25</v>
      </c>
      <c r="H2189" s="1">
        <v>45638</v>
      </c>
      <c r="I2189" s="1">
        <v>45642</v>
      </c>
      <c r="J2189" t="str">
        <f t="shared" si="34"/>
        <v>Dec-2024</v>
      </c>
    </row>
    <row r="2190" spans="1:10">
      <c r="A2190">
        <v>2189</v>
      </c>
      <c r="B2190">
        <v>19107</v>
      </c>
      <c r="C2190" t="s">
        <v>18</v>
      </c>
      <c r="D2190">
        <v>191075.11</v>
      </c>
      <c r="E2190" t="s">
        <v>16</v>
      </c>
      <c r="F2190">
        <v>20</v>
      </c>
      <c r="G2190" t="s">
        <v>25</v>
      </c>
      <c r="H2190" s="1">
        <v>45627</v>
      </c>
      <c r="I2190" s="1">
        <v>45647</v>
      </c>
      <c r="J2190" t="str">
        <f t="shared" si="34"/>
        <v>Dec-2024</v>
      </c>
    </row>
    <row r="2191" spans="1:10">
      <c r="A2191">
        <v>2190</v>
      </c>
      <c r="B2191">
        <v>14640</v>
      </c>
      <c r="C2191" t="s">
        <v>22</v>
      </c>
      <c r="D2191">
        <v>77429.62</v>
      </c>
      <c r="E2191" t="s">
        <v>19</v>
      </c>
      <c r="F2191">
        <v>3</v>
      </c>
      <c r="G2191" t="s">
        <v>17</v>
      </c>
      <c r="H2191" s="1">
        <v>45350</v>
      </c>
      <c r="I2191" s="1">
        <v>45353</v>
      </c>
      <c r="J2191" t="str">
        <f t="shared" si="34"/>
        <v>Feb-2024</v>
      </c>
    </row>
    <row r="2192" spans="1:10">
      <c r="A2192">
        <v>2191</v>
      </c>
      <c r="B2192">
        <v>15333</v>
      </c>
      <c r="C2192" t="s">
        <v>23</v>
      </c>
      <c r="D2192">
        <v>166733.04</v>
      </c>
      <c r="E2192" t="s">
        <v>24</v>
      </c>
      <c r="G2192" t="s">
        <v>25</v>
      </c>
      <c r="H2192" s="1">
        <v>45557</v>
      </c>
      <c r="J2192" t="str">
        <f t="shared" si="34"/>
        <v>Sep-2024</v>
      </c>
    </row>
    <row r="2193" spans="1:10">
      <c r="A2193">
        <v>2192</v>
      </c>
      <c r="B2193">
        <v>18839</v>
      </c>
      <c r="C2193" t="s">
        <v>23</v>
      </c>
      <c r="D2193">
        <v>42204.49</v>
      </c>
      <c r="E2193" t="s">
        <v>16</v>
      </c>
      <c r="F2193">
        <v>11</v>
      </c>
      <c r="G2193" t="s">
        <v>21</v>
      </c>
      <c r="H2193" s="1">
        <v>45298</v>
      </c>
      <c r="I2193" s="1">
        <v>45309</v>
      </c>
      <c r="J2193" t="str">
        <f t="shared" si="34"/>
        <v>Jan-2024</v>
      </c>
    </row>
    <row r="2194" spans="1:10">
      <c r="A2194">
        <v>2193</v>
      </c>
      <c r="B2194">
        <v>12295</v>
      </c>
      <c r="C2194" t="s">
        <v>23</v>
      </c>
      <c r="D2194">
        <v>162400.06</v>
      </c>
      <c r="E2194" t="s">
        <v>16</v>
      </c>
      <c r="F2194">
        <v>17</v>
      </c>
      <c r="G2194" t="s">
        <v>25</v>
      </c>
      <c r="H2194" s="1">
        <v>45493</v>
      </c>
      <c r="I2194" s="1">
        <v>45510</v>
      </c>
      <c r="J2194" t="str">
        <f t="shared" si="34"/>
        <v>Jul-2024</v>
      </c>
    </row>
    <row r="2195" spans="1:10">
      <c r="A2195">
        <v>2194</v>
      </c>
      <c r="B2195">
        <v>11431</v>
      </c>
      <c r="C2195" t="s">
        <v>18</v>
      </c>
      <c r="D2195">
        <v>133211.34</v>
      </c>
      <c r="E2195" t="s">
        <v>19</v>
      </c>
      <c r="F2195">
        <v>38</v>
      </c>
      <c r="G2195" t="s">
        <v>21</v>
      </c>
      <c r="H2195" s="1">
        <v>45623</v>
      </c>
      <c r="I2195" s="1">
        <v>45661</v>
      </c>
      <c r="J2195" t="str">
        <f t="shared" si="34"/>
        <v>Nov-2024</v>
      </c>
    </row>
    <row r="2196" spans="1:10">
      <c r="A2196">
        <v>2195</v>
      </c>
      <c r="B2196">
        <v>15172</v>
      </c>
      <c r="C2196" t="s">
        <v>23</v>
      </c>
      <c r="D2196">
        <v>42584.98</v>
      </c>
      <c r="E2196" t="s">
        <v>16</v>
      </c>
      <c r="F2196">
        <v>21</v>
      </c>
      <c r="G2196" t="s">
        <v>21</v>
      </c>
      <c r="H2196" s="1">
        <v>45528</v>
      </c>
      <c r="I2196" s="1">
        <v>45549</v>
      </c>
      <c r="J2196" t="str">
        <f t="shared" si="34"/>
        <v>Aug-2024</v>
      </c>
    </row>
    <row r="2197" spans="1:10">
      <c r="A2197">
        <v>2196</v>
      </c>
      <c r="B2197">
        <v>12361</v>
      </c>
      <c r="C2197" t="s">
        <v>15</v>
      </c>
      <c r="D2197">
        <v>63988.27</v>
      </c>
      <c r="E2197" t="s">
        <v>16</v>
      </c>
      <c r="F2197">
        <v>4</v>
      </c>
      <c r="G2197" t="s">
        <v>25</v>
      </c>
      <c r="H2197" s="1">
        <v>45559</v>
      </c>
      <c r="I2197" s="1">
        <v>45563</v>
      </c>
      <c r="J2197" t="str">
        <f t="shared" si="34"/>
        <v>Sep-2024</v>
      </c>
    </row>
    <row r="2198" spans="1:10">
      <c r="A2198">
        <v>2197</v>
      </c>
      <c r="B2198">
        <v>17541</v>
      </c>
      <c r="C2198" t="s">
        <v>18</v>
      </c>
      <c r="D2198">
        <v>30695.32</v>
      </c>
      <c r="E2198" t="s">
        <v>16</v>
      </c>
      <c r="F2198">
        <v>36</v>
      </c>
      <c r="G2198" t="s">
        <v>17</v>
      </c>
      <c r="H2198" s="1">
        <v>45370</v>
      </c>
      <c r="I2198" s="1">
        <v>45406</v>
      </c>
      <c r="J2198" t="str">
        <f t="shared" si="34"/>
        <v>Mar-2024</v>
      </c>
    </row>
    <row r="2199" spans="1:10">
      <c r="A2199">
        <v>2198</v>
      </c>
      <c r="B2199">
        <v>10723</v>
      </c>
      <c r="C2199" t="s">
        <v>18</v>
      </c>
      <c r="D2199">
        <v>79678.570000000007</v>
      </c>
      <c r="E2199" t="s">
        <v>19</v>
      </c>
      <c r="F2199">
        <v>35</v>
      </c>
      <c r="G2199" t="s">
        <v>20</v>
      </c>
      <c r="H2199" s="1">
        <v>45337</v>
      </c>
      <c r="I2199" s="1">
        <v>45372</v>
      </c>
      <c r="J2199" t="str">
        <f t="shared" si="34"/>
        <v>Feb-2024</v>
      </c>
    </row>
    <row r="2200" spans="1:10">
      <c r="A2200">
        <v>2199</v>
      </c>
      <c r="B2200">
        <v>11547</v>
      </c>
      <c r="C2200" t="s">
        <v>23</v>
      </c>
      <c r="D2200">
        <v>44711.49</v>
      </c>
      <c r="E2200" t="s">
        <v>16</v>
      </c>
      <c r="F2200">
        <v>22</v>
      </c>
      <c r="G2200" t="s">
        <v>25</v>
      </c>
      <c r="H2200" s="1">
        <v>45534</v>
      </c>
      <c r="I2200" s="1">
        <v>45556</v>
      </c>
      <c r="J2200" t="str">
        <f t="shared" si="34"/>
        <v>Aug-2024</v>
      </c>
    </row>
    <row r="2201" spans="1:10">
      <c r="A2201">
        <v>2200</v>
      </c>
      <c r="B2201">
        <v>19171</v>
      </c>
      <c r="C2201" t="s">
        <v>22</v>
      </c>
      <c r="D2201">
        <v>130579.6</v>
      </c>
      <c r="E2201" t="s">
        <v>19</v>
      </c>
      <c r="F2201">
        <v>37</v>
      </c>
      <c r="G2201" t="s">
        <v>21</v>
      </c>
      <c r="H2201" s="1">
        <v>45579</v>
      </c>
      <c r="I2201" s="1">
        <v>45616</v>
      </c>
      <c r="J2201" t="str">
        <f t="shared" si="34"/>
        <v>Oct-2024</v>
      </c>
    </row>
    <row r="2202" spans="1:10">
      <c r="A2202">
        <v>2201</v>
      </c>
      <c r="B2202">
        <v>18275</v>
      </c>
      <c r="C2202" t="s">
        <v>23</v>
      </c>
      <c r="D2202">
        <v>198928.5</v>
      </c>
      <c r="E2202" t="s">
        <v>19</v>
      </c>
      <c r="F2202">
        <v>33</v>
      </c>
      <c r="G2202" t="s">
        <v>21</v>
      </c>
      <c r="H2202" s="1">
        <v>45451</v>
      </c>
      <c r="I2202" s="1">
        <v>45484</v>
      </c>
      <c r="J2202" t="str">
        <f t="shared" si="34"/>
        <v>Jun-2024</v>
      </c>
    </row>
    <row r="2203" spans="1:10">
      <c r="A2203">
        <v>2202</v>
      </c>
      <c r="B2203">
        <v>11365</v>
      </c>
      <c r="C2203" t="s">
        <v>23</v>
      </c>
      <c r="D2203">
        <v>7341.79</v>
      </c>
      <c r="E2203" t="s">
        <v>16</v>
      </c>
      <c r="F2203">
        <v>19</v>
      </c>
      <c r="G2203" t="s">
        <v>25</v>
      </c>
      <c r="H2203" s="1">
        <v>45406</v>
      </c>
      <c r="I2203" s="1">
        <v>45425</v>
      </c>
      <c r="J2203" t="str">
        <f t="shared" si="34"/>
        <v>Apr-2024</v>
      </c>
    </row>
    <row r="2204" spans="1:10">
      <c r="A2204">
        <v>2203</v>
      </c>
      <c r="B2204">
        <v>18741</v>
      </c>
      <c r="C2204" t="s">
        <v>18</v>
      </c>
      <c r="D2204">
        <v>110479.36</v>
      </c>
      <c r="E2204" t="s">
        <v>19</v>
      </c>
      <c r="F2204">
        <v>35</v>
      </c>
      <c r="G2204" t="s">
        <v>17</v>
      </c>
      <c r="H2204" s="1">
        <v>45405</v>
      </c>
      <c r="I2204" s="1">
        <v>45440</v>
      </c>
      <c r="J2204" t="str">
        <f t="shared" si="34"/>
        <v>Apr-2024</v>
      </c>
    </row>
    <row r="2205" spans="1:10">
      <c r="A2205">
        <v>2204</v>
      </c>
      <c r="B2205">
        <v>13853</v>
      </c>
      <c r="C2205" t="s">
        <v>18</v>
      </c>
      <c r="D2205">
        <v>116864.99</v>
      </c>
      <c r="E2205" t="s">
        <v>19</v>
      </c>
      <c r="F2205">
        <v>39</v>
      </c>
      <c r="G2205" t="s">
        <v>17</v>
      </c>
      <c r="H2205" s="1">
        <v>45417</v>
      </c>
      <c r="I2205" s="1">
        <v>45456</v>
      </c>
      <c r="J2205" t="str">
        <f t="shared" si="34"/>
        <v>May-2024</v>
      </c>
    </row>
    <row r="2206" spans="1:10">
      <c r="A2206">
        <v>2205</v>
      </c>
      <c r="B2206">
        <v>14682</v>
      </c>
      <c r="C2206" t="s">
        <v>23</v>
      </c>
      <c r="D2206">
        <v>183270.71</v>
      </c>
      <c r="E2206" t="s">
        <v>16</v>
      </c>
      <c r="F2206">
        <v>4</v>
      </c>
      <c r="G2206" t="s">
        <v>21</v>
      </c>
      <c r="H2206" s="1">
        <v>45381</v>
      </c>
      <c r="I2206" s="1">
        <v>45385</v>
      </c>
      <c r="J2206" t="str">
        <f t="shared" si="34"/>
        <v>Mar-2024</v>
      </c>
    </row>
    <row r="2207" spans="1:10">
      <c r="A2207">
        <v>2206</v>
      </c>
      <c r="B2207">
        <v>15960</v>
      </c>
      <c r="C2207" t="s">
        <v>23</v>
      </c>
      <c r="D2207">
        <v>103671.03999999999</v>
      </c>
      <c r="E2207" t="s">
        <v>16</v>
      </c>
      <c r="F2207">
        <v>4</v>
      </c>
      <c r="G2207" t="s">
        <v>21</v>
      </c>
      <c r="H2207" s="1">
        <v>45352</v>
      </c>
      <c r="I2207" s="1">
        <v>45356</v>
      </c>
      <c r="J2207" t="str">
        <f t="shared" si="34"/>
        <v>Mar-2024</v>
      </c>
    </row>
    <row r="2208" spans="1:10">
      <c r="A2208">
        <v>2207</v>
      </c>
      <c r="B2208">
        <v>18343</v>
      </c>
      <c r="C2208" t="s">
        <v>18</v>
      </c>
      <c r="D2208">
        <v>111021.78</v>
      </c>
      <c r="E2208" t="s">
        <v>16</v>
      </c>
      <c r="F2208">
        <v>28</v>
      </c>
      <c r="G2208" t="s">
        <v>17</v>
      </c>
      <c r="H2208" s="1">
        <v>45608</v>
      </c>
      <c r="I2208" s="1">
        <v>45636</v>
      </c>
      <c r="J2208" t="str">
        <f t="shared" si="34"/>
        <v>Nov-2024</v>
      </c>
    </row>
    <row r="2209" spans="1:10">
      <c r="A2209">
        <v>2208</v>
      </c>
      <c r="B2209">
        <v>17689</v>
      </c>
      <c r="C2209" t="s">
        <v>23</v>
      </c>
      <c r="D2209">
        <v>96972.3</v>
      </c>
      <c r="E2209" t="s">
        <v>16</v>
      </c>
      <c r="F2209">
        <v>3</v>
      </c>
      <c r="G2209" t="s">
        <v>20</v>
      </c>
      <c r="H2209" s="1">
        <v>45393</v>
      </c>
      <c r="I2209" s="1">
        <v>45396</v>
      </c>
      <c r="J2209" t="str">
        <f t="shared" si="34"/>
        <v>Apr-2024</v>
      </c>
    </row>
    <row r="2210" spans="1:10">
      <c r="A2210">
        <v>2209</v>
      </c>
      <c r="B2210">
        <v>15157</v>
      </c>
      <c r="C2210" t="s">
        <v>15</v>
      </c>
      <c r="D2210">
        <v>57436.34</v>
      </c>
      <c r="E2210" t="s">
        <v>16</v>
      </c>
      <c r="F2210">
        <v>4</v>
      </c>
      <c r="G2210" t="s">
        <v>25</v>
      </c>
      <c r="H2210" s="1">
        <v>45405</v>
      </c>
      <c r="I2210" s="1">
        <v>45409</v>
      </c>
      <c r="J2210" t="str">
        <f t="shared" si="34"/>
        <v>Apr-2024</v>
      </c>
    </row>
    <row r="2211" spans="1:10">
      <c r="A2211">
        <v>2210</v>
      </c>
      <c r="B2211">
        <v>13498</v>
      </c>
      <c r="C2211" t="s">
        <v>18</v>
      </c>
      <c r="D2211">
        <v>15925.68</v>
      </c>
      <c r="E2211" t="s">
        <v>16</v>
      </c>
      <c r="F2211">
        <v>18</v>
      </c>
      <c r="G2211" t="s">
        <v>21</v>
      </c>
      <c r="H2211" s="1">
        <v>45465</v>
      </c>
      <c r="I2211" s="1">
        <v>45483</v>
      </c>
      <c r="J2211" t="str">
        <f t="shared" si="34"/>
        <v>Jun-2024</v>
      </c>
    </row>
    <row r="2212" spans="1:10">
      <c r="A2212">
        <v>2211</v>
      </c>
      <c r="B2212">
        <v>12985</v>
      </c>
      <c r="C2212" t="s">
        <v>23</v>
      </c>
      <c r="D2212">
        <v>84688.25</v>
      </c>
      <c r="E2212" t="s">
        <v>16</v>
      </c>
      <c r="F2212">
        <v>40</v>
      </c>
      <c r="G2212" t="s">
        <v>21</v>
      </c>
      <c r="H2212" s="1">
        <v>45383</v>
      </c>
      <c r="I2212" s="1">
        <v>45423</v>
      </c>
      <c r="J2212" t="str">
        <f t="shared" si="34"/>
        <v>Apr-2024</v>
      </c>
    </row>
    <row r="2213" spans="1:10">
      <c r="A2213">
        <v>2212</v>
      </c>
      <c r="B2213">
        <v>11567</v>
      </c>
      <c r="C2213" t="s">
        <v>23</v>
      </c>
      <c r="D2213">
        <v>15255.34</v>
      </c>
      <c r="E2213" t="s">
        <v>19</v>
      </c>
      <c r="F2213">
        <v>39</v>
      </c>
      <c r="G2213" t="s">
        <v>17</v>
      </c>
      <c r="H2213" s="1">
        <v>45474</v>
      </c>
      <c r="I2213" s="1">
        <v>45513</v>
      </c>
      <c r="J2213" t="str">
        <f t="shared" si="34"/>
        <v>Jul-2024</v>
      </c>
    </row>
    <row r="2214" spans="1:10">
      <c r="A2214">
        <v>2213</v>
      </c>
      <c r="B2214">
        <v>18403</v>
      </c>
      <c r="C2214" t="s">
        <v>23</v>
      </c>
      <c r="D2214">
        <v>112346.03</v>
      </c>
      <c r="E2214" t="s">
        <v>16</v>
      </c>
      <c r="F2214">
        <v>41</v>
      </c>
      <c r="G2214" t="s">
        <v>25</v>
      </c>
      <c r="H2214" s="1">
        <v>45496</v>
      </c>
      <c r="I2214" s="1">
        <v>45537</v>
      </c>
      <c r="J2214" t="str">
        <f t="shared" si="34"/>
        <v>Jul-2024</v>
      </c>
    </row>
    <row r="2215" spans="1:10">
      <c r="A2215">
        <v>2214</v>
      </c>
      <c r="B2215">
        <v>16669</v>
      </c>
      <c r="C2215" t="s">
        <v>18</v>
      </c>
      <c r="D2215">
        <v>64922.26</v>
      </c>
      <c r="E2215" t="s">
        <v>16</v>
      </c>
      <c r="F2215">
        <v>20</v>
      </c>
      <c r="G2215" t="s">
        <v>17</v>
      </c>
      <c r="H2215" s="1">
        <v>45654</v>
      </c>
      <c r="I2215" s="1">
        <v>45674</v>
      </c>
      <c r="J2215" t="str">
        <f t="shared" si="34"/>
        <v>Dec-2024</v>
      </c>
    </row>
    <row r="2216" spans="1:10">
      <c r="A2216">
        <v>2215</v>
      </c>
      <c r="B2216">
        <v>14191</v>
      </c>
      <c r="C2216" t="s">
        <v>18</v>
      </c>
      <c r="D2216">
        <v>109052.47</v>
      </c>
      <c r="E2216" t="s">
        <v>16</v>
      </c>
      <c r="F2216">
        <v>20</v>
      </c>
      <c r="G2216" t="s">
        <v>25</v>
      </c>
      <c r="H2216" s="1">
        <v>45486</v>
      </c>
      <c r="I2216" s="1">
        <v>45506</v>
      </c>
      <c r="J2216" t="str">
        <f t="shared" si="34"/>
        <v>Jul-2024</v>
      </c>
    </row>
    <row r="2217" spans="1:10">
      <c r="A2217">
        <v>2216</v>
      </c>
      <c r="B2217">
        <v>19718</v>
      </c>
      <c r="C2217" t="s">
        <v>23</v>
      </c>
      <c r="D2217">
        <v>31187.91</v>
      </c>
      <c r="E2217" t="s">
        <v>16</v>
      </c>
      <c r="F2217">
        <v>6</v>
      </c>
      <c r="G2217" t="s">
        <v>25</v>
      </c>
      <c r="H2217" s="1">
        <v>45596</v>
      </c>
      <c r="I2217" s="1">
        <v>45602</v>
      </c>
      <c r="J2217" t="str">
        <f t="shared" si="34"/>
        <v>Oct-2024</v>
      </c>
    </row>
    <row r="2218" spans="1:10">
      <c r="A2218">
        <v>2217</v>
      </c>
      <c r="B2218">
        <v>17156</v>
      </c>
      <c r="C2218" t="s">
        <v>18</v>
      </c>
      <c r="D2218">
        <v>186862.84</v>
      </c>
      <c r="E2218" t="s">
        <v>16</v>
      </c>
      <c r="F2218">
        <v>6</v>
      </c>
      <c r="G2218" t="s">
        <v>25</v>
      </c>
      <c r="H2218" s="1">
        <v>45316</v>
      </c>
      <c r="I2218" s="1">
        <v>45322</v>
      </c>
      <c r="J2218" t="str">
        <f t="shared" si="34"/>
        <v>Jan-2024</v>
      </c>
    </row>
    <row r="2219" spans="1:10">
      <c r="A2219">
        <v>2218</v>
      </c>
      <c r="B2219">
        <v>18713</v>
      </c>
      <c r="C2219" t="s">
        <v>22</v>
      </c>
      <c r="D2219">
        <v>179431.64</v>
      </c>
      <c r="E2219" t="s">
        <v>16</v>
      </c>
      <c r="F2219">
        <v>15</v>
      </c>
      <c r="G2219" t="s">
        <v>21</v>
      </c>
      <c r="H2219" s="1">
        <v>45525</v>
      </c>
      <c r="I2219" s="1">
        <v>45540</v>
      </c>
      <c r="J2219" t="str">
        <f t="shared" si="34"/>
        <v>Aug-2024</v>
      </c>
    </row>
    <row r="2220" spans="1:10">
      <c r="A2220">
        <v>2219</v>
      </c>
      <c r="B2220">
        <v>16517</v>
      </c>
      <c r="C2220" t="s">
        <v>23</v>
      </c>
      <c r="D2220">
        <v>42049.32</v>
      </c>
      <c r="E2220" t="s">
        <v>16</v>
      </c>
      <c r="F2220">
        <v>28</v>
      </c>
      <c r="G2220" t="s">
        <v>20</v>
      </c>
      <c r="H2220" s="1">
        <v>45307</v>
      </c>
      <c r="I2220" s="1">
        <v>45335</v>
      </c>
      <c r="J2220" t="str">
        <f t="shared" si="34"/>
        <v>Jan-2024</v>
      </c>
    </row>
    <row r="2221" spans="1:10">
      <c r="A2221">
        <v>2220</v>
      </c>
      <c r="B2221">
        <v>15135</v>
      </c>
      <c r="C2221" t="s">
        <v>22</v>
      </c>
      <c r="D2221">
        <v>71971.64</v>
      </c>
      <c r="E2221" t="s">
        <v>19</v>
      </c>
      <c r="F2221">
        <v>37</v>
      </c>
      <c r="G2221" t="s">
        <v>17</v>
      </c>
      <c r="H2221" s="1">
        <v>45432</v>
      </c>
      <c r="I2221" s="1">
        <v>45469</v>
      </c>
      <c r="J2221" t="str">
        <f t="shared" si="34"/>
        <v>May-2024</v>
      </c>
    </row>
    <row r="2222" spans="1:10">
      <c r="A2222">
        <v>2221</v>
      </c>
      <c r="B2222">
        <v>19894</v>
      </c>
      <c r="C2222" t="s">
        <v>23</v>
      </c>
      <c r="D2222">
        <v>124631.09</v>
      </c>
      <c r="E2222" t="s">
        <v>19</v>
      </c>
      <c r="F2222">
        <v>41</v>
      </c>
      <c r="G2222" t="s">
        <v>20</v>
      </c>
      <c r="H2222" s="1">
        <v>45399</v>
      </c>
      <c r="I2222" s="1">
        <v>45440</v>
      </c>
      <c r="J2222" t="str">
        <f t="shared" si="34"/>
        <v>Apr-2024</v>
      </c>
    </row>
    <row r="2223" spans="1:10">
      <c r="A2223">
        <v>2222</v>
      </c>
      <c r="B2223">
        <v>16751</v>
      </c>
      <c r="C2223" t="s">
        <v>23</v>
      </c>
      <c r="D2223">
        <v>23658.81</v>
      </c>
      <c r="E2223" t="s">
        <v>16</v>
      </c>
      <c r="F2223">
        <v>36</v>
      </c>
      <c r="G2223" t="s">
        <v>17</v>
      </c>
      <c r="H2223" s="1">
        <v>45591</v>
      </c>
      <c r="I2223" s="1">
        <v>45627</v>
      </c>
      <c r="J2223" t="str">
        <f t="shared" si="34"/>
        <v>Oct-2024</v>
      </c>
    </row>
    <row r="2224" spans="1:10">
      <c r="A2224">
        <v>2223</v>
      </c>
      <c r="B2224">
        <v>18209</v>
      </c>
      <c r="C2224" t="s">
        <v>23</v>
      </c>
      <c r="D2224">
        <v>74140.73</v>
      </c>
      <c r="E2224" t="s">
        <v>19</v>
      </c>
      <c r="F2224">
        <v>22</v>
      </c>
      <c r="G2224" t="s">
        <v>25</v>
      </c>
      <c r="H2224" s="1">
        <v>45630</v>
      </c>
      <c r="I2224" s="1">
        <v>45652</v>
      </c>
      <c r="J2224" t="str">
        <f t="shared" si="34"/>
        <v>Dec-2024</v>
      </c>
    </row>
    <row r="2225" spans="1:10">
      <c r="A2225">
        <v>2224</v>
      </c>
      <c r="B2225">
        <v>17174</v>
      </c>
      <c r="C2225" t="s">
        <v>23</v>
      </c>
      <c r="D2225">
        <v>53966.9</v>
      </c>
      <c r="E2225" t="s">
        <v>19</v>
      </c>
      <c r="F2225">
        <v>6</v>
      </c>
      <c r="G2225" t="s">
        <v>21</v>
      </c>
      <c r="H2225" s="1">
        <v>45594</v>
      </c>
      <c r="I2225" s="1">
        <v>45600</v>
      </c>
      <c r="J2225" t="str">
        <f t="shared" si="34"/>
        <v>Oct-2024</v>
      </c>
    </row>
    <row r="2226" spans="1:10">
      <c r="A2226">
        <v>2225</v>
      </c>
      <c r="B2226">
        <v>11719</v>
      </c>
      <c r="C2226" t="s">
        <v>23</v>
      </c>
      <c r="D2226">
        <v>183525.76000000001</v>
      </c>
      <c r="E2226" t="s">
        <v>16</v>
      </c>
      <c r="F2226">
        <v>25</v>
      </c>
      <c r="G2226" t="s">
        <v>20</v>
      </c>
      <c r="H2226" s="1">
        <v>45371</v>
      </c>
      <c r="I2226" s="1">
        <v>45396</v>
      </c>
      <c r="J2226" t="str">
        <f t="shared" si="34"/>
        <v>Mar-2024</v>
      </c>
    </row>
    <row r="2227" spans="1:10">
      <c r="A2227">
        <v>2226</v>
      </c>
      <c r="B2227">
        <v>18061</v>
      </c>
      <c r="C2227" t="s">
        <v>23</v>
      </c>
      <c r="D2227">
        <v>171239.57</v>
      </c>
      <c r="E2227" t="s">
        <v>24</v>
      </c>
      <c r="G2227" t="s">
        <v>21</v>
      </c>
      <c r="H2227" s="1">
        <v>45367</v>
      </c>
      <c r="J2227" t="str">
        <f t="shared" si="34"/>
        <v>Mar-2024</v>
      </c>
    </row>
    <row r="2228" spans="1:10">
      <c r="A2228">
        <v>2227</v>
      </c>
      <c r="B2228">
        <v>14014</v>
      </c>
      <c r="C2228" t="s">
        <v>22</v>
      </c>
      <c r="D2228">
        <v>118067.38</v>
      </c>
      <c r="E2228" t="s">
        <v>19</v>
      </c>
      <c r="F2228">
        <v>25</v>
      </c>
      <c r="G2228" t="s">
        <v>17</v>
      </c>
      <c r="H2228" s="1">
        <v>45567</v>
      </c>
      <c r="I2228" s="1">
        <v>45592</v>
      </c>
      <c r="J2228" t="str">
        <f t="shared" si="34"/>
        <v>Oct-2024</v>
      </c>
    </row>
    <row r="2229" spans="1:10">
      <c r="A2229">
        <v>2228</v>
      </c>
      <c r="B2229">
        <v>10878</v>
      </c>
      <c r="C2229" t="s">
        <v>15</v>
      </c>
      <c r="D2229">
        <v>106467.54</v>
      </c>
      <c r="E2229" t="s">
        <v>16</v>
      </c>
      <c r="F2229">
        <v>41</v>
      </c>
      <c r="G2229" t="s">
        <v>21</v>
      </c>
      <c r="H2229" s="1">
        <v>45559</v>
      </c>
      <c r="I2229" s="1">
        <v>45600</v>
      </c>
      <c r="J2229" t="str">
        <f t="shared" si="34"/>
        <v>Sep-2024</v>
      </c>
    </row>
    <row r="2230" spans="1:10">
      <c r="A2230">
        <v>2229</v>
      </c>
      <c r="B2230">
        <v>18785</v>
      </c>
      <c r="C2230" t="s">
        <v>18</v>
      </c>
      <c r="D2230">
        <v>186491.53</v>
      </c>
      <c r="E2230" t="s">
        <v>16</v>
      </c>
      <c r="F2230">
        <v>44</v>
      </c>
      <c r="G2230" t="s">
        <v>21</v>
      </c>
      <c r="H2230" s="1">
        <v>45403</v>
      </c>
      <c r="I2230" s="1">
        <v>45447</v>
      </c>
      <c r="J2230" t="str">
        <f t="shared" si="34"/>
        <v>Apr-2024</v>
      </c>
    </row>
    <row r="2231" spans="1:10">
      <c r="A2231">
        <v>2230</v>
      </c>
      <c r="B2231">
        <v>16272</v>
      </c>
      <c r="C2231" t="s">
        <v>23</v>
      </c>
      <c r="D2231">
        <v>186823.42</v>
      </c>
      <c r="E2231" t="s">
        <v>16</v>
      </c>
      <c r="F2231">
        <v>14</v>
      </c>
      <c r="G2231" t="s">
        <v>20</v>
      </c>
      <c r="H2231" s="1">
        <v>45607</v>
      </c>
      <c r="I2231" s="1">
        <v>45621</v>
      </c>
      <c r="J2231" t="str">
        <f t="shared" si="34"/>
        <v>Nov-2024</v>
      </c>
    </row>
    <row r="2232" spans="1:10">
      <c r="A2232">
        <v>2231</v>
      </c>
      <c r="B2232">
        <v>11609</v>
      </c>
      <c r="C2232" t="s">
        <v>23</v>
      </c>
      <c r="D2232">
        <v>194019.37</v>
      </c>
      <c r="E2232" t="s">
        <v>16</v>
      </c>
      <c r="F2232">
        <v>39</v>
      </c>
      <c r="G2232" t="s">
        <v>25</v>
      </c>
      <c r="H2232" s="1">
        <v>45366</v>
      </c>
      <c r="I2232" s="1">
        <v>45405</v>
      </c>
      <c r="J2232" t="str">
        <f t="shared" si="34"/>
        <v>Mar-2024</v>
      </c>
    </row>
    <row r="2233" spans="1:10">
      <c r="A2233">
        <v>2232</v>
      </c>
      <c r="B2233">
        <v>19067</v>
      </c>
      <c r="C2233" t="s">
        <v>23</v>
      </c>
      <c r="D2233">
        <v>29448.880000000001</v>
      </c>
      <c r="E2233" t="s">
        <v>19</v>
      </c>
      <c r="F2233">
        <v>2</v>
      </c>
      <c r="G2233" t="s">
        <v>21</v>
      </c>
      <c r="H2233" s="1">
        <v>45505</v>
      </c>
      <c r="I2233" s="1">
        <v>45507</v>
      </c>
      <c r="J2233" t="str">
        <f t="shared" si="34"/>
        <v>Aug-2024</v>
      </c>
    </row>
    <row r="2234" spans="1:10">
      <c r="A2234">
        <v>2233</v>
      </c>
      <c r="B2234">
        <v>16714</v>
      </c>
      <c r="C2234" t="s">
        <v>18</v>
      </c>
      <c r="D2234">
        <v>36308.769999999997</v>
      </c>
      <c r="E2234" t="s">
        <v>16</v>
      </c>
      <c r="F2234">
        <v>44</v>
      </c>
      <c r="G2234" t="s">
        <v>25</v>
      </c>
      <c r="H2234" s="1">
        <v>45325</v>
      </c>
      <c r="I2234" s="1">
        <v>45369</v>
      </c>
      <c r="J2234" t="str">
        <f t="shared" si="34"/>
        <v>Feb-2024</v>
      </c>
    </row>
    <row r="2235" spans="1:10">
      <c r="A2235">
        <v>2234</v>
      </c>
      <c r="B2235">
        <v>15109</v>
      </c>
      <c r="C2235" t="s">
        <v>22</v>
      </c>
      <c r="D2235">
        <v>136963.66</v>
      </c>
      <c r="E2235" t="s">
        <v>19</v>
      </c>
      <c r="F2235">
        <v>40</v>
      </c>
      <c r="G2235" t="s">
        <v>17</v>
      </c>
      <c r="H2235" s="1">
        <v>45432</v>
      </c>
      <c r="I2235" s="1">
        <v>45472</v>
      </c>
      <c r="J2235" t="str">
        <f t="shared" si="34"/>
        <v>May-2024</v>
      </c>
    </row>
    <row r="2236" spans="1:10">
      <c r="A2236">
        <v>2235</v>
      </c>
      <c r="B2236">
        <v>12448</v>
      </c>
      <c r="C2236" t="s">
        <v>23</v>
      </c>
      <c r="D2236">
        <v>110579.72</v>
      </c>
      <c r="E2236" t="s">
        <v>19</v>
      </c>
      <c r="F2236">
        <v>11</v>
      </c>
      <c r="G2236" t="s">
        <v>21</v>
      </c>
      <c r="H2236" s="1">
        <v>45457</v>
      </c>
      <c r="I2236" s="1">
        <v>45468</v>
      </c>
      <c r="J2236" t="str">
        <f t="shared" si="34"/>
        <v>Jun-2024</v>
      </c>
    </row>
    <row r="2237" spans="1:10">
      <c r="A2237">
        <v>2236</v>
      </c>
      <c r="B2237">
        <v>12136</v>
      </c>
      <c r="C2237" t="s">
        <v>23</v>
      </c>
      <c r="D2237">
        <v>8600.85</v>
      </c>
      <c r="E2237" t="s">
        <v>16</v>
      </c>
      <c r="F2237">
        <v>3</v>
      </c>
      <c r="G2237" t="s">
        <v>20</v>
      </c>
      <c r="H2237" s="1">
        <v>45522</v>
      </c>
      <c r="I2237" s="1">
        <v>45525</v>
      </c>
      <c r="J2237" t="str">
        <f t="shared" si="34"/>
        <v>Aug-2024</v>
      </c>
    </row>
    <row r="2238" spans="1:10">
      <c r="A2238">
        <v>2237</v>
      </c>
      <c r="B2238">
        <v>16966</v>
      </c>
      <c r="C2238" t="s">
        <v>18</v>
      </c>
      <c r="D2238">
        <v>17085.13</v>
      </c>
      <c r="E2238" t="s">
        <v>16</v>
      </c>
      <c r="F2238">
        <v>17</v>
      </c>
      <c r="G2238" t="s">
        <v>17</v>
      </c>
      <c r="H2238" s="1">
        <v>45583</v>
      </c>
      <c r="I2238" s="1">
        <v>45600</v>
      </c>
      <c r="J2238" t="str">
        <f t="shared" si="34"/>
        <v>Oct-2024</v>
      </c>
    </row>
    <row r="2239" spans="1:10">
      <c r="A2239">
        <v>2238</v>
      </c>
      <c r="B2239">
        <v>12053</v>
      </c>
      <c r="C2239" t="s">
        <v>23</v>
      </c>
      <c r="D2239">
        <v>178175.67</v>
      </c>
      <c r="E2239" t="s">
        <v>16</v>
      </c>
      <c r="F2239">
        <v>38</v>
      </c>
      <c r="G2239" t="s">
        <v>17</v>
      </c>
      <c r="H2239" s="1">
        <v>45319</v>
      </c>
      <c r="I2239" s="1">
        <v>45357</v>
      </c>
      <c r="J2239" t="str">
        <f t="shared" si="34"/>
        <v>Jan-2024</v>
      </c>
    </row>
    <row r="2240" spans="1:10">
      <c r="A2240">
        <v>2239</v>
      </c>
      <c r="B2240">
        <v>17763</v>
      </c>
      <c r="C2240" t="s">
        <v>23</v>
      </c>
      <c r="D2240">
        <v>174429.81</v>
      </c>
      <c r="E2240" t="s">
        <v>16</v>
      </c>
      <c r="F2240">
        <v>17</v>
      </c>
      <c r="G2240" t="s">
        <v>20</v>
      </c>
      <c r="H2240" s="1">
        <v>45586</v>
      </c>
      <c r="I2240" s="1">
        <v>45603</v>
      </c>
      <c r="J2240" t="str">
        <f t="shared" si="34"/>
        <v>Oct-2024</v>
      </c>
    </row>
    <row r="2241" spans="1:10">
      <c r="A2241">
        <v>2240</v>
      </c>
      <c r="B2241">
        <v>10083</v>
      </c>
      <c r="C2241" t="s">
        <v>18</v>
      </c>
      <c r="D2241">
        <v>74667.83</v>
      </c>
      <c r="E2241" t="s">
        <v>16</v>
      </c>
      <c r="F2241">
        <v>24</v>
      </c>
      <c r="G2241" t="s">
        <v>21</v>
      </c>
      <c r="H2241" s="1">
        <v>45624</v>
      </c>
      <c r="I2241" s="1">
        <v>45648</v>
      </c>
      <c r="J2241" t="str">
        <f t="shared" si="34"/>
        <v>Nov-2024</v>
      </c>
    </row>
    <row r="2242" spans="1:10">
      <c r="A2242">
        <v>2241</v>
      </c>
      <c r="B2242">
        <v>19631</v>
      </c>
      <c r="C2242" t="s">
        <v>18</v>
      </c>
      <c r="D2242">
        <v>178754.87</v>
      </c>
      <c r="E2242" t="s">
        <v>16</v>
      </c>
      <c r="F2242">
        <v>27</v>
      </c>
      <c r="G2242" t="s">
        <v>21</v>
      </c>
      <c r="H2242" s="1">
        <v>45651</v>
      </c>
      <c r="I2242" s="1">
        <v>45678</v>
      </c>
      <c r="J2242" t="str">
        <f t="shared" si="34"/>
        <v>Dec-2024</v>
      </c>
    </row>
    <row r="2243" spans="1:10">
      <c r="A2243">
        <v>2242</v>
      </c>
      <c r="B2243">
        <v>12668</v>
      </c>
      <c r="C2243" t="s">
        <v>23</v>
      </c>
      <c r="D2243">
        <v>120766.64</v>
      </c>
      <c r="E2243" t="s">
        <v>16</v>
      </c>
      <c r="F2243">
        <v>17</v>
      </c>
      <c r="G2243" t="s">
        <v>17</v>
      </c>
      <c r="H2243" s="1">
        <v>45382</v>
      </c>
      <c r="I2243" s="1">
        <v>45399</v>
      </c>
      <c r="J2243" t="str">
        <f t="shared" ref="J2243:J2306" si="35">TEXT(H2243,"mmm-yyyy")</f>
        <v>Mar-2024</v>
      </c>
    </row>
    <row r="2244" spans="1:10">
      <c r="A2244">
        <v>2243</v>
      </c>
      <c r="B2244">
        <v>15231</v>
      </c>
      <c r="C2244" t="s">
        <v>23</v>
      </c>
      <c r="D2244">
        <v>162151.6</v>
      </c>
      <c r="E2244" t="s">
        <v>19</v>
      </c>
      <c r="F2244">
        <v>28</v>
      </c>
      <c r="G2244" t="s">
        <v>21</v>
      </c>
      <c r="H2244" s="1">
        <v>45406</v>
      </c>
      <c r="I2244" s="1">
        <v>45434</v>
      </c>
      <c r="J2244" t="str">
        <f t="shared" si="35"/>
        <v>Apr-2024</v>
      </c>
    </row>
    <row r="2245" spans="1:10">
      <c r="A2245">
        <v>2244</v>
      </c>
      <c r="B2245">
        <v>18890</v>
      </c>
      <c r="C2245" t="s">
        <v>22</v>
      </c>
      <c r="D2245">
        <v>88349.06</v>
      </c>
      <c r="E2245" t="s">
        <v>16</v>
      </c>
      <c r="F2245">
        <v>42</v>
      </c>
      <c r="G2245" t="s">
        <v>25</v>
      </c>
      <c r="H2245" s="1">
        <v>45450</v>
      </c>
      <c r="I2245" s="1">
        <v>45492</v>
      </c>
      <c r="J2245" t="str">
        <f t="shared" si="35"/>
        <v>Jun-2024</v>
      </c>
    </row>
    <row r="2246" spans="1:10">
      <c r="A2246">
        <v>2245</v>
      </c>
      <c r="B2246">
        <v>11820</v>
      </c>
      <c r="C2246" t="s">
        <v>23</v>
      </c>
      <c r="D2246">
        <v>27112.67</v>
      </c>
      <c r="E2246" t="s">
        <v>16</v>
      </c>
      <c r="F2246">
        <v>31</v>
      </c>
      <c r="G2246" t="s">
        <v>20</v>
      </c>
      <c r="H2246" s="1">
        <v>45549</v>
      </c>
      <c r="I2246" s="1">
        <v>45580</v>
      </c>
      <c r="J2246" t="str">
        <f t="shared" si="35"/>
        <v>Sep-2024</v>
      </c>
    </row>
    <row r="2247" spans="1:10">
      <c r="A2247">
        <v>2246</v>
      </c>
      <c r="B2247">
        <v>14414</v>
      </c>
      <c r="C2247" t="s">
        <v>23</v>
      </c>
      <c r="D2247">
        <v>89576.78</v>
      </c>
      <c r="E2247" t="s">
        <v>16</v>
      </c>
      <c r="F2247">
        <v>34</v>
      </c>
      <c r="G2247" t="s">
        <v>25</v>
      </c>
      <c r="H2247" s="1">
        <v>45629</v>
      </c>
      <c r="I2247" s="1">
        <v>45663</v>
      </c>
      <c r="J2247" t="str">
        <f t="shared" si="35"/>
        <v>Dec-2024</v>
      </c>
    </row>
    <row r="2248" spans="1:10">
      <c r="A2248">
        <v>2247</v>
      </c>
      <c r="B2248">
        <v>17249</v>
      </c>
      <c r="C2248" t="s">
        <v>23</v>
      </c>
      <c r="D2248">
        <v>94173.46</v>
      </c>
      <c r="E2248" t="s">
        <v>19</v>
      </c>
      <c r="F2248">
        <v>33</v>
      </c>
      <c r="G2248" t="s">
        <v>21</v>
      </c>
      <c r="H2248" s="1">
        <v>45381</v>
      </c>
      <c r="I2248" s="1">
        <v>45414</v>
      </c>
      <c r="J2248" t="str">
        <f t="shared" si="35"/>
        <v>Mar-2024</v>
      </c>
    </row>
    <row r="2249" spans="1:10">
      <c r="A2249">
        <v>2248</v>
      </c>
      <c r="B2249">
        <v>19290</v>
      </c>
      <c r="C2249" t="s">
        <v>23</v>
      </c>
      <c r="D2249">
        <v>112434.12</v>
      </c>
      <c r="E2249" t="s">
        <v>16</v>
      </c>
      <c r="F2249">
        <v>10</v>
      </c>
      <c r="G2249" t="s">
        <v>17</v>
      </c>
      <c r="H2249" s="1">
        <v>45536</v>
      </c>
      <c r="I2249" s="1">
        <v>45546</v>
      </c>
      <c r="J2249" t="str">
        <f t="shared" si="35"/>
        <v>Sep-2024</v>
      </c>
    </row>
    <row r="2250" spans="1:10">
      <c r="A2250">
        <v>2249</v>
      </c>
      <c r="B2250">
        <v>16572</v>
      </c>
      <c r="C2250" t="s">
        <v>23</v>
      </c>
      <c r="D2250">
        <v>25588.63</v>
      </c>
      <c r="E2250" t="s">
        <v>16</v>
      </c>
      <c r="F2250">
        <v>12</v>
      </c>
      <c r="G2250" t="s">
        <v>20</v>
      </c>
      <c r="H2250" s="1">
        <v>45589</v>
      </c>
      <c r="I2250" s="1">
        <v>45601</v>
      </c>
      <c r="J2250" t="str">
        <f t="shared" si="35"/>
        <v>Oct-2024</v>
      </c>
    </row>
    <row r="2251" spans="1:10">
      <c r="A2251">
        <v>2250</v>
      </c>
      <c r="B2251">
        <v>17627</v>
      </c>
      <c r="C2251" t="s">
        <v>15</v>
      </c>
      <c r="D2251">
        <v>198323.36</v>
      </c>
      <c r="E2251" t="s">
        <v>24</v>
      </c>
      <c r="G2251" t="s">
        <v>21</v>
      </c>
      <c r="H2251" s="1">
        <v>45322</v>
      </c>
      <c r="J2251" t="str">
        <f t="shared" si="35"/>
        <v>Jan-2024</v>
      </c>
    </row>
    <row r="2252" spans="1:10">
      <c r="A2252">
        <v>2251</v>
      </c>
      <c r="B2252">
        <v>12894</v>
      </c>
      <c r="C2252" t="s">
        <v>23</v>
      </c>
      <c r="D2252">
        <v>52606.68</v>
      </c>
      <c r="E2252" t="s">
        <v>16</v>
      </c>
      <c r="F2252">
        <v>7</v>
      </c>
      <c r="G2252" t="s">
        <v>21</v>
      </c>
      <c r="H2252" s="1">
        <v>45608</v>
      </c>
      <c r="I2252" s="1">
        <v>45615</v>
      </c>
      <c r="J2252" t="str">
        <f t="shared" si="35"/>
        <v>Nov-2024</v>
      </c>
    </row>
    <row r="2253" spans="1:10">
      <c r="A2253">
        <v>2252</v>
      </c>
      <c r="B2253">
        <v>13417</v>
      </c>
      <c r="C2253" t="s">
        <v>23</v>
      </c>
      <c r="D2253">
        <v>43717.72</v>
      </c>
      <c r="E2253" t="s">
        <v>16</v>
      </c>
      <c r="F2253">
        <v>31</v>
      </c>
      <c r="G2253" t="s">
        <v>17</v>
      </c>
      <c r="H2253" s="1">
        <v>45649</v>
      </c>
      <c r="I2253" s="1">
        <v>45680</v>
      </c>
      <c r="J2253" t="str">
        <f t="shared" si="35"/>
        <v>Dec-2024</v>
      </c>
    </row>
    <row r="2254" spans="1:10">
      <c r="A2254">
        <v>2253</v>
      </c>
      <c r="B2254">
        <v>10248</v>
      </c>
      <c r="C2254" t="s">
        <v>18</v>
      </c>
      <c r="D2254">
        <v>107726.57</v>
      </c>
      <c r="E2254" t="s">
        <v>16</v>
      </c>
      <c r="F2254">
        <v>41</v>
      </c>
      <c r="G2254" t="s">
        <v>17</v>
      </c>
      <c r="H2254" s="1">
        <v>45603</v>
      </c>
      <c r="I2254" s="1">
        <v>45644</v>
      </c>
      <c r="J2254" t="str">
        <f t="shared" si="35"/>
        <v>Nov-2024</v>
      </c>
    </row>
    <row r="2255" spans="1:10">
      <c r="A2255">
        <v>2254</v>
      </c>
      <c r="B2255">
        <v>17810</v>
      </c>
      <c r="C2255" t="s">
        <v>18</v>
      </c>
      <c r="D2255">
        <v>109755.59</v>
      </c>
      <c r="E2255" t="s">
        <v>19</v>
      </c>
      <c r="F2255">
        <v>16</v>
      </c>
      <c r="G2255" t="s">
        <v>25</v>
      </c>
      <c r="H2255" s="1">
        <v>45519</v>
      </c>
      <c r="I2255" s="1">
        <v>45535</v>
      </c>
      <c r="J2255" t="str">
        <f t="shared" si="35"/>
        <v>Aug-2024</v>
      </c>
    </row>
    <row r="2256" spans="1:10">
      <c r="A2256">
        <v>2255</v>
      </c>
      <c r="B2256">
        <v>11890</v>
      </c>
      <c r="C2256" t="s">
        <v>15</v>
      </c>
      <c r="D2256">
        <v>90765.04</v>
      </c>
      <c r="E2256" t="s">
        <v>16</v>
      </c>
      <c r="F2256">
        <v>31</v>
      </c>
      <c r="G2256" t="s">
        <v>20</v>
      </c>
      <c r="H2256" s="1">
        <v>45630</v>
      </c>
      <c r="I2256" s="1">
        <v>45661</v>
      </c>
      <c r="J2256" t="str">
        <f t="shared" si="35"/>
        <v>Dec-2024</v>
      </c>
    </row>
    <row r="2257" spans="1:10">
      <c r="A2257">
        <v>2256</v>
      </c>
      <c r="B2257">
        <v>17880</v>
      </c>
      <c r="C2257" t="s">
        <v>15</v>
      </c>
      <c r="D2257">
        <v>155518.97</v>
      </c>
      <c r="E2257" t="s">
        <v>16</v>
      </c>
      <c r="F2257">
        <v>19</v>
      </c>
      <c r="G2257" t="s">
        <v>20</v>
      </c>
      <c r="H2257" s="1">
        <v>45419</v>
      </c>
      <c r="I2257" s="1">
        <v>45438</v>
      </c>
      <c r="J2257" t="str">
        <f t="shared" si="35"/>
        <v>May-2024</v>
      </c>
    </row>
    <row r="2258" spans="1:10">
      <c r="A2258">
        <v>2257</v>
      </c>
      <c r="B2258">
        <v>12115</v>
      </c>
      <c r="C2258" t="s">
        <v>23</v>
      </c>
      <c r="D2258">
        <v>105747.61</v>
      </c>
      <c r="E2258" t="s">
        <v>16</v>
      </c>
      <c r="F2258">
        <v>13</v>
      </c>
      <c r="G2258" t="s">
        <v>17</v>
      </c>
      <c r="H2258" s="1">
        <v>45561</v>
      </c>
      <c r="I2258" s="1">
        <v>45574</v>
      </c>
      <c r="J2258" t="str">
        <f t="shared" si="35"/>
        <v>Sep-2024</v>
      </c>
    </row>
    <row r="2259" spans="1:10">
      <c r="A2259">
        <v>2258</v>
      </c>
      <c r="B2259">
        <v>16581</v>
      </c>
      <c r="C2259" t="s">
        <v>18</v>
      </c>
      <c r="D2259">
        <v>123890.61</v>
      </c>
      <c r="E2259" t="s">
        <v>24</v>
      </c>
      <c r="G2259" t="s">
        <v>25</v>
      </c>
      <c r="H2259" s="1">
        <v>45561</v>
      </c>
      <c r="J2259" t="str">
        <f t="shared" si="35"/>
        <v>Sep-2024</v>
      </c>
    </row>
    <row r="2260" spans="1:10">
      <c r="A2260">
        <v>2259</v>
      </c>
      <c r="B2260">
        <v>13063</v>
      </c>
      <c r="C2260" t="s">
        <v>23</v>
      </c>
      <c r="D2260">
        <v>146130.54999999999</v>
      </c>
      <c r="E2260" t="s">
        <v>16</v>
      </c>
      <c r="F2260">
        <v>17</v>
      </c>
      <c r="G2260" t="s">
        <v>20</v>
      </c>
      <c r="H2260" s="1">
        <v>45500</v>
      </c>
      <c r="I2260" s="1">
        <v>45517</v>
      </c>
      <c r="J2260" t="str">
        <f t="shared" si="35"/>
        <v>Jul-2024</v>
      </c>
    </row>
    <row r="2261" spans="1:10">
      <c r="A2261">
        <v>2260</v>
      </c>
      <c r="B2261">
        <v>15651</v>
      </c>
      <c r="C2261" t="s">
        <v>22</v>
      </c>
      <c r="D2261">
        <v>9879.89</v>
      </c>
      <c r="E2261" t="s">
        <v>16</v>
      </c>
      <c r="F2261">
        <v>24</v>
      </c>
      <c r="G2261" t="s">
        <v>17</v>
      </c>
      <c r="H2261" s="1">
        <v>45469</v>
      </c>
      <c r="I2261" s="1">
        <v>45493</v>
      </c>
      <c r="J2261" t="str">
        <f t="shared" si="35"/>
        <v>Jun-2024</v>
      </c>
    </row>
    <row r="2262" spans="1:10">
      <c r="A2262">
        <v>2261</v>
      </c>
      <c r="B2262">
        <v>11806</v>
      </c>
      <c r="C2262" t="s">
        <v>23</v>
      </c>
      <c r="D2262">
        <v>116275.62</v>
      </c>
      <c r="E2262" t="s">
        <v>24</v>
      </c>
      <c r="G2262" t="s">
        <v>21</v>
      </c>
      <c r="H2262" s="1">
        <v>45597</v>
      </c>
      <c r="J2262" t="str">
        <f t="shared" si="35"/>
        <v>Nov-2024</v>
      </c>
    </row>
    <row r="2263" spans="1:10">
      <c r="A2263">
        <v>2262</v>
      </c>
      <c r="B2263">
        <v>17300</v>
      </c>
      <c r="C2263" t="s">
        <v>22</v>
      </c>
      <c r="D2263">
        <v>177417.92</v>
      </c>
      <c r="E2263" t="s">
        <v>16</v>
      </c>
      <c r="F2263">
        <v>25</v>
      </c>
      <c r="G2263" t="s">
        <v>20</v>
      </c>
      <c r="H2263" s="1">
        <v>45482</v>
      </c>
      <c r="I2263" s="1">
        <v>45507</v>
      </c>
      <c r="J2263" t="str">
        <f t="shared" si="35"/>
        <v>Jul-2024</v>
      </c>
    </row>
    <row r="2264" spans="1:10">
      <c r="A2264">
        <v>2263</v>
      </c>
      <c r="B2264">
        <v>18487</v>
      </c>
      <c r="C2264" t="s">
        <v>18</v>
      </c>
      <c r="D2264">
        <v>8390.7999999999993</v>
      </c>
      <c r="E2264" t="s">
        <v>24</v>
      </c>
      <c r="G2264" t="s">
        <v>25</v>
      </c>
      <c r="H2264" s="1">
        <v>45648</v>
      </c>
      <c r="J2264" t="str">
        <f t="shared" si="35"/>
        <v>Dec-2024</v>
      </c>
    </row>
    <row r="2265" spans="1:10">
      <c r="A2265">
        <v>2264</v>
      </c>
      <c r="B2265">
        <v>12694</v>
      </c>
      <c r="C2265" t="s">
        <v>23</v>
      </c>
      <c r="D2265">
        <v>84010.51</v>
      </c>
      <c r="E2265" t="s">
        <v>24</v>
      </c>
      <c r="G2265" t="s">
        <v>25</v>
      </c>
      <c r="H2265" s="1">
        <v>45359</v>
      </c>
      <c r="J2265" t="str">
        <f t="shared" si="35"/>
        <v>Mar-2024</v>
      </c>
    </row>
    <row r="2266" spans="1:10">
      <c r="A2266">
        <v>2265</v>
      </c>
      <c r="B2266">
        <v>15493</v>
      </c>
      <c r="C2266" t="s">
        <v>18</v>
      </c>
      <c r="D2266">
        <v>185614.35</v>
      </c>
      <c r="E2266" t="s">
        <v>19</v>
      </c>
      <c r="F2266">
        <v>16</v>
      </c>
      <c r="G2266" t="s">
        <v>25</v>
      </c>
      <c r="H2266" s="1">
        <v>45618</v>
      </c>
      <c r="I2266" s="1">
        <v>45634</v>
      </c>
      <c r="J2266" t="str">
        <f t="shared" si="35"/>
        <v>Nov-2024</v>
      </c>
    </row>
    <row r="2267" spans="1:10">
      <c r="A2267">
        <v>2266</v>
      </c>
      <c r="B2267">
        <v>18223</v>
      </c>
      <c r="C2267" t="s">
        <v>22</v>
      </c>
      <c r="D2267">
        <v>73865.11</v>
      </c>
      <c r="E2267" t="s">
        <v>16</v>
      </c>
      <c r="F2267">
        <v>16</v>
      </c>
      <c r="G2267" t="s">
        <v>21</v>
      </c>
      <c r="H2267" s="1">
        <v>45558</v>
      </c>
      <c r="I2267" s="1">
        <v>45574</v>
      </c>
      <c r="J2267" t="str">
        <f t="shared" si="35"/>
        <v>Sep-2024</v>
      </c>
    </row>
    <row r="2268" spans="1:10">
      <c r="A2268">
        <v>2267</v>
      </c>
      <c r="B2268">
        <v>14650</v>
      </c>
      <c r="C2268" t="s">
        <v>15</v>
      </c>
      <c r="D2268">
        <v>94452.12</v>
      </c>
      <c r="E2268" t="s">
        <v>16</v>
      </c>
      <c r="F2268">
        <v>11</v>
      </c>
      <c r="G2268" t="s">
        <v>20</v>
      </c>
      <c r="H2268" s="1">
        <v>45561</v>
      </c>
      <c r="I2268" s="1">
        <v>45572</v>
      </c>
      <c r="J2268" t="str">
        <f t="shared" si="35"/>
        <v>Sep-2024</v>
      </c>
    </row>
    <row r="2269" spans="1:10">
      <c r="A2269">
        <v>2268</v>
      </c>
      <c r="B2269">
        <v>18126</v>
      </c>
      <c r="C2269" t="s">
        <v>23</v>
      </c>
      <c r="D2269">
        <v>196400.57</v>
      </c>
      <c r="E2269" t="s">
        <v>19</v>
      </c>
      <c r="F2269">
        <v>29</v>
      </c>
      <c r="G2269" t="s">
        <v>20</v>
      </c>
      <c r="H2269" s="1">
        <v>45653</v>
      </c>
      <c r="I2269" s="1">
        <v>45682</v>
      </c>
      <c r="J2269" t="str">
        <f t="shared" si="35"/>
        <v>Dec-2024</v>
      </c>
    </row>
    <row r="2270" spans="1:10">
      <c r="A2270">
        <v>2269</v>
      </c>
      <c r="B2270">
        <v>10792</v>
      </c>
      <c r="C2270" t="s">
        <v>18</v>
      </c>
      <c r="D2270">
        <v>43868.15</v>
      </c>
      <c r="E2270" t="s">
        <v>24</v>
      </c>
      <c r="G2270" t="s">
        <v>21</v>
      </c>
      <c r="H2270" s="1">
        <v>45651</v>
      </c>
      <c r="J2270" t="str">
        <f t="shared" si="35"/>
        <v>Dec-2024</v>
      </c>
    </row>
    <row r="2271" spans="1:10">
      <c r="A2271">
        <v>2270</v>
      </c>
      <c r="B2271">
        <v>14191</v>
      </c>
      <c r="C2271" t="s">
        <v>23</v>
      </c>
      <c r="D2271">
        <v>17724.759999999998</v>
      </c>
      <c r="E2271" t="s">
        <v>16</v>
      </c>
      <c r="F2271">
        <v>18</v>
      </c>
      <c r="G2271" t="s">
        <v>20</v>
      </c>
      <c r="H2271" s="1">
        <v>45419</v>
      </c>
      <c r="I2271" s="1">
        <v>45437</v>
      </c>
      <c r="J2271" t="str">
        <f t="shared" si="35"/>
        <v>May-2024</v>
      </c>
    </row>
    <row r="2272" spans="1:10">
      <c r="A2272">
        <v>2271</v>
      </c>
      <c r="B2272">
        <v>11089</v>
      </c>
      <c r="C2272" t="s">
        <v>23</v>
      </c>
      <c r="D2272">
        <v>172587.41</v>
      </c>
      <c r="E2272" t="s">
        <v>19</v>
      </c>
      <c r="F2272">
        <v>37</v>
      </c>
      <c r="G2272" t="s">
        <v>21</v>
      </c>
      <c r="H2272" s="1">
        <v>45555</v>
      </c>
      <c r="I2272" s="1">
        <v>45592</v>
      </c>
      <c r="J2272" t="str">
        <f t="shared" si="35"/>
        <v>Sep-2024</v>
      </c>
    </row>
    <row r="2273" spans="1:10">
      <c r="A2273">
        <v>2272</v>
      </c>
      <c r="B2273">
        <v>18421</v>
      </c>
      <c r="C2273" t="s">
        <v>23</v>
      </c>
      <c r="D2273">
        <v>174350.74</v>
      </c>
      <c r="E2273" t="s">
        <v>16</v>
      </c>
      <c r="F2273">
        <v>23</v>
      </c>
      <c r="G2273" t="s">
        <v>21</v>
      </c>
      <c r="H2273" s="1">
        <v>45512</v>
      </c>
      <c r="I2273" s="1">
        <v>45535</v>
      </c>
      <c r="J2273" t="str">
        <f t="shared" si="35"/>
        <v>Aug-2024</v>
      </c>
    </row>
    <row r="2274" spans="1:10">
      <c r="A2274">
        <v>2273</v>
      </c>
      <c r="B2274">
        <v>12780</v>
      </c>
      <c r="C2274" t="s">
        <v>23</v>
      </c>
      <c r="D2274">
        <v>97055.18</v>
      </c>
      <c r="E2274" t="s">
        <v>16</v>
      </c>
      <c r="F2274">
        <v>24</v>
      </c>
      <c r="G2274" t="s">
        <v>21</v>
      </c>
      <c r="H2274" s="1">
        <v>45533</v>
      </c>
      <c r="I2274" s="1">
        <v>45557</v>
      </c>
      <c r="J2274" t="str">
        <f t="shared" si="35"/>
        <v>Aug-2024</v>
      </c>
    </row>
    <row r="2275" spans="1:10">
      <c r="A2275">
        <v>2274</v>
      </c>
      <c r="B2275">
        <v>14497</v>
      </c>
      <c r="C2275" t="s">
        <v>15</v>
      </c>
      <c r="D2275">
        <v>105270.39999999999</v>
      </c>
      <c r="E2275" t="s">
        <v>16</v>
      </c>
      <c r="F2275">
        <v>30</v>
      </c>
      <c r="G2275" t="s">
        <v>25</v>
      </c>
      <c r="H2275" s="1">
        <v>45535</v>
      </c>
      <c r="I2275" s="1">
        <v>45565</v>
      </c>
      <c r="J2275" t="str">
        <f t="shared" si="35"/>
        <v>Aug-2024</v>
      </c>
    </row>
    <row r="2276" spans="1:10">
      <c r="A2276">
        <v>2275</v>
      </c>
      <c r="B2276">
        <v>10789</v>
      </c>
      <c r="C2276" t="s">
        <v>23</v>
      </c>
      <c r="D2276">
        <v>167982.24</v>
      </c>
      <c r="E2276" t="s">
        <v>19</v>
      </c>
      <c r="F2276">
        <v>23</v>
      </c>
      <c r="G2276" t="s">
        <v>20</v>
      </c>
      <c r="H2276" s="1">
        <v>45310</v>
      </c>
      <c r="I2276" s="1">
        <v>45333</v>
      </c>
      <c r="J2276" t="str">
        <f t="shared" si="35"/>
        <v>Jan-2024</v>
      </c>
    </row>
    <row r="2277" spans="1:10">
      <c r="A2277">
        <v>2276</v>
      </c>
      <c r="B2277">
        <v>14194</v>
      </c>
      <c r="C2277" t="s">
        <v>15</v>
      </c>
      <c r="D2277">
        <v>149019.1</v>
      </c>
      <c r="E2277" t="s">
        <v>16</v>
      </c>
      <c r="F2277">
        <v>12</v>
      </c>
      <c r="G2277" t="s">
        <v>21</v>
      </c>
      <c r="H2277" s="1">
        <v>45446</v>
      </c>
      <c r="I2277" s="1">
        <v>45458</v>
      </c>
      <c r="J2277" t="str">
        <f t="shared" si="35"/>
        <v>Jun-2024</v>
      </c>
    </row>
    <row r="2278" spans="1:10">
      <c r="A2278">
        <v>2277</v>
      </c>
      <c r="B2278">
        <v>19990</v>
      </c>
      <c r="C2278" t="s">
        <v>23</v>
      </c>
      <c r="D2278">
        <v>56704.06</v>
      </c>
      <c r="E2278" t="s">
        <v>16</v>
      </c>
      <c r="F2278">
        <v>37</v>
      </c>
      <c r="G2278" t="s">
        <v>20</v>
      </c>
      <c r="H2278" s="1">
        <v>45520</v>
      </c>
      <c r="I2278" s="1">
        <v>45557</v>
      </c>
      <c r="J2278" t="str">
        <f t="shared" si="35"/>
        <v>Aug-2024</v>
      </c>
    </row>
    <row r="2279" spans="1:10">
      <c r="A2279">
        <v>2278</v>
      </c>
      <c r="B2279">
        <v>14457</v>
      </c>
      <c r="C2279" t="s">
        <v>23</v>
      </c>
      <c r="D2279">
        <v>8294.2000000000007</v>
      </c>
      <c r="E2279" t="s">
        <v>24</v>
      </c>
      <c r="G2279" t="s">
        <v>25</v>
      </c>
      <c r="H2279" s="1">
        <v>45349</v>
      </c>
      <c r="J2279" t="str">
        <f t="shared" si="35"/>
        <v>Feb-2024</v>
      </c>
    </row>
    <row r="2280" spans="1:10">
      <c r="A2280">
        <v>2279</v>
      </c>
      <c r="B2280">
        <v>16671</v>
      </c>
      <c r="C2280" t="s">
        <v>23</v>
      </c>
      <c r="D2280">
        <v>98541.53</v>
      </c>
      <c r="E2280" t="s">
        <v>16</v>
      </c>
      <c r="F2280">
        <v>43</v>
      </c>
      <c r="G2280" t="s">
        <v>21</v>
      </c>
      <c r="H2280" s="1">
        <v>45572</v>
      </c>
      <c r="I2280" s="1">
        <v>45615</v>
      </c>
      <c r="J2280" t="str">
        <f t="shared" si="35"/>
        <v>Oct-2024</v>
      </c>
    </row>
    <row r="2281" spans="1:10">
      <c r="A2281">
        <v>2280</v>
      </c>
      <c r="B2281">
        <v>14635</v>
      </c>
      <c r="C2281" t="s">
        <v>23</v>
      </c>
      <c r="D2281">
        <v>172487.9</v>
      </c>
      <c r="E2281" t="s">
        <v>16</v>
      </c>
      <c r="F2281">
        <v>33</v>
      </c>
      <c r="G2281" t="s">
        <v>17</v>
      </c>
      <c r="H2281" s="1">
        <v>45336</v>
      </c>
      <c r="I2281" s="1">
        <v>45369</v>
      </c>
      <c r="J2281" t="str">
        <f t="shared" si="35"/>
        <v>Feb-2024</v>
      </c>
    </row>
    <row r="2282" spans="1:10">
      <c r="A2282">
        <v>2281</v>
      </c>
      <c r="B2282">
        <v>15961</v>
      </c>
      <c r="C2282" t="s">
        <v>23</v>
      </c>
      <c r="D2282">
        <v>179687.76</v>
      </c>
      <c r="E2282" t="s">
        <v>16</v>
      </c>
      <c r="F2282">
        <v>15</v>
      </c>
      <c r="G2282" t="s">
        <v>25</v>
      </c>
      <c r="H2282" s="1">
        <v>45393</v>
      </c>
      <c r="I2282" s="1">
        <v>45408</v>
      </c>
      <c r="J2282" t="str">
        <f t="shared" si="35"/>
        <v>Apr-2024</v>
      </c>
    </row>
    <row r="2283" spans="1:10">
      <c r="A2283">
        <v>2282</v>
      </c>
      <c r="B2283">
        <v>16738</v>
      </c>
      <c r="C2283" t="s">
        <v>23</v>
      </c>
      <c r="D2283">
        <v>191464.11</v>
      </c>
      <c r="E2283" t="s">
        <v>16</v>
      </c>
      <c r="F2283">
        <v>19</v>
      </c>
      <c r="G2283" t="s">
        <v>17</v>
      </c>
      <c r="H2283" s="1">
        <v>45339</v>
      </c>
      <c r="I2283" s="1">
        <v>45358</v>
      </c>
      <c r="J2283" t="str">
        <f t="shared" si="35"/>
        <v>Feb-2024</v>
      </c>
    </row>
    <row r="2284" spans="1:10">
      <c r="A2284">
        <v>2283</v>
      </c>
      <c r="B2284">
        <v>15155</v>
      </c>
      <c r="C2284" t="s">
        <v>18</v>
      </c>
      <c r="D2284">
        <v>176514.83</v>
      </c>
      <c r="E2284" t="s">
        <v>16</v>
      </c>
      <c r="F2284">
        <v>39</v>
      </c>
      <c r="G2284" t="s">
        <v>20</v>
      </c>
      <c r="H2284" s="1">
        <v>45341</v>
      </c>
      <c r="I2284" s="1">
        <v>45380</v>
      </c>
      <c r="J2284" t="str">
        <f t="shared" si="35"/>
        <v>Feb-2024</v>
      </c>
    </row>
    <row r="2285" spans="1:10">
      <c r="A2285">
        <v>2284</v>
      </c>
      <c r="B2285">
        <v>10313</v>
      </c>
      <c r="C2285" t="s">
        <v>23</v>
      </c>
      <c r="D2285">
        <v>118108.49</v>
      </c>
      <c r="E2285" t="s">
        <v>24</v>
      </c>
      <c r="G2285" t="s">
        <v>20</v>
      </c>
      <c r="H2285" s="1">
        <v>45372</v>
      </c>
      <c r="J2285" t="str">
        <f t="shared" si="35"/>
        <v>Mar-2024</v>
      </c>
    </row>
    <row r="2286" spans="1:10">
      <c r="A2286">
        <v>2285</v>
      </c>
      <c r="B2286">
        <v>16633</v>
      </c>
      <c r="C2286" t="s">
        <v>23</v>
      </c>
      <c r="D2286">
        <v>91698.09</v>
      </c>
      <c r="E2286" t="s">
        <v>16</v>
      </c>
      <c r="F2286">
        <v>35</v>
      </c>
      <c r="G2286" t="s">
        <v>25</v>
      </c>
      <c r="H2286" s="1">
        <v>45591</v>
      </c>
      <c r="I2286" s="1">
        <v>45626</v>
      </c>
      <c r="J2286" t="str">
        <f t="shared" si="35"/>
        <v>Oct-2024</v>
      </c>
    </row>
    <row r="2287" spans="1:10">
      <c r="A2287">
        <v>2286</v>
      </c>
      <c r="B2287">
        <v>10232</v>
      </c>
      <c r="C2287" t="s">
        <v>23</v>
      </c>
      <c r="D2287">
        <v>156095.72</v>
      </c>
      <c r="E2287" t="s">
        <v>19</v>
      </c>
      <c r="F2287">
        <v>24</v>
      </c>
      <c r="G2287" t="s">
        <v>20</v>
      </c>
      <c r="H2287" s="1">
        <v>45350</v>
      </c>
      <c r="I2287" s="1">
        <v>45374</v>
      </c>
      <c r="J2287" t="str">
        <f t="shared" si="35"/>
        <v>Feb-2024</v>
      </c>
    </row>
    <row r="2288" spans="1:10">
      <c r="A2288">
        <v>2287</v>
      </c>
      <c r="B2288">
        <v>15735</v>
      </c>
      <c r="C2288" t="s">
        <v>15</v>
      </c>
      <c r="D2288">
        <v>149265.22</v>
      </c>
      <c r="E2288" t="s">
        <v>16</v>
      </c>
      <c r="F2288">
        <v>33</v>
      </c>
      <c r="G2288" t="s">
        <v>17</v>
      </c>
      <c r="H2288" s="1">
        <v>45452</v>
      </c>
      <c r="I2288" s="1">
        <v>45485</v>
      </c>
      <c r="J2288" t="str">
        <f t="shared" si="35"/>
        <v>Jun-2024</v>
      </c>
    </row>
    <row r="2289" spans="1:10">
      <c r="A2289">
        <v>2288</v>
      </c>
      <c r="B2289">
        <v>19221</v>
      </c>
      <c r="C2289" t="s">
        <v>22</v>
      </c>
      <c r="D2289">
        <v>109937.97</v>
      </c>
      <c r="E2289" t="s">
        <v>16</v>
      </c>
      <c r="F2289">
        <v>4</v>
      </c>
      <c r="G2289" t="s">
        <v>21</v>
      </c>
      <c r="H2289" s="1">
        <v>45394</v>
      </c>
      <c r="I2289" s="1">
        <v>45398</v>
      </c>
      <c r="J2289" t="str">
        <f t="shared" si="35"/>
        <v>Apr-2024</v>
      </c>
    </row>
    <row r="2290" spans="1:10">
      <c r="A2290">
        <v>2289</v>
      </c>
      <c r="B2290">
        <v>17849</v>
      </c>
      <c r="C2290" t="s">
        <v>23</v>
      </c>
      <c r="D2290">
        <v>22028.84</v>
      </c>
      <c r="E2290" t="s">
        <v>16</v>
      </c>
      <c r="F2290">
        <v>44</v>
      </c>
      <c r="G2290" t="s">
        <v>21</v>
      </c>
      <c r="H2290" s="1">
        <v>45625</v>
      </c>
      <c r="I2290" s="1">
        <v>45669</v>
      </c>
      <c r="J2290" t="str">
        <f t="shared" si="35"/>
        <v>Nov-2024</v>
      </c>
    </row>
    <row r="2291" spans="1:10">
      <c r="A2291">
        <v>2290</v>
      </c>
      <c r="B2291">
        <v>12711</v>
      </c>
      <c r="C2291" t="s">
        <v>23</v>
      </c>
      <c r="D2291">
        <v>185585.86</v>
      </c>
      <c r="E2291" t="s">
        <v>16</v>
      </c>
      <c r="F2291">
        <v>23</v>
      </c>
      <c r="G2291" t="s">
        <v>21</v>
      </c>
      <c r="H2291" s="1">
        <v>45565</v>
      </c>
      <c r="I2291" s="1">
        <v>45588</v>
      </c>
      <c r="J2291" t="str">
        <f t="shared" si="35"/>
        <v>Sep-2024</v>
      </c>
    </row>
    <row r="2292" spans="1:10">
      <c r="A2292">
        <v>2291</v>
      </c>
      <c r="B2292">
        <v>17940</v>
      </c>
      <c r="C2292" t="s">
        <v>23</v>
      </c>
      <c r="D2292">
        <v>93842.49</v>
      </c>
      <c r="E2292" t="s">
        <v>16</v>
      </c>
      <c r="F2292">
        <v>24</v>
      </c>
      <c r="G2292" t="s">
        <v>25</v>
      </c>
      <c r="H2292" s="1">
        <v>45474</v>
      </c>
      <c r="I2292" s="1">
        <v>45498</v>
      </c>
      <c r="J2292" t="str">
        <f t="shared" si="35"/>
        <v>Jul-2024</v>
      </c>
    </row>
    <row r="2293" spans="1:10">
      <c r="A2293">
        <v>2292</v>
      </c>
      <c r="B2293">
        <v>13344</v>
      </c>
      <c r="C2293" t="s">
        <v>22</v>
      </c>
      <c r="D2293">
        <v>75850.09</v>
      </c>
      <c r="E2293" t="s">
        <v>16</v>
      </c>
      <c r="F2293">
        <v>5</v>
      </c>
      <c r="G2293" t="s">
        <v>20</v>
      </c>
      <c r="H2293" s="1">
        <v>45407</v>
      </c>
      <c r="I2293" s="1">
        <v>45412</v>
      </c>
      <c r="J2293" t="str">
        <f t="shared" si="35"/>
        <v>Apr-2024</v>
      </c>
    </row>
    <row r="2294" spans="1:10">
      <c r="A2294">
        <v>2293</v>
      </c>
      <c r="B2294">
        <v>12122</v>
      </c>
      <c r="C2294" t="s">
        <v>23</v>
      </c>
      <c r="D2294">
        <v>127765.64</v>
      </c>
      <c r="E2294" t="s">
        <v>16</v>
      </c>
      <c r="F2294">
        <v>14</v>
      </c>
      <c r="G2294" t="s">
        <v>17</v>
      </c>
      <c r="H2294" s="1">
        <v>45653</v>
      </c>
      <c r="I2294" s="1">
        <v>45667</v>
      </c>
      <c r="J2294" t="str">
        <f t="shared" si="35"/>
        <v>Dec-2024</v>
      </c>
    </row>
    <row r="2295" spans="1:10">
      <c r="A2295">
        <v>2294</v>
      </c>
      <c r="B2295">
        <v>13779</v>
      </c>
      <c r="C2295" t="s">
        <v>23</v>
      </c>
      <c r="D2295">
        <v>136398.39999999999</v>
      </c>
      <c r="E2295" t="s">
        <v>16</v>
      </c>
      <c r="F2295">
        <v>33</v>
      </c>
      <c r="G2295" t="s">
        <v>20</v>
      </c>
      <c r="H2295" s="1">
        <v>45558</v>
      </c>
      <c r="I2295" s="1">
        <v>45591</v>
      </c>
      <c r="J2295" t="str">
        <f t="shared" si="35"/>
        <v>Sep-2024</v>
      </c>
    </row>
    <row r="2296" spans="1:10">
      <c r="A2296">
        <v>2295</v>
      </c>
      <c r="B2296">
        <v>15654</v>
      </c>
      <c r="C2296" t="s">
        <v>23</v>
      </c>
      <c r="D2296">
        <v>46084.14</v>
      </c>
      <c r="E2296" t="s">
        <v>16</v>
      </c>
      <c r="F2296">
        <v>30</v>
      </c>
      <c r="G2296" t="s">
        <v>20</v>
      </c>
      <c r="H2296" s="1">
        <v>45455</v>
      </c>
      <c r="I2296" s="1">
        <v>45485</v>
      </c>
      <c r="J2296" t="str">
        <f t="shared" si="35"/>
        <v>Jun-2024</v>
      </c>
    </row>
    <row r="2297" spans="1:10">
      <c r="A2297">
        <v>2296</v>
      </c>
      <c r="B2297">
        <v>19072</v>
      </c>
      <c r="C2297" t="s">
        <v>23</v>
      </c>
      <c r="D2297">
        <v>168203.07</v>
      </c>
      <c r="E2297" t="s">
        <v>16</v>
      </c>
      <c r="F2297">
        <v>41</v>
      </c>
      <c r="G2297" t="s">
        <v>20</v>
      </c>
      <c r="H2297" s="1">
        <v>45434</v>
      </c>
      <c r="I2297" s="1">
        <v>45475</v>
      </c>
      <c r="J2297" t="str">
        <f t="shared" si="35"/>
        <v>May-2024</v>
      </c>
    </row>
    <row r="2298" spans="1:10">
      <c r="A2298">
        <v>2297</v>
      </c>
      <c r="B2298">
        <v>11172</v>
      </c>
      <c r="C2298" t="s">
        <v>23</v>
      </c>
      <c r="D2298">
        <v>61537.73</v>
      </c>
      <c r="E2298" t="s">
        <v>24</v>
      </c>
      <c r="G2298" t="s">
        <v>21</v>
      </c>
      <c r="H2298" s="1">
        <v>45609</v>
      </c>
      <c r="J2298" t="str">
        <f t="shared" si="35"/>
        <v>Nov-2024</v>
      </c>
    </row>
    <row r="2299" spans="1:10">
      <c r="A2299">
        <v>2298</v>
      </c>
      <c r="B2299">
        <v>17317</v>
      </c>
      <c r="C2299" t="s">
        <v>18</v>
      </c>
      <c r="D2299">
        <v>41403.370000000003</v>
      </c>
      <c r="E2299" t="s">
        <v>16</v>
      </c>
      <c r="F2299">
        <v>11</v>
      </c>
      <c r="G2299" t="s">
        <v>17</v>
      </c>
      <c r="H2299" s="1">
        <v>45595</v>
      </c>
      <c r="I2299" s="1">
        <v>45606</v>
      </c>
      <c r="J2299" t="str">
        <f t="shared" si="35"/>
        <v>Oct-2024</v>
      </c>
    </row>
    <row r="2300" spans="1:10">
      <c r="A2300">
        <v>2299</v>
      </c>
      <c r="B2300">
        <v>17744</v>
      </c>
      <c r="C2300" t="s">
        <v>23</v>
      </c>
      <c r="D2300">
        <v>84247.97</v>
      </c>
      <c r="E2300" t="s">
        <v>16</v>
      </c>
      <c r="F2300">
        <v>14</v>
      </c>
      <c r="G2300" t="s">
        <v>17</v>
      </c>
      <c r="H2300" s="1">
        <v>45385</v>
      </c>
      <c r="I2300" s="1">
        <v>45399</v>
      </c>
      <c r="J2300" t="str">
        <f t="shared" si="35"/>
        <v>Apr-2024</v>
      </c>
    </row>
    <row r="2301" spans="1:10">
      <c r="A2301">
        <v>2300</v>
      </c>
      <c r="B2301">
        <v>10159</v>
      </c>
      <c r="C2301" t="s">
        <v>18</v>
      </c>
      <c r="D2301">
        <v>147459.22</v>
      </c>
      <c r="E2301" t="s">
        <v>24</v>
      </c>
      <c r="G2301" t="s">
        <v>20</v>
      </c>
      <c r="H2301" s="1">
        <v>45541</v>
      </c>
      <c r="J2301" t="str">
        <f t="shared" si="35"/>
        <v>Sep-2024</v>
      </c>
    </row>
    <row r="2302" spans="1:10">
      <c r="A2302">
        <v>2301</v>
      </c>
      <c r="B2302">
        <v>17963</v>
      </c>
      <c r="C2302" t="s">
        <v>23</v>
      </c>
      <c r="D2302">
        <v>193264.34</v>
      </c>
      <c r="E2302" t="s">
        <v>19</v>
      </c>
      <c r="F2302">
        <v>39</v>
      </c>
      <c r="G2302" t="s">
        <v>21</v>
      </c>
      <c r="H2302" s="1">
        <v>45634</v>
      </c>
      <c r="I2302" s="1">
        <v>45673</v>
      </c>
      <c r="J2302" t="str">
        <f t="shared" si="35"/>
        <v>Dec-2024</v>
      </c>
    </row>
    <row r="2303" spans="1:10">
      <c r="A2303">
        <v>2302</v>
      </c>
      <c r="B2303">
        <v>12129</v>
      </c>
      <c r="C2303" t="s">
        <v>23</v>
      </c>
      <c r="D2303">
        <v>162809.85</v>
      </c>
      <c r="E2303" t="s">
        <v>16</v>
      </c>
      <c r="F2303">
        <v>3</v>
      </c>
      <c r="G2303" t="s">
        <v>21</v>
      </c>
      <c r="H2303" s="1">
        <v>45597</v>
      </c>
      <c r="I2303" s="1">
        <v>45600</v>
      </c>
      <c r="J2303" t="str">
        <f t="shared" si="35"/>
        <v>Nov-2024</v>
      </c>
    </row>
    <row r="2304" spans="1:10">
      <c r="A2304">
        <v>2303</v>
      </c>
      <c r="B2304">
        <v>13078</v>
      </c>
      <c r="C2304" t="s">
        <v>22</v>
      </c>
      <c r="D2304">
        <v>188367.93</v>
      </c>
      <c r="E2304" t="s">
        <v>16</v>
      </c>
      <c r="F2304">
        <v>18</v>
      </c>
      <c r="G2304" t="s">
        <v>17</v>
      </c>
      <c r="H2304" s="1">
        <v>45607</v>
      </c>
      <c r="I2304" s="1">
        <v>45625</v>
      </c>
      <c r="J2304" t="str">
        <f t="shared" si="35"/>
        <v>Nov-2024</v>
      </c>
    </row>
    <row r="2305" spans="1:10">
      <c r="A2305">
        <v>2304</v>
      </c>
      <c r="B2305">
        <v>12229</v>
      </c>
      <c r="C2305" t="s">
        <v>23</v>
      </c>
      <c r="D2305">
        <v>32418.13</v>
      </c>
      <c r="E2305" t="s">
        <v>16</v>
      </c>
      <c r="F2305">
        <v>27</v>
      </c>
      <c r="G2305" t="s">
        <v>21</v>
      </c>
      <c r="H2305" s="1">
        <v>45531</v>
      </c>
      <c r="I2305" s="1">
        <v>45558</v>
      </c>
      <c r="J2305" t="str">
        <f t="shared" si="35"/>
        <v>Aug-2024</v>
      </c>
    </row>
    <row r="2306" spans="1:10">
      <c r="A2306">
        <v>2305</v>
      </c>
      <c r="B2306">
        <v>12917</v>
      </c>
      <c r="C2306" t="s">
        <v>15</v>
      </c>
      <c r="D2306">
        <v>18879.48</v>
      </c>
      <c r="E2306" t="s">
        <v>16</v>
      </c>
      <c r="F2306">
        <v>39</v>
      </c>
      <c r="G2306" t="s">
        <v>21</v>
      </c>
      <c r="H2306" s="1">
        <v>45350</v>
      </c>
      <c r="I2306" s="1">
        <v>45389</v>
      </c>
      <c r="J2306" t="str">
        <f t="shared" si="35"/>
        <v>Feb-2024</v>
      </c>
    </row>
    <row r="2307" spans="1:10">
      <c r="A2307">
        <v>2306</v>
      </c>
      <c r="B2307">
        <v>13013</v>
      </c>
      <c r="C2307" t="s">
        <v>18</v>
      </c>
      <c r="D2307">
        <v>113752.43</v>
      </c>
      <c r="E2307" t="s">
        <v>19</v>
      </c>
      <c r="F2307">
        <v>38</v>
      </c>
      <c r="G2307" t="s">
        <v>21</v>
      </c>
      <c r="H2307" s="1">
        <v>45306</v>
      </c>
      <c r="I2307" s="1">
        <v>45344</v>
      </c>
      <c r="J2307" t="str">
        <f t="shared" ref="J2307:J2370" si="36">TEXT(H2307,"mmm-yyyy")</f>
        <v>Jan-2024</v>
      </c>
    </row>
    <row r="2308" spans="1:10">
      <c r="A2308">
        <v>2307</v>
      </c>
      <c r="B2308">
        <v>19741</v>
      </c>
      <c r="C2308" t="s">
        <v>23</v>
      </c>
      <c r="D2308">
        <v>61608.01</v>
      </c>
      <c r="E2308" t="s">
        <v>19</v>
      </c>
      <c r="F2308">
        <v>6</v>
      </c>
      <c r="G2308" t="s">
        <v>25</v>
      </c>
      <c r="H2308" s="1">
        <v>45576</v>
      </c>
      <c r="I2308" s="1">
        <v>45582</v>
      </c>
      <c r="J2308" t="str">
        <f t="shared" si="36"/>
        <v>Oct-2024</v>
      </c>
    </row>
    <row r="2309" spans="1:10">
      <c r="A2309">
        <v>2308</v>
      </c>
      <c r="B2309">
        <v>16326</v>
      </c>
      <c r="C2309" t="s">
        <v>22</v>
      </c>
      <c r="D2309">
        <v>166470.72</v>
      </c>
      <c r="E2309" t="s">
        <v>16</v>
      </c>
      <c r="F2309">
        <v>26</v>
      </c>
      <c r="G2309" t="s">
        <v>20</v>
      </c>
      <c r="H2309" s="1">
        <v>45494</v>
      </c>
      <c r="I2309" s="1">
        <v>45520</v>
      </c>
      <c r="J2309" t="str">
        <f t="shared" si="36"/>
        <v>Jul-2024</v>
      </c>
    </row>
    <row r="2310" spans="1:10">
      <c r="A2310">
        <v>2309</v>
      </c>
      <c r="B2310">
        <v>11579</v>
      </c>
      <c r="C2310" t="s">
        <v>23</v>
      </c>
      <c r="D2310">
        <v>136037.63</v>
      </c>
      <c r="E2310" t="s">
        <v>24</v>
      </c>
      <c r="G2310" t="s">
        <v>17</v>
      </c>
      <c r="H2310" s="1">
        <v>45528</v>
      </c>
      <c r="J2310" t="str">
        <f t="shared" si="36"/>
        <v>Aug-2024</v>
      </c>
    </row>
    <row r="2311" spans="1:10">
      <c r="A2311">
        <v>2310</v>
      </c>
      <c r="B2311">
        <v>11960</v>
      </c>
      <c r="C2311" t="s">
        <v>15</v>
      </c>
      <c r="D2311">
        <v>194291.99</v>
      </c>
      <c r="E2311" t="s">
        <v>16</v>
      </c>
      <c r="F2311">
        <v>29</v>
      </c>
      <c r="G2311" t="s">
        <v>17</v>
      </c>
      <c r="H2311" s="1">
        <v>45587</v>
      </c>
      <c r="I2311" s="1">
        <v>45616</v>
      </c>
      <c r="J2311" t="str">
        <f t="shared" si="36"/>
        <v>Oct-2024</v>
      </c>
    </row>
    <row r="2312" spans="1:10">
      <c r="A2312">
        <v>2311</v>
      </c>
      <c r="B2312">
        <v>17902</v>
      </c>
      <c r="C2312" t="s">
        <v>23</v>
      </c>
      <c r="D2312">
        <v>54684.51</v>
      </c>
      <c r="E2312" t="s">
        <v>16</v>
      </c>
      <c r="F2312">
        <v>23</v>
      </c>
      <c r="G2312" t="s">
        <v>25</v>
      </c>
      <c r="H2312" s="1">
        <v>45578</v>
      </c>
      <c r="I2312" s="1">
        <v>45601</v>
      </c>
      <c r="J2312" t="str">
        <f t="shared" si="36"/>
        <v>Oct-2024</v>
      </c>
    </row>
    <row r="2313" spans="1:10">
      <c r="A2313">
        <v>2312</v>
      </c>
      <c r="B2313">
        <v>16657</v>
      </c>
      <c r="C2313" t="s">
        <v>15</v>
      </c>
      <c r="D2313">
        <v>99727.9</v>
      </c>
      <c r="E2313" t="s">
        <v>19</v>
      </c>
      <c r="F2313">
        <v>30</v>
      </c>
      <c r="G2313" t="s">
        <v>20</v>
      </c>
      <c r="H2313" s="1">
        <v>45364</v>
      </c>
      <c r="I2313" s="1">
        <v>45394</v>
      </c>
      <c r="J2313" t="str">
        <f t="shared" si="36"/>
        <v>Mar-2024</v>
      </c>
    </row>
    <row r="2314" spans="1:10">
      <c r="A2314">
        <v>2313</v>
      </c>
      <c r="B2314">
        <v>13844</v>
      </c>
      <c r="C2314" t="s">
        <v>23</v>
      </c>
      <c r="D2314">
        <v>102741.89</v>
      </c>
      <c r="E2314" t="s">
        <v>16</v>
      </c>
      <c r="F2314">
        <v>36</v>
      </c>
      <c r="G2314" t="s">
        <v>17</v>
      </c>
      <c r="H2314" s="1">
        <v>45505</v>
      </c>
      <c r="I2314" s="1">
        <v>45541</v>
      </c>
      <c r="J2314" t="str">
        <f t="shared" si="36"/>
        <v>Aug-2024</v>
      </c>
    </row>
    <row r="2315" spans="1:10">
      <c r="A2315">
        <v>2314</v>
      </c>
      <c r="B2315">
        <v>14697</v>
      </c>
      <c r="C2315" t="s">
        <v>18</v>
      </c>
      <c r="D2315">
        <v>51639.47</v>
      </c>
      <c r="E2315" t="s">
        <v>19</v>
      </c>
      <c r="F2315">
        <v>21</v>
      </c>
      <c r="G2315" t="s">
        <v>21</v>
      </c>
      <c r="H2315" s="1">
        <v>45302</v>
      </c>
      <c r="I2315" s="1">
        <v>45323</v>
      </c>
      <c r="J2315" t="str">
        <f t="shared" si="36"/>
        <v>Jan-2024</v>
      </c>
    </row>
    <row r="2316" spans="1:10">
      <c r="A2316">
        <v>2315</v>
      </c>
      <c r="B2316">
        <v>12390</v>
      </c>
      <c r="C2316" t="s">
        <v>18</v>
      </c>
      <c r="D2316">
        <v>120068.21</v>
      </c>
      <c r="E2316" t="s">
        <v>24</v>
      </c>
      <c r="G2316" t="s">
        <v>17</v>
      </c>
      <c r="H2316" s="1">
        <v>45628</v>
      </c>
      <c r="J2316" t="str">
        <f t="shared" si="36"/>
        <v>Dec-2024</v>
      </c>
    </row>
    <row r="2317" spans="1:10">
      <c r="A2317">
        <v>2316</v>
      </c>
      <c r="B2317">
        <v>11419</v>
      </c>
      <c r="C2317" t="s">
        <v>22</v>
      </c>
      <c r="D2317">
        <v>91440.77</v>
      </c>
      <c r="E2317" t="s">
        <v>16</v>
      </c>
      <c r="F2317">
        <v>40</v>
      </c>
      <c r="G2317" t="s">
        <v>21</v>
      </c>
      <c r="H2317" s="1">
        <v>45516</v>
      </c>
      <c r="I2317" s="1">
        <v>45556</v>
      </c>
      <c r="J2317" t="str">
        <f t="shared" si="36"/>
        <v>Aug-2024</v>
      </c>
    </row>
    <row r="2318" spans="1:10">
      <c r="A2318">
        <v>2317</v>
      </c>
      <c r="B2318">
        <v>13917</v>
      </c>
      <c r="C2318" t="s">
        <v>22</v>
      </c>
      <c r="D2318">
        <v>92110.7</v>
      </c>
      <c r="E2318" t="s">
        <v>16</v>
      </c>
      <c r="F2318">
        <v>33</v>
      </c>
      <c r="G2318" t="s">
        <v>25</v>
      </c>
      <c r="H2318" s="1">
        <v>45609</v>
      </c>
      <c r="I2318" s="1">
        <v>45642</v>
      </c>
      <c r="J2318" t="str">
        <f t="shared" si="36"/>
        <v>Nov-2024</v>
      </c>
    </row>
    <row r="2319" spans="1:10">
      <c r="A2319">
        <v>2318</v>
      </c>
      <c r="B2319">
        <v>14942</v>
      </c>
      <c r="C2319" t="s">
        <v>15</v>
      </c>
      <c r="D2319">
        <v>75733.649999999994</v>
      </c>
      <c r="E2319" t="s">
        <v>16</v>
      </c>
      <c r="F2319">
        <v>40</v>
      </c>
      <c r="G2319" t="s">
        <v>21</v>
      </c>
      <c r="H2319" s="1">
        <v>45494</v>
      </c>
      <c r="I2319" s="1">
        <v>45534</v>
      </c>
      <c r="J2319" t="str">
        <f t="shared" si="36"/>
        <v>Jul-2024</v>
      </c>
    </row>
    <row r="2320" spans="1:10">
      <c r="A2320">
        <v>2319</v>
      </c>
      <c r="B2320">
        <v>18354</v>
      </c>
      <c r="C2320" t="s">
        <v>15</v>
      </c>
      <c r="D2320">
        <v>8301.2199999999993</v>
      </c>
      <c r="E2320" t="s">
        <v>16</v>
      </c>
      <c r="F2320">
        <v>11</v>
      </c>
      <c r="G2320" t="s">
        <v>17</v>
      </c>
      <c r="H2320" s="1">
        <v>45522</v>
      </c>
      <c r="I2320" s="1">
        <v>45533</v>
      </c>
      <c r="J2320" t="str">
        <f t="shared" si="36"/>
        <v>Aug-2024</v>
      </c>
    </row>
    <row r="2321" spans="1:10">
      <c r="A2321">
        <v>2320</v>
      </c>
      <c r="B2321">
        <v>18307</v>
      </c>
      <c r="C2321" t="s">
        <v>23</v>
      </c>
      <c r="D2321">
        <v>106808.57</v>
      </c>
      <c r="E2321" t="s">
        <v>16</v>
      </c>
      <c r="F2321">
        <v>41</v>
      </c>
      <c r="G2321" t="s">
        <v>17</v>
      </c>
      <c r="H2321" s="1">
        <v>45342</v>
      </c>
      <c r="I2321" s="1">
        <v>45383</v>
      </c>
      <c r="J2321" t="str">
        <f t="shared" si="36"/>
        <v>Feb-2024</v>
      </c>
    </row>
    <row r="2322" spans="1:10">
      <c r="A2322">
        <v>2321</v>
      </c>
      <c r="B2322">
        <v>17570</v>
      </c>
      <c r="C2322" t="s">
        <v>23</v>
      </c>
      <c r="D2322">
        <v>70373.33</v>
      </c>
      <c r="E2322" t="s">
        <v>16</v>
      </c>
      <c r="F2322">
        <v>18</v>
      </c>
      <c r="G2322" t="s">
        <v>17</v>
      </c>
      <c r="H2322" s="1">
        <v>45348</v>
      </c>
      <c r="I2322" s="1">
        <v>45366</v>
      </c>
      <c r="J2322" t="str">
        <f t="shared" si="36"/>
        <v>Feb-2024</v>
      </c>
    </row>
    <row r="2323" spans="1:10">
      <c r="A2323">
        <v>2322</v>
      </c>
      <c r="B2323">
        <v>15198</v>
      </c>
      <c r="C2323" t="s">
        <v>23</v>
      </c>
      <c r="D2323">
        <v>5257.37</v>
      </c>
      <c r="E2323" t="s">
        <v>19</v>
      </c>
      <c r="F2323">
        <v>38</v>
      </c>
      <c r="G2323" t="s">
        <v>25</v>
      </c>
      <c r="H2323" s="1">
        <v>45423</v>
      </c>
      <c r="I2323" s="1">
        <v>45461</v>
      </c>
      <c r="J2323" t="str">
        <f t="shared" si="36"/>
        <v>May-2024</v>
      </c>
    </row>
    <row r="2324" spans="1:10">
      <c r="A2324">
        <v>2323</v>
      </c>
      <c r="B2324">
        <v>19662</v>
      </c>
      <c r="C2324" t="s">
        <v>23</v>
      </c>
      <c r="D2324">
        <v>65049.02</v>
      </c>
      <c r="E2324" t="s">
        <v>16</v>
      </c>
      <c r="F2324">
        <v>16</v>
      </c>
      <c r="G2324" t="s">
        <v>25</v>
      </c>
      <c r="H2324" s="1">
        <v>45571</v>
      </c>
      <c r="I2324" s="1">
        <v>45587</v>
      </c>
      <c r="J2324" t="str">
        <f t="shared" si="36"/>
        <v>Oct-2024</v>
      </c>
    </row>
    <row r="2325" spans="1:10">
      <c r="A2325">
        <v>2324</v>
      </c>
      <c r="B2325">
        <v>16002</v>
      </c>
      <c r="C2325" t="s">
        <v>23</v>
      </c>
      <c r="D2325">
        <v>59332.52</v>
      </c>
      <c r="E2325" t="s">
        <v>16</v>
      </c>
      <c r="F2325">
        <v>10</v>
      </c>
      <c r="G2325" t="s">
        <v>20</v>
      </c>
      <c r="H2325" s="1">
        <v>45588</v>
      </c>
      <c r="I2325" s="1">
        <v>45598</v>
      </c>
      <c r="J2325" t="str">
        <f t="shared" si="36"/>
        <v>Oct-2024</v>
      </c>
    </row>
    <row r="2326" spans="1:10">
      <c r="A2326">
        <v>2325</v>
      </c>
      <c r="B2326">
        <v>15142</v>
      </c>
      <c r="C2326" t="s">
        <v>18</v>
      </c>
      <c r="D2326">
        <v>81722.39</v>
      </c>
      <c r="E2326" t="s">
        <v>16</v>
      </c>
      <c r="F2326">
        <v>33</v>
      </c>
      <c r="G2326" t="s">
        <v>17</v>
      </c>
      <c r="H2326" s="1">
        <v>45596</v>
      </c>
      <c r="I2326" s="1">
        <v>45629</v>
      </c>
      <c r="J2326" t="str">
        <f t="shared" si="36"/>
        <v>Oct-2024</v>
      </c>
    </row>
    <row r="2327" spans="1:10">
      <c r="A2327">
        <v>2326</v>
      </c>
      <c r="B2327">
        <v>13852</v>
      </c>
      <c r="C2327" t="s">
        <v>23</v>
      </c>
      <c r="D2327">
        <v>30711.14</v>
      </c>
      <c r="E2327" t="s">
        <v>19</v>
      </c>
      <c r="F2327">
        <v>24</v>
      </c>
      <c r="G2327" t="s">
        <v>21</v>
      </c>
      <c r="H2327" s="1">
        <v>45516</v>
      </c>
      <c r="I2327" s="1">
        <v>45540</v>
      </c>
      <c r="J2327" t="str">
        <f t="shared" si="36"/>
        <v>Aug-2024</v>
      </c>
    </row>
    <row r="2328" spans="1:10">
      <c r="A2328">
        <v>2327</v>
      </c>
      <c r="B2328">
        <v>10542</v>
      </c>
      <c r="C2328" t="s">
        <v>18</v>
      </c>
      <c r="D2328">
        <v>103998.35</v>
      </c>
      <c r="E2328" t="s">
        <v>16</v>
      </c>
      <c r="F2328">
        <v>12</v>
      </c>
      <c r="G2328" t="s">
        <v>25</v>
      </c>
      <c r="H2328" s="1">
        <v>45465</v>
      </c>
      <c r="I2328" s="1">
        <v>45477</v>
      </c>
      <c r="J2328" t="str">
        <f t="shared" si="36"/>
        <v>Jun-2024</v>
      </c>
    </row>
    <row r="2329" spans="1:10">
      <c r="A2329">
        <v>2328</v>
      </c>
      <c r="B2329">
        <v>18605</v>
      </c>
      <c r="C2329" t="s">
        <v>23</v>
      </c>
      <c r="D2329">
        <v>140025.87</v>
      </c>
      <c r="E2329" t="s">
        <v>16</v>
      </c>
      <c r="F2329">
        <v>14</v>
      </c>
      <c r="G2329" t="s">
        <v>17</v>
      </c>
      <c r="H2329" s="1">
        <v>45583</v>
      </c>
      <c r="I2329" s="1">
        <v>45597</v>
      </c>
      <c r="J2329" t="str">
        <f t="shared" si="36"/>
        <v>Oct-2024</v>
      </c>
    </row>
    <row r="2330" spans="1:10">
      <c r="A2330">
        <v>2329</v>
      </c>
      <c r="B2330">
        <v>18873</v>
      </c>
      <c r="C2330" t="s">
        <v>23</v>
      </c>
      <c r="D2330">
        <v>127886.19</v>
      </c>
      <c r="E2330" t="s">
        <v>19</v>
      </c>
      <c r="F2330">
        <v>19</v>
      </c>
      <c r="G2330" t="s">
        <v>17</v>
      </c>
      <c r="H2330" s="1">
        <v>45557</v>
      </c>
      <c r="I2330" s="1">
        <v>45576</v>
      </c>
      <c r="J2330" t="str">
        <f t="shared" si="36"/>
        <v>Sep-2024</v>
      </c>
    </row>
    <row r="2331" spans="1:10">
      <c r="A2331">
        <v>2330</v>
      </c>
      <c r="B2331">
        <v>18833</v>
      </c>
      <c r="C2331" t="s">
        <v>18</v>
      </c>
      <c r="D2331">
        <v>161732.21</v>
      </c>
      <c r="E2331" t="s">
        <v>16</v>
      </c>
      <c r="F2331">
        <v>10</v>
      </c>
      <c r="G2331" t="s">
        <v>25</v>
      </c>
      <c r="H2331" s="1">
        <v>45538</v>
      </c>
      <c r="I2331" s="1">
        <v>45548</v>
      </c>
      <c r="J2331" t="str">
        <f t="shared" si="36"/>
        <v>Sep-2024</v>
      </c>
    </row>
    <row r="2332" spans="1:10">
      <c r="A2332">
        <v>2331</v>
      </c>
      <c r="B2332">
        <v>13978</v>
      </c>
      <c r="C2332" t="s">
        <v>18</v>
      </c>
      <c r="D2332">
        <v>93141.62</v>
      </c>
      <c r="E2332" t="s">
        <v>16</v>
      </c>
      <c r="F2332">
        <v>43</v>
      </c>
      <c r="G2332" t="s">
        <v>20</v>
      </c>
      <c r="H2332" s="1">
        <v>45369</v>
      </c>
      <c r="I2332" s="1">
        <v>45412</v>
      </c>
      <c r="J2332" t="str">
        <f t="shared" si="36"/>
        <v>Mar-2024</v>
      </c>
    </row>
    <row r="2333" spans="1:10">
      <c r="A2333">
        <v>2332</v>
      </c>
      <c r="B2333">
        <v>11432</v>
      </c>
      <c r="C2333" t="s">
        <v>18</v>
      </c>
      <c r="D2333">
        <v>106222.89</v>
      </c>
      <c r="E2333" t="s">
        <v>19</v>
      </c>
      <c r="F2333">
        <v>6</v>
      </c>
      <c r="G2333" t="s">
        <v>25</v>
      </c>
      <c r="H2333" s="1">
        <v>45426</v>
      </c>
      <c r="I2333" s="1">
        <v>45432</v>
      </c>
      <c r="J2333" t="str">
        <f t="shared" si="36"/>
        <v>May-2024</v>
      </c>
    </row>
    <row r="2334" spans="1:10">
      <c r="A2334">
        <v>2333</v>
      </c>
      <c r="B2334">
        <v>18860</v>
      </c>
      <c r="C2334" t="s">
        <v>18</v>
      </c>
      <c r="D2334">
        <v>163028.38</v>
      </c>
      <c r="E2334" t="s">
        <v>16</v>
      </c>
      <c r="F2334">
        <v>44</v>
      </c>
      <c r="G2334" t="s">
        <v>25</v>
      </c>
      <c r="H2334" s="1">
        <v>45431</v>
      </c>
      <c r="I2334" s="1">
        <v>45475</v>
      </c>
      <c r="J2334" t="str">
        <f t="shared" si="36"/>
        <v>May-2024</v>
      </c>
    </row>
    <row r="2335" spans="1:10">
      <c r="A2335">
        <v>2334</v>
      </c>
      <c r="B2335">
        <v>17805</v>
      </c>
      <c r="C2335" t="s">
        <v>23</v>
      </c>
      <c r="D2335">
        <v>88401.73</v>
      </c>
      <c r="E2335" t="s">
        <v>24</v>
      </c>
      <c r="G2335" t="s">
        <v>21</v>
      </c>
      <c r="H2335" s="1">
        <v>45633</v>
      </c>
      <c r="J2335" t="str">
        <f t="shared" si="36"/>
        <v>Dec-2024</v>
      </c>
    </row>
    <row r="2336" spans="1:10">
      <c r="A2336">
        <v>2335</v>
      </c>
      <c r="B2336">
        <v>10968</v>
      </c>
      <c r="C2336" t="s">
        <v>18</v>
      </c>
      <c r="D2336">
        <v>141811.87</v>
      </c>
      <c r="E2336" t="s">
        <v>16</v>
      </c>
      <c r="F2336">
        <v>33</v>
      </c>
      <c r="G2336" t="s">
        <v>21</v>
      </c>
      <c r="H2336" s="1">
        <v>45544</v>
      </c>
      <c r="I2336" s="1">
        <v>45577</v>
      </c>
      <c r="J2336" t="str">
        <f t="shared" si="36"/>
        <v>Sep-2024</v>
      </c>
    </row>
    <row r="2337" spans="1:10">
      <c r="A2337">
        <v>2336</v>
      </c>
      <c r="B2337">
        <v>15800</v>
      </c>
      <c r="C2337" t="s">
        <v>23</v>
      </c>
      <c r="D2337">
        <v>89747.46</v>
      </c>
      <c r="E2337" t="s">
        <v>16</v>
      </c>
      <c r="F2337">
        <v>3</v>
      </c>
      <c r="G2337" t="s">
        <v>20</v>
      </c>
      <c r="H2337" s="1">
        <v>45467</v>
      </c>
      <c r="I2337" s="1">
        <v>45470</v>
      </c>
      <c r="J2337" t="str">
        <f t="shared" si="36"/>
        <v>Jun-2024</v>
      </c>
    </row>
    <row r="2338" spans="1:10">
      <c r="A2338">
        <v>2337</v>
      </c>
      <c r="B2338">
        <v>17845</v>
      </c>
      <c r="C2338" t="s">
        <v>23</v>
      </c>
      <c r="D2338">
        <v>86458.559999999998</v>
      </c>
      <c r="E2338" t="s">
        <v>19</v>
      </c>
      <c r="F2338">
        <v>22</v>
      </c>
      <c r="G2338" t="s">
        <v>17</v>
      </c>
      <c r="H2338" s="1">
        <v>45351</v>
      </c>
      <c r="I2338" s="1">
        <v>45373</v>
      </c>
      <c r="J2338" t="str">
        <f t="shared" si="36"/>
        <v>Feb-2024</v>
      </c>
    </row>
    <row r="2339" spans="1:10">
      <c r="A2339">
        <v>2338</v>
      </c>
      <c r="B2339">
        <v>19372</v>
      </c>
      <c r="C2339" t="s">
        <v>23</v>
      </c>
      <c r="D2339">
        <v>153240.1</v>
      </c>
      <c r="E2339" t="s">
        <v>16</v>
      </c>
      <c r="F2339">
        <v>29</v>
      </c>
      <c r="G2339" t="s">
        <v>25</v>
      </c>
      <c r="H2339" s="1">
        <v>45643</v>
      </c>
      <c r="I2339" s="1">
        <v>45672</v>
      </c>
      <c r="J2339" t="str">
        <f t="shared" si="36"/>
        <v>Dec-2024</v>
      </c>
    </row>
    <row r="2340" spans="1:10">
      <c r="A2340">
        <v>2339</v>
      </c>
      <c r="B2340">
        <v>15591</v>
      </c>
      <c r="C2340" t="s">
        <v>23</v>
      </c>
      <c r="D2340">
        <v>39093.199999999997</v>
      </c>
      <c r="E2340" t="s">
        <v>19</v>
      </c>
      <c r="F2340">
        <v>25</v>
      </c>
      <c r="G2340" t="s">
        <v>20</v>
      </c>
      <c r="H2340" s="1">
        <v>45545</v>
      </c>
      <c r="I2340" s="1">
        <v>45570</v>
      </c>
      <c r="J2340" t="str">
        <f t="shared" si="36"/>
        <v>Sep-2024</v>
      </c>
    </row>
    <row r="2341" spans="1:10">
      <c r="A2341">
        <v>2340</v>
      </c>
      <c r="B2341">
        <v>15383</v>
      </c>
      <c r="C2341" t="s">
        <v>23</v>
      </c>
      <c r="D2341">
        <v>71024.259999999995</v>
      </c>
      <c r="E2341" t="s">
        <v>19</v>
      </c>
      <c r="F2341">
        <v>25</v>
      </c>
      <c r="G2341" t="s">
        <v>21</v>
      </c>
      <c r="H2341" s="1">
        <v>45299</v>
      </c>
      <c r="I2341" s="1">
        <v>45324</v>
      </c>
      <c r="J2341" t="str">
        <f t="shared" si="36"/>
        <v>Jan-2024</v>
      </c>
    </row>
    <row r="2342" spans="1:10">
      <c r="A2342">
        <v>2341</v>
      </c>
      <c r="B2342">
        <v>17470</v>
      </c>
      <c r="C2342" t="s">
        <v>22</v>
      </c>
      <c r="D2342">
        <v>48713.59</v>
      </c>
      <c r="E2342" t="s">
        <v>19</v>
      </c>
      <c r="F2342">
        <v>15</v>
      </c>
      <c r="G2342" t="s">
        <v>25</v>
      </c>
      <c r="H2342" s="1">
        <v>45398</v>
      </c>
      <c r="I2342" s="1">
        <v>45413</v>
      </c>
      <c r="J2342" t="str">
        <f t="shared" si="36"/>
        <v>Apr-2024</v>
      </c>
    </row>
    <row r="2343" spans="1:10">
      <c r="A2343">
        <v>2342</v>
      </c>
      <c r="B2343">
        <v>14819</v>
      </c>
      <c r="C2343" t="s">
        <v>22</v>
      </c>
      <c r="D2343">
        <v>75026.44</v>
      </c>
      <c r="E2343" t="s">
        <v>24</v>
      </c>
      <c r="G2343" t="s">
        <v>17</v>
      </c>
      <c r="H2343" s="1">
        <v>45462</v>
      </c>
      <c r="J2343" t="str">
        <f t="shared" si="36"/>
        <v>Jun-2024</v>
      </c>
    </row>
    <row r="2344" spans="1:10">
      <c r="A2344">
        <v>2343</v>
      </c>
      <c r="B2344">
        <v>17632</v>
      </c>
      <c r="C2344" t="s">
        <v>23</v>
      </c>
      <c r="D2344">
        <v>49923.09</v>
      </c>
      <c r="E2344" t="s">
        <v>16</v>
      </c>
      <c r="F2344">
        <v>28</v>
      </c>
      <c r="G2344" t="s">
        <v>21</v>
      </c>
      <c r="H2344" s="1">
        <v>45349</v>
      </c>
      <c r="I2344" s="1">
        <v>45377</v>
      </c>
      <c r="J2344" t="str">
        <f t="shared" si="36"/>
        <v>Feb-2024</v>
      </c>
    </row>
    <row r="2345" spans="1:10">
      <c r="A2345">
        <v>2344</v>
      </c>
      <c r="B2345">
        <v>13235</v>
      </c>
      <c r="C2345" t="s">
        <v>23</v>
      </c>
      <c r="D2345">
        <v>117984.1</v>
      </c>
      <c r="E2345" t="s">
        <v>19</v>
      </c>
      <c r="F2345">
        <v>25</v>
      </c>
      <c r="G2345" t="s">
        <v>21</v>
      </c>
      <c r="H2345" s="1">
        <v>45628</v>
      </c>
      <c r="I2345" s="1">
        <v>45653</v>
      </c>
      <c r="J2345" t="str">
        <f t="shared" si="36"/>
        <v>Dec-2024</v>
      </c>
    </row>
    <row r="2346" spans="1:10">
      <c r="A2346">
        <v>2345</v>
      </c>
      <c r="B2346">
        <v>15255</v>
      </c>
      <c r="C2346" t="s">
        <v>23</v>
      </c>
      <c r="D2346">
        <v>160643.31</v>
      </c>
      <c r="E2346" t="s">
        <v>16</v>
      </c>
      <c r="F2346">
        <v>7</v>
      </c>
      <c r="G2346" t="s">
        <v>21</v>
      </c>
      <c r="H2346" s="1">
        <v>45633</v>
      </c>
      <c r="I2346" s="1">
        <v>45640</v>
      </c>
      <c r="J2346" t="str">
        <f t="shared" si="36"/>
        <v>Dec-2024</v>
      </c>
    </row>
    <row r="2347" spans="1:10">
      <c r="A2347">
        <v>2346</v>
      </c>
      <c r="B2347">
        <v>10251</v>
      </c>
      <c r="C2347" t="s">
        <v>23</v>
      </c>
      <c r="D2347">
        <v>158389.54999999999</v>
      </c>
      <c r="E2347" t="s">
        <v>16</v>
      </c>
      <c r="F2347">
        <v>27</v>
      </c>
      <c r="G2347" t="s">
        <v>20</v>
      </c>
      <c r="H2347" s="1">
        <v>45581</v>
      </c>
      <c r="I2347" s="1">
        <v>45608</v>
      </c>
      <c r="J2347" t="str">
        <f t="shared" si="36"/>
        <v>Oct-2024</v>
      </c>
    </row>
    <row r="2348" spans="1:10">
      <c r="A2348">
        <v>2347</v>
      </c>
      <c r="B2348">
        <v>14300</v>
      </c>
      <c r="C2348" t="s">
        <v>22</v>
      </c>
      <c r="D2348">
        <v>76077.69</v>
      </c>
      <c r="E2348" t="s">
        <v>19</v>
      </c>
      <c r="F2348">
        <v>16</v>
      </c>
      <c r="G2348" t="s">
        <v>17</v>
      </c>
      <c r="H2348" s="1">
        <v>45375</v>
      </c>
      <c r="I2348" s="1">
        <v>45391</v>
      </c>
      <c r="J2348" t="str">
        <f t="shared" si="36"/>
        <v>Mar-2024</v>
      </c>
    </row>
    <row r="2349" spans="1:10">
      <c r="A2349">
        <v>2348</v>
      </c>
      <c r="B2349">
        <v>17409</v>
      </c>
      <c r="C2349" t="s">
        <v>23</v>
      </c>
      <c r="D2349">
        <v>197808.28</v>
      </c>
      <c r="E2349" t="s">
        <v>16</v>
      </c>
      <c r="F2349">
        <v>30</v>
      </c>
      <c r="G2349" t="s">
        <v>25</v>
      </c>
      <c r="H2349" s="1">
        <v>45408</v>
      </c>
      <c r="I2349" s="1">
        <v>45438</v>
      </c>
      <c r="J2349" t="str">
        <f t="shared" si="36"/>
        <v>Apr-2024</v>
      </c>
    </row>
    <row r="2350" spans="1:10">
      <c r="A2350">
        <v>2349</v>
      </c>
      <c r="B2350">
        <v>13998</v>
      </c>
      <c r="C2350" t="s">
        <v>18</v>
      </c>
      <c r="D2350">
        <v>120801.60000000001</v>
      </c>
      <c r="E2350" t="s">
        <v>16</v>
      </c>
      <c r="F2350">
        <v>37</v>
      </c>
      <c r="G2350" t="s">
        <v>20</v>
      </c>
      <c r="H2350" s="1">
        <v>45491</v>
      </c>
      <c r="I2350" s="1">
        <v>45528</v>
      </c>
      <c r="J2350" t="str">
        <f t="shared" si="36"/>
        <v>Jul-2024</v>
      </c>
    </row>
    <row r="2351" spans="1:10">
      <c r="A2351">
        <v>2350</v>
      </c>
      <c r="B2351">
        <v>18982</v>
      </c>
      <c r="C2351" t="s">
        <v>23</v>
      </c>
      <c r="D2351">
        <v>82883.06</v>
      </c>
      <c r="E2351" t="s">
        <v>16</v>
      </c>
      <c r="F2351">
        <v>11</v>
      </c>
      <c r="G2351" t="s">
        <v>20</v>
      </c>
      <c r="H2351" s="1">
        <v>45313</v>
      </c>
      <c r="I2351" s="1">
        <v>45324</v>
      </c>
      <c r="J2351" t="str">
        <f t="shared" si="36"/>
        <v>Jan-2024</v>
      </c>
    </row>
    <row r="2352" spans="1:10">
      <c r="A2352">
        <v>2351</v>
      </c>
      <c r="B2352">
        <v>15180</v>
      </c>
      <c r="C2352" t="s">
        <v>22</v>
      </c>
      <c r="D2352">
        <v>167930.16</v>
      </c>
      <c r="E2352" t="s">
        <v>16</v>
      </c>
      <c r="F2352">
        <v>29</v>
      </c>
      <c r="G2352" t="s">
        <v>20</v>
      </c>
      <c r="H2352" s="1">
        <v>45510</v>
      </c>
      <c r="I2352" s="1">
        <v>45539</v>
      </c>
      <c r="J2352" t="str">
        <f t="shared" si="36"/>
        <v>Aug-2024</v>
      </c>
    </row>
    <row r="2353" spans="1:10">
      <c r="A2353">
        <v>2352</v>
      </c>
      <c r="B2353">
        <v>15421</v>
      </c>
      <c r="C2353" t="s">
        <v>23</v>
      </c>
      <c r="D2353">
        <v>147325.43</v>
      </c>
      <c r="E2353" t="s">
        <v>24</v>
      </c>
      <c r="G2353" t="s">
        <v>21</v>
      </c>
      <c r="H2353" s="1">
        <v>45517</v>
      </c>
      <c r="J2353" t="str">
        <f t="shared" si="36"/>
        <v>Aug-2024</v>
      </c>
    </row>
    <row r="2354" spans="1:10">
      <c r="A2354">
        <v>2353</v>
      </c>
      <c r="B2354">
        <v>11495</v>
      </c>
      <c r="C2354" t="s">
        <v>18</v>
      </c>
      <c r="D2354">
        <v>151108.69</v>
      </c>
      <c r="E2354" t="s">
        <v>16</v>
      </c>
      <c r="F2354">
        <v>22</v>
      </c>
      <c r="G2354" t="s">
        <v>17</v>
      </c>
      <c r="H2354" s="1">
        <v>45562</v>
      </c>
      <c r="I2354" s="1">
        <v>45584</v>
      </c>
      <c r="J2354" t="str">
        <f t="shared" si="36"/>
        <v>Sep-2024</v>
      </c>
    </row>
    <row r="2355" spans="1:10">
      <c r="A2355">
        <v>2354</v>
      </c>
      <c r="B2355">
        <v>17978</v>
      </c>
      <c r="C2355" t="s">
        <v>23</v>
      </c>
      <c r="D2355">
        <v>43247.17</v>
      </c>
      <c r="E2355" t="s">
        <v>16</v>
      </c>
      <c r="F2355">
        <v>11</v>
      </c>
      <c r="G2355" t="s">
        <v>20</v>
      </c>
      <c r="H2355" s="1">
        <v>45393</v>
      </c>
      <c r="I2355" s="1">
        <v>45404</v>
      </c>
      <c r="J2355" t="str">
        <f t="shared" si="36"/>
        <v>Apr-2024</v>
      </c>
    </row>
    <row r="2356" spans="1:10">
      <c r="A2356">
        <v>2355</v>
      </c>
      <c r="B2356">
        <v>18141</v>
      </c>
      <c r="C2356" t="s">
        <v>18</v>
      </c>
      <c r="D2356">
        <v>96323.24</v>
      </c>
      <c r="E2356" t="s">
        <v>19</v>
      </c>
      <c r="F2356">
        <v>5</v>
      </c>
      <c r="G2356" t="s">
        <v>25</v>
      </c>
      <c r="H2356" s="1">
        <v>45436</v>
      </c>
      <c r="I2356" s="1">
        <v>45441</v>
      </c>
      <c r="J2356" t="str">
        <f t="shared" si="36"/>
        <v>May-2024</v>
      </c>
    </row>
    <row r="2357" spans="1:10">
      <c r="A2357">
        <v>2356</v>
      </c>
      <c r="B2357">
        <v>15378</v>
      </c>
      <c r="C2357" t="s">
        <v>23</v>
      </c>
      <c r="D2357">
        <v>173056.49</v>
      </c>
      <c r="E2357" t="s">
        <v>16</v>
      </c>
      <c r="F2357">
        <v>5</v>
      </c>
      <c r="G2357" t="s">
        <v>17</v>
      </c>
      <c r="H2357" s="1">
        <v>45438</v>
      </c>
      <c r="I2357" s="1">
        <v>45443</v>
      </c>
      <c r="J2357" t="str">
        <f t="shared" si="36"/>
        <v>May-2024</v>
      </c>
    </row>
    <row r="2358" spans="1:10">
      <c r="A2358">
        <v>2357</v>
      </c>
      <c r="B2358">
        <v>12577</v>
      </c>
      <c r="C2358" t="s">
        <v>23</v>
      </c>
      <c r="D2358">
        <v>103287.41</v>
      </c>
      <c r="E2358" t="s">
        <v>16</v>
      </c>
      <c r="F2358">
        <v>7</v>
      </c>
      <c r="G2358" t="s">
        <v>25</v>
      </c>
      <c r="H2358" s="1">
        <v>45552</v>
      </c>
      <c r="I2358" s="1">
        <v>45559</v>
      </c>
      <c r="J2358" t="str">
        <f t="shared" si="36"/>
        <v>Sep-2024</v>
      </c>
    </row>
    <row r="2359" spans="1:10">
      <c r="A2359">
        <v>2358</v>
      </c>
      <c r="B2359">
        <v>15306</v>
      </c>
      <c r="C2359" t="s">
        <v>22</v>
      </c>
      <c r="D2359">
        <v>138273.28</v>
      </c>
      <c r="E2359" t="s">
        <v>16</v>
      </c>
      <c r="F2359">
        <v>27</v>
      </c>
      <c r="G2359" t="s">
        <v>17</v>
      </c>
      <c r="H2359" s="1">
        <v>45570</v>
      </c>
      <c r="I2359" s="1">
        <v>45597</v>
      </c>
      <c r="J2359" t="str">
        <f t="shared" si="36"/>
        <v>Oct-2024</v>
      </c>
    </row>
    <row r="2360" spans="1:10">
      <c r="A2360">
        <v>2359</v>
      </c>
      <c r="B2360">
        <v>18133</v>
      </c>
      <c r="C2360" t="s">
        <v>22</v>
      </c>
      <c r="D2360">
        <v>119647.08</v>
      </c>
      <c r="E2360" t="s">
        <v>16</v>
      </c>
      <c r="F2360">
        <v>41</v>
      </c>
      <c r="G2360" t="s">
        <v>25</v>
      </c>
      <c r="H2360" s="1">
        <v>45630</v>
      </c>
      <c r="I2360" s="1">
        <v>45671</v>
      </c>
      <c r="J2360" t="str">
        <f t="shared" si="36"/>
        <v>Dec-2024</v>
      </c>
    </row>
    <row r="2361" spans="1:10">
      <c r="A2361">
        <v>2360</v>
      </c>
      <c r="B2361">
        <v>11235</v>
      </c>
      <c r="C2361" t="s">
        <v>15</v>
      </c>
      <c r="D2361">
        <v>169259.57</v>
      </c>
      <c r="E2361" t="s">
        <v>16</v>
      </c>
      <c r="F2361">
        <v>17</v>
      </c>
      <c r="G2361" t="s">
        <v>21</v>
      </c>
      <c r="H2361" s="1">
        <v>45305</v>
      </c>
      <c r="I2361" s="1">
        <v>45322</v>
      </c>
      <c r="J2361" t="str">
        <f t="shared" si="36"/>
        <v>Jan-2024</v>
      </c>
    </row>
    <row r="2362" spans="1:10">
      <c r="A2362">
        <v>2361</v>
      </c>
      <c r="B2362">
        <v>11058</v>
      </c>
      <c r="C2362" t="s">
        <v>18</v>
      </c>
      <c r="D2362">
        <v>60489.36</v>
      </c>
      <c r="E2362" t="s">
        <v>19</v>
      </c>
      <c r="F2362">
        <v>9</v>
      </c>
      <c r="G2362" t="s">
        <v>20</v>
      </c>
      <c r="H2362" s="1">
        <v>45557</v>
      </c>
      <c r="I2362" s="1">
        <v>45566</v>
      </c>
      <c r="J2362" t="str">
        <f t="shared" si="36"/>
        <v>Sep-2024</v>
      </c>
    </row>
    <row r="2363" spans="1:10">
      <c r="A2363">
        <v>2362</v>
      </c>
      <c r="B2363">
        <v>19362</v>
      </c>
      <c r="C2363" t="s">
        <v>15</v>
      </c>
      <c r="D2363">
        <v>117217.68</v>
      </c>
      <c r="E2363" t="s">
        <v>16</v>
      </c>
      <c r="F2363">
        <v>29</v>
      </c>
      <c r="G2363" t="s">
        <v>25</v>
      </c>
      <c r="H2363" s="1">
        <v>45578</v>
      </c>
      <c r="I2363" s="1">
        <v>45607</v>
      </c>
      <c r="J2363" t="str">
        <f t="shared" si="36"/>
        <v>Oct-2024</v>
      </c>
    </row>
    <row r="2364" spans="1:10">
      <c r="A2364">
        <v>2363</v>
      </c>
      <c r="B2364">
        <v>13659</v>
      </c>
      <c r="C2364" t="s">
        <v>23</v>
      </c>
      <c r="D2364">
        <v>29030.76</v>
      </c>
      <c r="E2364" t="s">
        <v>24</v>
      </c>
      <c r="G2364" t="s">
        <v>17</v>
      </c>
      <c r="H2364" s="1">
        <v>45432</v>
      </c>
      <c r="J2364" t="str">
        <f t="shared" si="36"/>
        <v>May-2024</v>
      </c>
    </row>
    <row r="2365" spans="1:10">
      <c r="A2365">
        <v>2364</v>
      </c>
      <c r="B2365">
        <v>15368</v>
      </c>
      <c r="C2365" t="s">
        <v>23</v>
      </c>
      <c r="D2365">
        <v>139591.1</v>
      </c>
      <c r="E2365" t="s">
        <v>19</v>
      </c>
      <c r="F2365">
        <v>39</v>
      </c>
      <c r="G2365" t="s">
        <v>20</v>
      </c>
      <c r="H2365" s="1">
        <v>45584</v>
      </c>
      <c r="I2365" s="1">
        <v>45623</v>
      </c>
      <c r="J2365" t="str">
        <f t="shared" si="36"/>
        <v>Oct-2024</v>
      </c>
    </row>
    <row r="2366" spans="1:10">
      <c r="A2366">
        <v>2365</v>
      </c>
      <c r="B2366">
        <v>10056</v>
      </c>
      <c r="C2366" t="s">
        <v>23</v>
      </c>
      <c r="D2366">
        <v>147733.73000000001</v>
      </c>
      <c r="E2366" t="s">
        <v>16</v>
      </c>
      <c r="F2366">
        <v>2</v>
      </c>
      <c r="G2366" t="s">
        <v>20</v>
      </c>
      <c r="H2366" s="1">
        <v>45322</v>
      </c>
      <c r="I2366" s="1">
        <v>45324</v>
      </c>
      <c r="J2366" t="str">
        <f t="shared" si="36"/>
        <v>Jan-2024</v>
      </c>
    </row>
    <row r="2367" spans="1:10">
      <c r="A2367">
        <v>2366</v>
      </c>
      <c r="B2367">
        <v>17472</v>
      </c>
      <c r="C2367" t="s">
        <v>18</v>
      </c>
      <c r="D2367">
        <v>13353.28</v>
      </c>
      <c r="E2367" t="s">
        <v>16</v>
      </c>
      <c r="F2367">
        <v>20</v>
      </c>
      <c r="G2367" t="s">
        <v>17</v>
      </c>
      <c r="H2367" s="1">
        <v>45462</v>
      </c>
      <c r="I2367" s="1">
        <v>45482</v>
      </c>
      <c r="J2367" t="str">
        <f t="shared" si="36"/>
        <v>Jun-2024</v>
      </c>
    </row>
    <row r="2368" spans="1:10">
      <c r="A2368">
        <v>2367</v>
      </c>
      <c r="B2368">
        <v>12569</v>
      </c>
      <c r="C2368" t="s">
        <v>23</v>
      </c>
      <c r="D2368">
        <v>136779.24</v>
      </c>
      <c r="E2368" t="s">
        <v>16</v>
      </c>
      <c r="F2368">
        <v>18</v>
      </c>
      <c r="G2368" t="s">
        <v>25</v>
      </c>
      <c r="H2368" s="1">
        <v>45646</v>
      </c>
      <c r="I2368" s="1">
        <v>45664</v>
      </c>
      <c r="J2368" t="str">
        <f t="shared" si="36"/>
        <v>Dec-2024</v>
      </c>
    </row>
    <row r="2369" spans="1:10">
      <c r="A2369">
        <v>2368</v>
      </c>
      <c r="B2369">
        <v>14080</v>
      </c>
      <c r="C2369" t="s">
        <v>23</v>
      </c>
      <c r="D2369">
        <v>85864.58</v>
      </c>
      <c r="E2369" t="s">
        <v>16</v>
      </c>
      <c r="F2369">
        <v>29</v>
      </c>
      <c r="G2369" t="s">
        <v>21</v>
      </c>
      <c r="H2369" s="1">
        <v>45496</v>
      </c>
      <c r="I2369" s="1">
        <v>45525</v>
      </c>
      <c r="J2369" t="str">
        <f t="shared" si="36"/>
        <v>Jul-2024</v>
      </c>
    </row>
    <row r="2370" spans="1:10">
      <c r="A2370">
        <v>2369</v>
      </c>
      <c r="B2370">
        <v>16377</v>
      </c>
      <c r="C2370" t="s">
        <v>18</v>
      </c>
      <c r="D2370">
        <v>29198.89</v>
      </c>
      <c r="E2370" t="s">
        <v>24</v>
      </c>
      <c r="G2370" t="s">
        <v>21</v>
      </c>
      <c r="H2370" s="1">
        <v>45582</v>
      </c>
      <c r="J2370" t="str">
        <f t="shared" si="36"/>
        <v>Oct-2024</v>
      </c>
    </row>
    <row r="2371" spans="1:10">
      <c r="A2371">
        <v>2370</v>
      </c>
      <c r="B2371">
        <v>11948</v>
      </c>
      <c r="C2371" t="s">
        <v>15</v>
      </c>
      <c r="D2371">
        <v>86881.97</v>
      </c>
      <c r="E2371" t="s">
        <v>16</v>
      </c>
      <c r="F2371">
        <v>7</v>
      </c>
      <c r="G2371" t="s">
        <v>25</v>
      </c>
      <c r="H2371" s="1">
        <v>45402</v>
      </c>
      <c r="I2371" s="1">
        <v>45409</v>
      </c>
      <c r="J2371" t="str">
        <f t="shared" ref="J2371:J2434" si="37">TEXT(H2371,"mmm-yyyy")</f>
        <v>Apr-2024</v>
      </c>
    </row>
    <row r="2372" spans="1:10">
      <c r="A2372">
        <v>2371</v>
      </c>
      <c r="B2372">
        <v>10222</v>
      </c>
      <c r="C2372" t="s">
        <v>23</v>
      </c>
      <c r="D2372">
        <v>42875.42</v>
      </c>
      <c r="E2372" t="s">
        <v>16</v>
      </c>
      <c r="F2372">
        <v>8</v>
      </c>
      <c r="G2372" t="s">
        <v>20</v>
      </c>
      <c r="H2372" s="1">
        <v>45359</v>
      </c>
      <c r="I2372" s="1">
        <v>45367</v>
      </c>
      <c r="J2372" t="str">
        <f t="shared" si="37"/>
        <v>Mar-2024</v>
      </c>
    </row>
    <row r="2373" spans="1:10">
      <c r="A2373">
        <v>2372</v>
      </c>
      <c r="B2373">
        <v>19831</v>
      </c>
      <c r="C2373" t="s">
        <v>23</v>
      </c>
      <c r="D2373">
        <v>86034.11</v>
      </c>
      <c r="E2373" t="s">
        <v>16</v>
      </c>
      <c r="F2373">
        <v>9</v>
      </c>
      <c r="G2373" t="s">
        <v>20</v>
      </c>
      <c r="H2373" s="1">
        <v>45474</v>
      </c>
      <c r="I2373" s="1">
        <v>45483</v>
      </c>
      <c r="J2373" t="str">
        <f t="shared" si="37"/>
        <v>Jul-2024</v>
      </c>
    </row>
    <row r="2374" spans="1:10">
      <c r="A2374">
        <v>2373</v>
      </c>
      <c r="B2374">
        <v>15217</v>
      </c>
      <c r="C2374" t="s">
        <v>23</v>
      </c>
      <c r="D2374">
        <v>79946.11</v>
      </c>
      <c r="E2374" t="s">
        <v>16</v>
      </c>
      <c r="F2374">
        <v>4</v>
      </c>
      <c r="G2374" t="s">
        <v>20</v>
      </c>
      <c r="H2374" s="1">
        <v>45487</v>
      </c>
      <c r="I2374" s="1">
        <v>45491</v>
      </c>
      <c r="J2374" t="str">
        <f t="shared" si="37"/>
        <v>Jul-2024</v>
      </c>
    </row>
    <row r="2375" spans="1:10">
      <c r="A2375">
        <v>2374</v>
      </c>
      <c r="B2375">
        <v>19949</v>
      </c>
      <c r="C2375" t="s">
        <v>23</v>
      </c>
      <c r="D2375">
        <v>148986.37</v>
      </c>
      <c r="E2375" t="s">
        <v>16</v>
      </c>
      <c r="F2375">
        <v>22</v>
      </c>
      <c r="G2375" t="s">
        <v>20</v>
      </c>
      <c r="H2375" s="1">
        <v>45417</v>
      </c>
      <c r="I2375" s="1">
        <v>45439</v>
      </c>
      <c r="J2375" t="str">
        <f t="shared" si="37"/>
        <v>May-2024</v>
      </c>
    </row>
    <row r="2376" spans="1:10">
      <c r="A2376">
        <v>2375</v>
      </c>
      <c r="B2376">
        <v>19027</v>
      </c>
      <c r="C2376" t="s">
        <v>23</v>
      </c>
      <c r="D2376">
        <v>155972.03</v>
      </c>
      <c r="E2376" t="s">
        <v>16</v>
      </c>
      <c r="F2376">
        <v>9</v>
      </c>
      <c r="G2376" t="s">
        <v>25</v>
      </c>
      <c r="H2376" s="1">
        <v>45466</v>
      </c>
      <c r="I2376" s="1">
        <v>45475</v>
      </c>
      <c r="J2376" t="str">
        <f t="shared" si="37"/>
        <v>Jun-2024</v>
      </c>
    </row>
    <row r="2377" spans="1:10">
      <c r="A2377">
        <v>2376</v>
      </c>
      <c r="B2377">
        <v>12536</v>
      </c>
      <c r="C2377" t="s">
        <v>18</v>
      </c>
      <c r="D2377">
        <v>123370.59</v>
      </c>
      <c r="E2377" t="s">
        <v>16</v>
      </c>
      <c r="F2377">
        <v>29</v>
      </c>
      <c r="G2377" t="s">
        <v>20</v>
      </c>
      <c r="H2377" s="1">
        <v>45553</v>
      </c>
      <c r="I2377" s="1">
        <v>45582</v>
      </c>
      <c r="J2377" t="str">
        <f t="shared" si="37"/>
        <v>Sep-2024</v>
      </c>
    </row>
    <row r="2378" spans="1:10">
      <c r="A2378">
        <v>2377</v>
      </c>
      <c r="B2378">
        <v>12525</v>
      </c>
      <c r="C2378" t="s">
        <v>18</v>
      </c>
      <c r="D2378">
        <v>9423.93</v>
      </c>
      <c r="E2378" t="s">
        <v>16</v>
      </c>
      <c r="F2378">
        <v>31</v>
      </c>
      <c r="G2378" t="s">
        <v>17</v>
      </c>
      <c r="H2378" s="1">
        <v>45577</v>
      </c>
      <c r="I2378" s="1">
        <v>45608</v>
      </c>
      <c r="J2378" t="str">
        <f t="shared" si="37"/>
        <v>Oct-2024</v>
      </c>
    </row>
    <row r="2379" spans="1:10">
      <c r="A2379">
        <v>2378</v>
      </c>
      <c r="B2379">
        <v>19176</v>
      </c>
      <c r="C2379" t="s">
        <v>18</v>
      </c>
      <c r="D2379">
        <v>186549.34</v>
      </c>
      <c r="E2379" t="s">
        <v>16</v>
      </c>
      <c r="F2379">
        <v>33</v>
      </c>
      <c r="G2379" t="s">
        <v>20</v>
      </c>
      <c r="H2379" s="1">
        <v>45446</v>
      </c>
      <c r="I2379" s="1">
        <v>45479</v>
      </c>
      <c r="J2379" t="str">
        <f t="shared" si="37"/>
        <v>Jun-2024</v>
      </c>
    </row>
    <row r="2380" spans="1:10">
      <c r="A2380">
        <v>2379</v>
      </c>
      <c r="B2380">
        <v>11357</v>
      </c>
      <c r="C2380" t="s">
        <v>23</v>
      </c>
      <c r="D2380">
        <v>138815.49</v>
      </c>
      <c r="E2380" t="s">
        <v>19</v>
      </c>
      <c r="F2380">
        <v>12</v>
      </c>
      <c r="G2380" t="s">
        <v>21</v>
      </c>
      <c r="H2380" s="1">
        <v>45360</v>
      </c>
      <c r="I2380" s="1">
        <v>45372</v>
      </c>
      <c r="J2380" t="str">
        <f t="shared" si="37"/>
        <v>Mar-2024</v>
      </c>
    </row>
    <row r="2381" spans="1:10">
      <c r="A2381">
        <v>2380</v>
      </c>
      <c r="B2381">
        <v>14887</v>
      </c>
      <c r="C2381" t="s">
        <v>15</v>
      </c>
      <c r="D2381">
        <v>11668.11</v>
      </c>
      <c r="E2381" t="s">
        <v>16</v>
      </c>
      <c r="F2381">
        <v>21</v>
      </c>
      <c r="G2381" t="s">
        <v>20</v>
      </c>
      <c r="H2381" s="1">
        <v>45399</v>
      </c>
      <c r="I2381" s="1">
        <v>45420</v>
      </c>
      <c r="J2381" t="str">
        <f t="shared" si="37"/>
        <v>Apr-2024</v>
      </c>
    </row>
    <row r="2382" spans="1:10">
      <c r="A2382">
        <v>2381</v>
      </c>
      <c r="B2382">
        <v>17722</v>
      </c>
      <c r="C2382" t="s">
        <v>23</v>
      </c>
      <c r="D2382">
        <v>164672.42000000001</v>
      </c>
      <c r="E2382" t="s">
        <v>16</v>
      </c>
      <c r="F2382">
        <v>17</v>
      </c>
      <c r="G2382" t="s">
        <v>25</v>
      </c>
      <c r="H2382" s="1">
        <v>45326</v>
      </c>
      <c r="I2382" s="1">
        <v>45343</v>
      </c>
      <c r="J2382" t="str">
        <f t="shared" si="37"/>
        <v>Feb-2024</v>
      </c>
    </row>
    <row r="2383" spans="1:10">
      <c r="A2383">
        <v>2382</v>
      </c>
      <c r="B2383">
        <v>15982</v>
      </c>
      <c r="C2383" t="s">
        <v>23</v>
      </c>
      <c r="D2383">
        <v>44051.9</v>
      </c>
      <c r="E2383" t="s">
        <v>16</v>
      </c>
      <c r="F2383">
        <v>26</v>
      </c>
      <c r="G2383" t="s">
        <v>21</v>
      </c>
      <c r="H2383" s="1">
        <v>45650</v>
      </c>
      <c r="I2383" s="1">
        <v>45676</v>
      </c>
      <c r="J2383" t="str">
        <f t="shared" si="37"/>
        <v>Dec-2024</v>
      </c>
    </row>
    <row r="2384" spans="1:10">
      <c r="A2384">
        <v>2383</v>
      </c>
      <c r="B2384">
        <v>14477</v>
      </c>
      <c r="C2384" t="s">
        <v>15</v>
      </c>
      <c r="D2384">
        <v>117948.13</v>
      </c>
      <c r="E2384" t="s">
        <v>16</v>
      </c>
      <c r="F2384">
        <v>10</v>
      </c>
      <c r="G2384" t="s">
        <v>25</v>
      </c>
      <c r="H2384" s="1">
        <v>45335</v>
      </c>
      <c r="I2384" s="1">
        <v>45345</v>
      </c>
      <c r="J2384" t="str">
        <f t="shared" si="37"/>
        <v>Feb-2024</v>
      </c>
    </row>
    <row r="2385" spans="1:10">
      <c r="A2385">
        <v>2384</v>
      </c>
      <c r="B2385">
        <v>19638</v>
      </c>
      <c r="C2385" t="s">
        <v>23</v>
      </c>
      <c r="D2385">
        <v>95993.7</v>
      </c>
      <c r="E2385" t="s">
        <v>24</v>
      </c>
      <c r="G2385" t="s">
        <v>25</v>
      </c>
      <c r="H2385" s="1">
        <v>45434</v>
      </c>
      <c r="J2385" t="str">
        <f t="shared" si="37"/>
        <v>May-2024</v>
      </c>
    </row>
    <row r="2386" spans="1:10">
      <c r="A2386">
        <v>2385</v>
      </c>
      <c r="B2386">
        <v>11371</v>
      </c>
      <c r="C2386" t="s">
        <v>23</v>
      </c>
      <c r="D2386">
        <v>86868.56</v>
      </c>
      <c r="E2386" t="s">
        <v>16</v>
      </c>
      <c r="F2386">
        <v>41</v>
      </c>
      <c r="G2386" t="s">
        <v>21</v>
      </c>
      <c r="H2386" s="1">
        <v>45502</v>
      </c>
      <c r="I2386" s="1">
        <v>45543</v>
      </c>
      <c r="J2386" t="str">
        <f t="shared" si="37"/>
        <v>Jul-2024</v>
      </c>
    </row>
    <row r="2387" spans="1:10">
      <c r="A2387">
        <v>2386</v>
      </c>
      <c r="B2387">
        <v>13224</v>
      </c>
      <c r="C2387" t="s">
        <v>15</v>
      </c>
      <c r="D2387">
        <v>178494.18</v>
      </c>
      <c r="E2387" t="s">
        <v>16</v>
      </c>
      <c r="F2387">
        <v>41</v>
      </c>
      <c r="G2387" t="s">
        <v>25</v>
      </c>
      <c r="H2387" s="1">
        <v>45576</v>
      </c>
      <c r="I2387" s="1">
        <v>45617</v>
      </c>
      <c r="J2387" t="str">
        <f t="shared" si="37"/>
        <v>Oct-2024</v>
      </c>
    </row>
    <row r="2388" spans="1:10">
      <c r="A2388">
        <v>2387</v>
      </c>
      <c r="B2388">
        <v>11874</v>
      </c>
      <c r="C2388" t="s">
        <v>23</v>
      </c>
      <c r="D2388">
        <v>90285.45</v>
      </c>
      <c r="E2388" t="s">
        <v>19</v>
      </c>
      <c r="F2388">
        <v>4</v>
      </c>
      <c r="G2388" t="s">
        <v>25</v>
      </c>
      <c r="H2388" s="1">
        <v>45297</v>
      </c>
      <c r="I2388" s="1">
        <v>45301</v>
      </c>
      <c r="J2388" t="str">
        <f t="shared" si="37"/>
        <v>Jan-2024</v>
      </c>
    </row>
    <row r="2389" spans="1:10">
      <c r="A2389">
        <v>2388</v>
      </c>
      <c r="B2389">
        <v>13361</v>
      </c>
      <c r="C2389" t="s">
        <v>18</v>
      </c>
      <c r="D2389">
        <v>19692.099999999999</v>
      </c>
      <c r="E2389" t="s">
        <v>19</v>
      </c>
      <c r="F2389">
        <v>17</v>
      </c>
      <c r="G2389" t="s">
        <v>20</v>
      </c>
      <c r="H2389" s="1">
        <v>45509</v>
      </c>
      <c r="I2389" s="1">
        <v>45526</v>
      </c>
      <c r="J2389" t="str">
        <f t="shared" si="37"/>
        <v>Aug-2024</v>
      </c>
    </row>
    <row r="2390" spans="1:10">
      <c r="A2390">
        <v>2389</v>
      </c>
      <c r="B2390">
        <v>16104</v>
      </c>
      <c r="C2390" t="s">
        <v>23</v>
      </c>
      <c r="D2390">
        <v>189594.55</v>
      </c>
      <c r="E2390" t="s">
        <v>16</v>
      </c>
      <c r="F2390">
        <v>13</v>
      </c>
      <c r="G2390" t="s">
        <v>17</v>
      </c>
      <c r="H2390" s="1">
        <v>45318</v>
      </c>
      <c r="I2390" s="1">
        <v>45331</v>
      </c>
      <c r="J2390" t="str">
        <f t="shared" si="37"/>
        <v>Jan-2024</v>
      </c>
    </row>
    <row r="2391" spans="1:10">
      <c r="A2391">
        <v>2390</v>
      </c>
      <c r="B2391">
        <v>11142</v>
      </c>
      <c r="C2391" t="s">
        <v>18</v>
      </c>
      <c r="D2391">
        <v>184504.37</v>
      </c>
      <c r="E2391" t="s">
        <v>16</v>
      </c>
      <c r="F2391">
        <v>16</v>
      </c>
      <c r="G2391" t="s">
        <v>25</v>
      </c>
      <c r="H2391" s="1">
        <v>45518</v>
      </c>
      <c r="I2391" s="1">
        <v>45534</v>
      </c>
      <c r="J2391" t="str">
        <f t="shared" si="37"/>
        <v>Aug-2024</v>
      </c>
    </row>
    <row r="2392" spans="1:10">
      <c r="A2392">
        <v>2391</v>
      </c>
      <c r="B2392">
        <v>14309</v>
      </c>
      <c r="C2392" t="s">
        <v>23</v>
      </c>
      <c r="D2392">
        <v>138464.37</v>
      </c>
      <c r="E2392" t="s">
        <v>19</v>
      </c>
      <c r="F2392">
        <v>5</v>
      </c>
      <c r="G2392" t="s">
        <v>25</v>
      </c>
      <c r="H2392" s="1">
        <v>45575</v>
      </c>
      <c r="I2392" s="1">
        <v>45580</v>
      </c>
      <c r="J2392" t="str">
        <f t="shared" si="37"/>
        <v>Oct-2024</v>
      </c>
    </row>
    <row r="2393" spans="1:10">
      <c r="A2393">
        <v>2392</v>
      </c>
      <c r="B2393">
        <v>18756</v>
      </c>
      <c r="C2393" t="s">
        <v>23</v>
      </c>
      <c r="D2393">
        <v>96239.039999999994</v>
      </c>
      <c r="E2393" t="s">
        <v>16</v>
      </c>
      <c r="F2393">
        <v>24</v>
      </c>
      <c r="G2393" t="s">
        <v>25</v>
      </c>
      <c r="H2393" s="1">
        <v>45347</v>
      </c>
      <c r="I2393" s="1">
        <v>45371</v>
      </c>
      <c r="J2393" t="str">
        <f t="shared" si="37"/>
        <v>Feb-2024</v>
      </c>
    </row>
    <row r="2394" spans="1:10">
      <c r="A2394">
        <v>2393</v>
      </c>
      <c r="B2394">
        <v>16898</v>
      </c>
      <c r="C2394" t="s">
        <v>18</v>
      </c>
      <c r="D2394">
        <v>23107.599999999999</v>
      </c>
      <c r="E2394" t="s">
        <v>19</v>
      </c>
      <c r="F2394">
        <v>28</v>
      </c>
      <c r="G2394" t="s">
        <v>20</v>
      </c>
      <c r="H2394" s="1">
        <v>45601</v>
      </c>
      <c r="I2394" s="1">
        <v>45629</v>
      </c>
      <c r="J2394" t="str">
        <f t="shared" si="37"/>
        <v>Nov-2024</v>
      </c>
    </row>
    <row r="2395" spans="1:10">
      <c r="A2395">
        <v>2394</v>
      </c>
      <c r="B2395">
        <v>11588</v>
      </c>
      <c r="C2395" t="s">
        <v>23</v>
      </c>
      <c r="D2395">
        <v>159195.88</v>
      </c>
      <c r="E2395" t="s">
        <v>19</v>
      </c>
      <c r="F2395">
        <v>40</v>
      </c>
      <c r="G2395" t="s">
        <v>17</v>
      </c>
      <c r="H2395" s="1">
        <v>45627</v>
      </c>
      <c r="I2395" s="1">
        <v>45667</v>
      </c>
      <c r="J2395" t="str">
        <f t="shared" si="37"/>
        <v>Dec-2024</v>
      </c>
    </row>
    <row r="2396" spans="1:10">
      <c r="A2396">
        <v>2395</v>
      </c>
      <c r="B2396">
        <v>14998</v>
      </c>
      <c r="C2396" t="s">
        <v>23</v>
      </c>
      <c r="D2396">
        <v>19718.189999999999</v>
      </c>
      <c r="E2396" t="s">
        <v>19</v>
      </c>
      <c r="F2396">
        <v>44</v>
      </c>
      <c r="G2396" t="s">
        <v>21</v>
      </c>
      <c r="H2396" s="1">
        <v>45396</v>
      </c>
      <c r="I2396" s="1">
        <v>45440</v>
      </c>
      <c r="J2396" t="str">
        <f t="shared" si="37"/>
        <v>Apr-2024</v>
      </c>
    </row>
    <row r="2397" spans="1:10">
      <c r="A2397">
        <v>2396</v>
      </c>
      <c r="B2397">
        <v>19662</v>
      </c>
      <c r="C2397" t="s">
        <v>23</v>
      </c>
      <c r="D2397">
        <v>18377.189999999999</v>
      </c>
      <c r="E2397" t="s">
        <v>16</v>
      </c>
      <c r="F2397">
        <v>38</v>
      </c>
      <c r="G2397" t="s">
        <v>20</v>
      </c>
      <c r="H2397" s="1">
        <v>45309</v>
      </c>
      <c r="I2397" s="1">
        <v>45347</v>
      </c>
      <c r="J2397" t="str">
        <f t="shared" si="37"/>
        <v>Jan-2024</v>
      </c>
    </row>
    <row r="2398" spans="1:10">
      <c r="A2398">
        <v>2397</v>
      </c>
      <c r="B2398">
        <v>14342</v>
      </c>
      <c r="C2398" t="s">
        <v>23</v>
      </c>
      <c r="D2398">
        <v>109789.85</v>
      </c>
      <c r="E2398" t="s">
        <v>19</v>
      </c>
      <c r="F2398">
        <v>14</v>
      </c>
      <c r="G2398" t="s">
        <v>20</v>
      </c>
      <c r="H2398" s="1">
        <v>45496</v>
      </c>
      <c r="I2398" s="1">
        <v>45510</v>
      </c>
      <c r="J2398" t="str">
        <f t="shared" si="37"/>
        <v>Jul-2024</v>
      </c>
    </row>
    <row r="2399" spans="1:10">
      <c r="A2399">
        <v>2398</v>
      </c>
      <c r="B2399">
        <v>13362</v>
      </c>
      <c r="C2399" t="s">
        <v>23</v>
      </c>
      <c r="D2399">
        <v>36225.01</v>
      </c>
      <c r="E2399" t="s">
        <v>16</v>
      </c>
      <c r="F2399">
        <v>44</v>
      </c>
      <c r="G2399" t="s">
        <v>17</v>
      </c>
      <c r="H2399" s="1">
        <v>45334</v>
      </c>
      <c r="I2399" s="1">
        <v>45378</v>
      </c>
      <c r="J2399" t="str">
        <f t="shared" si="37"/>
        <v>Feb-2024</v>
      </c>
    </row>
    <row r="2400" spans="1:10">
      <c r="A2400">
        <v>2399</v>
      </c>
      <c r="B2400">
        <v>11636</v>
      </c>
      <c r="C2400" t="s">
        <v>23</v>
      </c>
      <c r="D2400">
        <v>6507.4</v>
      </c>
      <c r="E2400" t="s">
        <v>19</v>
      </c>
      <c r="F2400">
        <v>38</v>
      </c>
      <c r="G2400" t="s">
        <v>17</v>
      </c>
      <c r="H2400" s="1">
        <v>45380</v>
      </c>
      <c r="I2400" s="1">
        <v>45418</v>
      </c>
      <c r="J2400" t="str">
        <f t="shared" si="37"/>
        <v>Mar-2024</v>
      </c>
    </row>
    <row r="2401" spans="1:10">
      <c r="A2401">
        <v>2400</v>
      </c>
      <c r="B2401">
        <v>19664</v>
      </c>
      <c r="C2401" t="s">
        <v>22</v>
      </c>
      <c r="D2401">
        <v>87507.12</v>
      </c>
      <c r="E2401" t="s">
        <v>16</v>
      </c>
      <c r="F2401">
        <v>41</v>
      </c>
      <c r="G2401" t="s">
        <v>20</v>
      </c>
      <c r="H2401" s="1">
        <v>45365</v>
      </c>
      <c r="I2401" s="1">
        <v>45406</v>
      </c>
      <c r="J2401" t="str">
        <f t="shared" si="37"/>
        <v>Mar-2024</v>
      </c>
    </row>
    <row r="2402" spans="1:10">
      <c r="A2402">
        <v>2401</v>
      </c>
      <c r="B2402">
        <v>16227</v>
      </c>
      <c r="C2402" t="s">
        <v>23</v>
      </c>
      <c r="D2402">
        <v>31757.360000000001</v>
      </c>
      <c r="E2402" t="s">
        <v>16</v>
      </c>
      <c r="F2402">
        <v>22</v>
      </c>
      <c r="G2402" t="s">
        <v>21</v>
      </c>
      <c r="H2402" s="1">
        <v>45448</v>
      </c>
      <c r="I2402" s="1">
        <v>45470</v>
      </c>
      <c r="J2402" t="str">
        <f t="shared" si="37"/>
        <v>Jun-2024</v>
      </c>
    </row>
    <row r="2403" spans="1:10">
      <c r="A2403">
        <v>2402</v>
      </c>
      <c r="B2403">
        <v>11244</v>
      </c>
      <c r="C2403" t="s">
        <v>23</v>
      </c>
      <c r="D2403">
        <v>36300.51</v>
      </c>
      <c r="E2403" t="s">
        <v>16</v>
      </c>
      <c r="F2403">
        <v>30</v>
      </c>
      <c r="G2403" t="s">
        <v>20</v>
      </c>
      <c r="H2403" s="1">
        <v>45557</v>
      </c>
      <c r="I2403" s="1">
        <v>45587</v>
      </c>
      <c r="J2403" t="str">
        <f t="shared" si="37"/>
        <v>Sep-2024</v>
      </c>
    </row>
    <row r="2404" spans="1:10">
      <c r="A2404">
        <v>2403</v>
      </c>
      <c r="B2404">
        <v>16914</v>
      </c>
      <c r="C2404" t="s">
        <v>23</v>
      </c>
      <c r="D2404">
        <v>19997.57</v>
      </c>
      <c r="E2404" t="s">
        <v>16</v>
      </c>
      <c r="F2404">
        <v>30</v>
      </c>
      <c r="G2404" t="s">
        <v>17</v>
      </c>
      <c r="H2404" s="1">
        <v>45425</v>
      </c>
      <c r="I2404" s="1">
        <v>45455</v>
      </c>
      <c r="J2404" t="str">
        <f t="shared" si="37"/>
        <v>May-2024</v>
      </c>
    </row>
    <row r="2405" spans="1:10">
      <c r="A2405">
        <v>2404</v>
      </c>
      <c r="B2405">
        <v>15306</v>
      </c>
      <c r="C2405" t="s">
        <v>23</v>
      </c>
      <c r="D2405">
        <v>44993.279999999999</v>
      </c>
      <c r="E2405" t="s">
        <v>16</v>
      </c>
      <c r="F2405">
        <v>12</v>
      </c>
      <c r="G2405" t="s">
        <v>21</v>
      </c>
      <c r="H2405" s="1">
        <v>45380</v>
      </c>
      <c r="I2405" s="1">
        <v>45392</v>
      </c>
      <c r="J2405" t="str">
        <f t="shared" si="37"/>
        <v>Mar-2024</v>
      </c>
    </row>
    <row r="2406" spans="1:10">
      <c r="A2406">
        <v>2405</v>
      </c>
      <c r="B2406">
        <v>14514</v>
      </c>
      <c r="C2406" t="s">
        <v>22</v>
      </c>
      <c r="D2406">
        <v>144519.42000000001</v>
      </c>
      <c r="E2406" t="s">
        <v>24</v>
      </c>
      <c r="G2406" t="s">
        <v>17</v>
      </c>
      <c r="H2406" s="1">
        <v>45527</v>
      </c>
      <c r="J2406" t="str">
        <f t="shared" si="37"/>
        <v>Aug-2024</v>
      </c>
    </row>
    <row r="2407" spans="1:10">
      <c r="A2407">
        <v>2406</v>
      </c>
      <c r="B2407">
        <v>18450</v>
      </c>
      <c r="C2407" t="s">
        <v>23</v>
      </c>
      <c r="D2407">
        <v>162740.82</v>
      </c>
      <c r="E2407" t="s">
        <v>16</v>
      </c>
      <c r="F2407">
        <v>11</v>
      </c>
      <c r="G2407" t="s">
        <v>21</v>
      </c>
      <c r="H2407" s="1">
        <v>45423</v>
      </c>
      <c r="I2407" s="1">
        <v>45434</v>
      </c>
      <c r="J2407" t="str">
        <f t="shared" si="37"/>
        <v>May-2024</v>
      </c>
    </row>
    <row r="2408" spans="1:10">
      <c r="A2408">
        <v>2407</v>
      </c>
      <c r="B2408">
        <v>12358</v>
      </c>
      <c r="C2408" t="s">
        <v>22</v>
      </c>
      <c r="D2408">
        <v>93244.06</v>
      </c>
      <c r="E2408" t="s">
        <v>19</v>
      </c>
      <c r="F2408">
        <v>6</v>
      </c>
      <c r="G2408" t="s">
        <v>25</v>
      </c>
      <c r="H2408" s="1">
        <v>45520</v>
      </c>
      <c r="I2408" s="1">
        <v>45526</v>
      </c>
      <c r="J2408" t="str">
        <f t="shared" si="37"/>
        <v>Aug-2024</v>
      </c>
    </row>
    <row r="2409" spans="1:10">
      <c r="A2409">
        <v>2408</v>
      </c>
      <c r="B2409">
        <v>15615</v>
      </c>
      <c r="C2409" t="s">
        <v>23</v>
      </c>
      <c r="D2409">
        <v>103777.99</v>
      </c>
      <c r="E2409" t="s">
        <v>16</v>
      </c>
      <c r="F2409">
        <v>26</v>
      </c>
      <c r="G2409" t="s">
        <v>17</v>
      </c>
      <c r="H2409" s="1">
        <v>45325</v>
      </c>
      <c r="I2409" s="1">
        <v>45351</v>
      </c>
      <c r="J2409" t="str">
        <f t="shared" si="37"/>
        <v>Feb-2024</v>
      </c>
    </row>
    <row r="2410" spans="1:10">
      <c r="A2410">
        <v>2409</v>
      </c>
      <c r="B2410">
        <v>11268</v>
      </c>
      <c r="C2410" t="s">
        <v>18</v>
      </c>
      <c r="D2410">
        <v>11367.73</v>
      </c>
      <c r="E2410" t="s">
        <v>16</v>
      </c>
      <c r="F2410">
        <v>34</v>
      </c>
      <c r="G2410" t="s">
        <v>17</v>
      </c>
      <c r="H2410" s="1">
        <v>45374</v>
      </c>
      <c r="I2410" s="1">
        <v>45408</v>
      </c>
      <c r="J2410" t="str">
        <f t="shared" si="37"/>
        <v>Mar-2024</v>
      </c>
    </row>
    <row r="2411" spans="1:10">
      <c r="A2411">
        <v>2410</v>
      </c>
      <c r="B2411">
        <v>19131</v>
      </c>
      <c r="C2411" t="s">
        <v>18</v>
      </c>
      <c r="D2411">
        <v>18516.669999999998</v>
      </c>
      <c r="E2411" t="s">
        <v>16</v>
      </c>
      <c r="F2411">
        <v>18</v>
      </c>
      <c r="G2411" t="s">
        <v>20</v>
      </c>
      <c r="H2411" s="1">
        <v>45423</v>
      </c>
      <c r="I2411" s="1">
        <v>45441</v>
      </c>
      <c r="J2411" t="str">
        <f t="shared" si="37"/>
        <v>May-2024</v>
      </c>
    </row>
    <row r="2412" spans="1:10">
      <c r="A2412">
        <v>2411</v>
      </c>
      <c r="B2412">
        <v>12376</v>
      </c>
      <c r="C2412" t="s">
        <v>15</v>
      </c>
      <c r="D2412">
        <v>55225.71</v>
      </c>
      <c r="E2412" t="s">
        <v>16</v>
      </c>
      <c r="F2412">
        <v>34</v>
      </c>
      <c r="G2412" t="s">
        <v>17</v>
      </c>
      <c r="H2412" s="1">
        <v>45645</v>
      </c>
      <c r="I2412" s="1">
        <v>45679</v>
      </c>
      <c r="J2412" t="str">
        <f t="shared" si="37"/>
        <v>Dec-2024</v>
      </c>
    </row>
    <row r="2413" spans="1:10">
      <c r="A2413">
        <v>2412</v>
      </c>
      <c r="B2413">
        <v>18387</v>
      </c>
      <c r="C2413" t="s">
        <v>18</v>
      </c>
      <c r="D2413">
        <v>111060.19</v>
      </c>
      <c r="E2413" t="s">
        <v>24</v>
      </c>
      <c r="G2413" t="s">
        <v>17</v>
      </c>
      <c r="H2413" s="1">
        <v>45495</v>
      </c>
      <c r="J2413" t="str">
        <f t="shared" si="37"/>
        <v>Jul-2024</v>
      </c>
    </row>
    <row r="2414" spans="1:10">
      <c r="A2414">
        <v>2413</v>
      </c>
      <c r="B2414">
        <v>13096</v>
      </c>
      <c r="C2414" t="s">
        <v>18</v>
      </c>
      <c r="D2414">
        <v>149212.47</v>
      </c>
      <c r="E2414" t="s">
        <v>16</v>
      </c>
      <c r="F2414">
        <v>34</v>
      </c>
      <c r="G2414" t="s">
        <v>25</v>
      </c>
      <c r="H2414" s="1">
        <v>45578</v>
      </c>
      <c r="I2414" s="1">
        <v>45612</v>
      </c>
      <c r="J2414" t="str">
        <f t="shared" si="37"/>
        <v>Oct-2024</v>
      </c>
    </row>
    <row r="2415" spans="1:10">
      <c r="A2415">
        <v>2414</v>
      </c>
      <c r="B2415">
        <v>13635</v>
      </c>
      <c r="C2415" t="s">
        <v>23</v>
      </c>
      <c r="D2415">
        <v>122975.6</v>
      </c>
      <c r="E2415" t="s">
        <v>16</v>
      </c>
      <c r="F2415">
        <v>10</v>
      </c>
      <c r="G2415" t="s">
        <v>17</v>
      </c>
      <c r="H2415" s="1">
        <v>45627</v>
      </c>
      <c r="I2415" s="1">
        <v>45637</v>
      </c>
      <c r="J2415" t="str">
        <f t="shared" si="37"/>
        <v>Dec-2024</v>
      </c>
    </row>
    <row r="2416" spans="1:10">
      <c r="A2416">
        <v>2415</v>
      </c>
      <c r="B2416">
        <v>10561</v>
      </c>
      <c r="C2416" t="s">
        <v>23</v>
      </c>
      <c r="D2416">
        <v>81464.929999999993</v>
      </c>
      <c r="E2416" t="s">
        <v>16</v>
      </c>
      <c r="F2416">
        <v>28</v>
      </c>
      <c r="G2416" t="s">
        <v>25</v>
      </c>
      <c r="H2416" s="1">
        <v>45607</v>
      </c>
      <c r="I2416" s="1">
        <v>45635</v>
      </c>
      <c r="J2416" t="str">
        <f t="shared" si="37"/>
        <v>Nov-2024</v>
      </c>
    </row>
    <row r="2417" spans="1:10">
      <c r="A2417">
        <v>2416</v>
      </c>
      <c r="B2417">
        <v>18231</v>
      </c>
      <c r="C2417" t="s">
        <v>22</v>
      </c>
      <c r="D2417">
        <v>28073.19</v>
      </c>
      <c r="E2417" t="s">
        <v>24</v>
      </c>
      <c r="G2417" t="s">
        <v>25</v>
      </c>
      <c r="H2417" s="1">
        <v>45549</v>
      </c>
      <c r="J2417" t="str">
        <f t="shared" si="37"/>
        <v>Sep-2024</v>
      </c>
    </row>
    <row r="2418" spans="1:10">
      <c r="A2418">
        <v>2417</v>
      </c>
      <c r="B2418">
        <v>19959</v>
      </c>
      <c r="C2418" t="s">
        <v>23</v>
      </c>
      <c r="D2418">
        <v>157250.78</v>
      </c>
      <c r="E2418" t="s">
        <v>16</v>
      </c>
      <c r="F2418">
        <v>5</v>
      </c>
      <c r="G2418" t="s">
        <v>25</v>
      </c>
      <c r="H2418" s="1">
        <v>45583</v>
      </c>
      <c r="I2418" s="1">
        <v>45588</v>
      </c>
      <c r="J2418" t="str">
        <f t="shared" si="37"/>
        <v>Oct-2024</v>
      </c>
    </row>
    <row r="2419" spans="1:10">
      <c r="A2419">
        <v>2418</v>
      </c>
      <c r="B2419">
        <v>17739</v>
      </c>
      <c r="C2419" t="s">
        <v>23</v>
      </c>
      <c r="D2419">
        <v>75938.28</v>
      </c>
      <c r="E2419" t="s">
        <v>16</v>
      </c>
      <c r="F2419">
        <v>10</v>
      </c>
      <c r="G2419" t="s">
        <v>25</v>
      </c>
      <c r="H2419" s="1">
        <v>45416</v>
      </c>
      <c r="I2419" s="1">
        <v>45426</v>
      </c>
      <c r="J2419" t="str">
        <f t="shared" si="37"/>
        <v>May-2024</v>
      </c>
    </row>
    <row r="2420" spans="1:10">
      <c r="A2420">
        <v>2419</v>
      </c>
      <c r="B2420">
        <v>16871</v>
      </c>
      <c r="C2420" t="s">
        <v>18</v>
      </c>
      <c r="D2420">
        <v>148530.53</v>
      </c>
      <c r="E2420" t="s">
        <v>16</v>
      </c>
      <c r="F2420">
        <v>16</v>
      </c>
      <c r="G2420" t="s">
        <v>21</v>
      </c>
      <c r="H2420" s="1">
        <v>45442</v>
      </c>
      <c r="I2420" s="1">
        <v>45458</v>
      </c>
      <c r="J2420" t="str">
        <f t="shared" si="37"/>
        <v>May-2024</v>
      </c>
    </row>
    <row r="2421" spans="1:10">
      <c r="A2421">
        <v>2420</v>
      </c>
      <c r="B2421">
        <v>12504</v>
      </c>
      <c r="C2421" t="s">
        <v>23</v>
      </c>
      <c r="D2421">
        <v>105030.87</v>
      </c>
      <c r="E2421" t="s">
        <v>16</v>
      </c>
      <c r="F2421">
        <v>17</v>
      </c>
      <c r="G2421" t="s">
        <v>20</v>
      </c>
      <c r="H2421" s="1">
        <v>45650</v>
      </c>
      <c r="I2421" s="1">
        <v>45667</v>
      </c>
      <c r="J2421" t="str">
        <f t="shared" si="37"/>
        <v>Dec-2024</v>
      </c>
    </row>
    <row r="2422" spans="1:10">
      <c r="A2422">
        <v>2421</v>
      </c>
      <c r="B2422">
        <v>17021</v>
      </c>
      <c r="C2422" t="s">
        <v>22</v>
      </c>
      <c r="D2422">
        <v>149039.1</v>
      </c>
      <c r="E2422" t="s">
        <v>16</v>
      </c>
      <c r="F2422">
        <v>17</v>
      </c>
      <c r="G2422" t="s">
        <v>21</v>
      </c>
      <c r="H2422" s="1">
        <v>45538</v>
      </c>
      <c r="I2422" s="1">
        <v>45555</v>
      </c>
      <c r="J2422" t="str">
        <f t="shared" si="37"/>
        <v>Sep-2024</v>
      </c>
    </row>
    <row r="2423" spans="1:10">
      <c r="A2423">
        <v>2422</v>
      </c>
      <c r="B2423">
        <v>15971</v>
      </c>
      <c r="C2423" t="s">
        <v>18</v>
      </c>
      <c r="D2423">
        <v>181921.46</v>
      </c>
      <c r="E2423" t="s">
        <v>19</v>
      </c>
      <c r="F2423">
        <v>14</v>
      </c>
      <c r="G2423" t="s">
        <v>17</v>
      </c>
      <c r="H2423" s="1">
        <v>45466</v>
      </c>
      <c r="I2423" s="1">
        <v>45480</v>
      </c>
      <c r="J2423" t="str">
        <f t="shared" si="37"/>
        <v>Jun-2024</v>
      </c>
    </row>
    <row r="2424" spans="1:10">
      <c r="A2424">
        <v>2423</v>
      </c>
      <c r="B2424">
        <v>17876</v>
      </c>
      <c r="C2424" t="s">
        <v>18</v>
      </c>
      <c r="D2424">
        <v>184600.76</v>
      </c>
      <c r="E2424" t="s">
        <v>16</v>
      </c>
      <c r="F2424">
        <v>15</v>
      </c>
      <c r="G2424" t="s">
        <v>21</v>
      </c>
      <c r="H2424" s="1">
        <v>45648</v>
      </c>
      <c r="I2424" s="1">
        <v>45663</v>
      </c>
      <c r="J2424" t="str">
        <f t="shared" si="37"/>
        <v>Dec-2024</v>
      </c>
    </row>
    <row r="2425" spans="1:10">
      <c r="A2425">
        <v>2424</v>
      </c>
      <c r="B2425">
        <v>18979</v>
      </c>
      <c r="C2425" t="s">
        <v>15</v>
      </c>
      <c r="D2425">
        <v>109345.82</v>
      </c>
      <c r="E2425" t="s">
        <v>16</v>
      </c>
      <c r="F2425">
        <v>23</v>
      </c>
      <c r="G2425" t="s">
        <v>21</v>
      </c>
      <c r="H2425" s="1">
        <v>45593</v>
      </c>
      <c r="I2425" s="1">
        <v>45616</v>
      </c>
      <c r="J2425" t="str">
        <f t="shared" si="37"/>
        <v>Oct-2024</v>
      </c>
    </row>
    <row r="2426" spans="1:10">
      <c r="A2426">
        <v>2425</v>
      </c>
      <c r="B2426">
        <v>14097</v>
      </c>
      <c r="C2426" t="s">
        <v>23</v>
      </c>
      <c r="D2426">
        <v>104744.13</v>
      </c>
      <c r="E2426" t="s">
        <v>16</v>
      </c>
      <c r="F2426">
        <v>22</v>
      </c>
      <c r="G2426" t="s">
        <v>17</v>
      </c>
      <c r="H2426" s="1">
        <v>45371</v>
      </c>
      <c r="I2426" s="1">
        <v>45393</v>
      </c>
      <c r="J2426" t="str">
        <f t="shared" si="37"/>
        <v>Mar-2024</v>
      </c>
    </row>
    <row r="2427" spans="1:10">
      <c r="A2427">
        <v>2426</v>
      </c>
      <c r="B2427">
        <v>19684</v>
      </c>
      <c r="C2427" t="s">
        <v>23</v>
      </c>
      <c r="D2427">
        <v>56807.3</v>
      </c>
      <c r="E2427" t="s">
        <v>16</v>
      </c>
      <c r="F2427">
        <v>10</v>
      </c>
      <c r="G2427" t="s">
        <v>17</v>
      </c>
      <c r="H2427" s="1">
        <v>45398</v>
      </c>
      <c r="I2427" s="1">
        <v>45408</v>
      </c>
      <c r="J2427" t="str">
        <f t="shared" si="37"/>
        <v>Apr-2024</v>
      </c>
    </row>
    <row r="2428" spans="1:10">
      <c r="A2428">
        <v>2427</v>
      </c>
      <c r="B2428">
        <v>19321</v>
      </c>
      <c r="C2428" t="s">
        <v>23</v>
      </c>
      <c r="D2428">
        <v>187480.97</v>
      </c>
      <c r="E2428" t="s">
        <v>16</v>
      </c>
      <c r="F2428">
        <v>42</v>
      </c>
      <c r="G2428" t="s">
        <v>17</v>
      </c>
      <c r="H2428" s="1">
        <v>45591</v>
      </c>
      <c r="I2428" s="1">
        <v>45633</v>
      </c>
      <c r="J2428" t="str">
        <f t="shared" si="37"/>
        <v>Oct-2024</v>
      </c>
    </row>
    <row r="2429" spans="1:10">
      <c r="A2429">
        <v>2428</v>
      </c>
      <c r="B2429">
        <v>16822</v>
      </c>
      <c r="C2429" t="s">
        <v>23</v>
      </c>
      <c r="D2429">
        <v>94294.24</v>
      </c>
      <c r="E2429" t="s">
        <v>24</v>
      </c>
      <c r="G2429" t="s">
        <v>21</v>
      </c>
      <c r="H2429" s="1">
        <v>45596</v>
      </c>
      <c r="J2429" t="str">
        <f t="shared" si="37"/>
        <v>Oct-2024</v>
      </c>
    </row>
    <row r="2430" spans="1:10">
      <c r="A2430">
        <v>2429</v>
      </c>
      <c r="B2430">
        <v>15878</v>
      </c>
      <c r="C2430" t="s">
        <v>18</v>
      </c>
      <c r="D2430">
        <v>29880.29</v>
      </c>
      <c r="E2430" t="s">
        <v>19</v>
      </c>
      <c r="F2430">
        <v>11</v>
      </c>
      <c r="G2430" t="s">
        <v>21</v>
      </c>
      <c r="H2430" s="1">
        <v>45635</v>
      </c>
      <c r="I2430" s="1">
        <v>45646</v>
      </c>
      <c r="J2430" t="str">
        <f t="shared" si="37"/>
        <v>Dec-2024</v>
      </c>
    </row>
    <row r="2431" spans="1:10">
      <c r="A2431">
        <v>2430</v>
      </c>
      <c r="B2431">
        <v>14509</v>
      </c>
      <c r="C2431" t="s">
        <v>22</v>
      </c>
      <c r="D2431">
        <v>89377.46</v>
      </c>
      <c r="E2431" t="s">
        <v>19</v>
      </c>
      <c r="F2431">
        <v>36</v>
      </c>
      <c r="G2431" t="s">
        <v>17</v>
      </c>
      <c r="H2431" s="1">
        <v>45349</v>
      </c>
      <c r="I2431" s="1">
        <v>45385</v>
      </c>
      <c r="J2431" t="str">
        <f t="shared" si="37"/>
        <v>Feb-2024</v>
      </c>
    </row>
    <row r="2432" spans="1:10">
      <c r="A2432">
        <v>2431</v>
      </c>
      <c r="B2432">
        <v>16186</v>
      </c>
      <c r="C2432" t="s">
        <v>23</v>
      </c>
      <c r="D2432">
        <v>29775.38</v>
      </c>
      <c r="E2432" t="s">
        <v>19</v>
      </c>
      <c r="F2432">
        <v>10</v>
      </c>
      <c r="G2432" t="s">
        <v>20</v>
      </c>
      <c r="H2432" s="1">
        <v>45382</v>
      </c>
      <c r="I2432" s="1">
        <v>45392</v>
      </c>
      <c r="J2432" t="str">
        <f t="shared" si="37"/>
        <v>Mar-2024</v>
      </c>
    </row>
    <row r="2433" spans="1:10">
      <c r="A2433">
        <v>2432</v>
      </c>
      <c r="B2433">
        <v>19836</v>
      </c>
      <c r="C2433" t="s">
        <v>23</v>
      </c>
      <c r="D2433">
        <v>102993.68</v>
      </c>
      <c r="E2433" t="s">
        <v>16</v>
      </c>
      <c r="F2433">
        <v>17</v>
      </c>
      <c r="G2433" t="s">
        <v>20</v>
      </c>
      <c r="H2433" s="1">
        <v>45426</v>
      </c>
      <c r="I2433" s="1">
        <v>45443</v>
      </c>
      <c r="J2433" t="str">
        <f t="shared" si="37"/>
        <v>May-2024</v>
      </c>
    </row>
    <row r="2434" spans="1:10">
      <c r="A2434">
        <v>2433</v>
      </c>
      <c r="B2434">
        <v>13560</v>
      </c>
      <c r="C2434" t="s">
        <v>22</v>
      </c>
      <c r="D2434">
        <v>114448.73</v>
      </c>
      <c r="E2434" t="s">
        <v>16</v>
      </c>
      <c r="F2434">
        <v>19</v>
      </c>
      <c r="G2434" t="s">
        <v>25</v>
      </c>
      <c r="H2434" s="1">
        <v>45641</v>
      </c>
      <c r="I2434" s="1">
        <v>45660</v>
      </c>
      <c r="J2434" t="str">
        <f t="shared" si="37"/>
        <v>Dec-2024</v>
      </c>
    </row>
    <row r="2435" spans="1:10">
      <c r="A2435">
        <v>2434</v>
      </c>
      <c r="B2435">
        <v>15679</v>
      </c>
      <c r="C2435" t="s">
        <v>23</v>
      </c>
      <c r="D2435">
        <v>70862.37</v>
      </c>
      <c r="E2435" t="s">
        <v>16</v>
      </c>
      <c r="F2435">
        <v>11</v>
      </c>
      <c r="G2435" t="s">
        <v>17</v>
      </c>
      <c r="H2435" s="1">
        <v>45460</v>
      </c>
      <c r="I2435" s="1">
        <v>45471</v>
      </c>
      <c r="J2435" t="str">
        <f t="shared" ref="J2435:J2498" si="38">TEXT(H2435,"mmm-yyyy")</f>
        <v>Jun-2024</v>
      </c>
    </row>
    <row r="2436" spans="1:10">
      <c r="A2436">
        <v>2435</v>
      </c>
      <c r="B2436">
        <v>12685</v>
      </c>
      <c r="C2436" t="s">
        <v>23</v>
      </c>
      <c r="D2436">
        <v>18971.87</v>
      </c>
      <c r="E2436" t="s">
        <v>16</v>
      </c>
      <c r="F2436">
        <v>22</v>
      </c>
      <c r="G2436" t="s">
        <v>25</v>
      </c>
      <c r="H2436" s="1">
        <v>45625</v>
      </c>
      <c r="I2436" s="1">
        <v>45647</v>
      </c>
      <c r="J2436" t="str">
        <f t="shared" si="38"/>
        <v>Nov-2024</v>
      </c>
    </row>
    <row r="2437" spans="1:10">
      <c r="A2437">
        <v>2436</v>
      </c>
      <c r="B2437">
        <v>16612</v>
      </c>
      <c r="C2437" t="s">
        <v>23</v>
      </c>
      <c r="D2437">
        <v>188983.19</v>
      </c>
      <c r="E2437" t="s">
        <v>16</v>
      </c>
      <c r="F2437">
        <v>16</v>
      </c>
      <c r="G2437" t="s">
        <v>20</v>
      </c>
      <c r="H2437" s="1">
        <v>45413</v>
      </c>
      <c r="I2437" s="1">
        <v>45429</v>
      </c>
      <c r="J2437" t="str">
        <f t="shared" si="38"/>
        <v>May-2024</v>
      </c>
    </row>
    <row r="2438" spans="1:10">
      <c r="A2438">
        <v>2437</v>
      </c>
      <c r="B2438">
        <v>14821</v>
      </c>
      <c r="C2438" t="s">
        <v>22</v>
      </c>
      <c r="D2438">
        <v>155803.85999999999</v>
      </c>
      <c r="E2438" t="s">
        <v>16</v>
      </c>
      <c r="F2438">
        <v>16</v>
      </c>
      <c r="G2438" t="s">
        <v>25</v>
      </c>
      <c r="H2438" s="1">
        <v>45527</v>
      </c>
      <c r="I2438" s="1">
        <v>45543</v>
      </c>
      <c r="J2438" t="str">
        <f t="shared" si="38"/>
        <v>Aug-2024</v>
      </c>
    </row>
    <row r="2439" spans="1:10">
      <c r="A2439">
        <v>2438</v>
      </c>
      <c r="B2439">
        <v>17807</v>
      </c>
      <c r="C2439" t="s">
        <v>18</v>
      </c>
      <c r="D2439">
        <v>168581.81</v>
      </c>
      <c r="E2439" t="s">
        <v>16</v>
      </c>
      <c r="F2439">
        <v>12</v>
      </c>
      <c r="G2439" t="s">
        <v>17</v>
      </c>
      <c r="H2439" s="1">
        <v>45367</v>
      </c>
      <c r="I2439" s="1">
        <v>45379</v>
      </c>
      <c r="J2439" t="str">
        <f t="shared" si="38"/>
        <v>Mar-2024</v>
      </c>
    </row>
    <row r="2440" spans="1:10">
      <c r="A2440">
        <v>2439</v>
      </c>
      <c r="B2440">
        <v>11412</v>
      </c>
      <c r="C2440" t="s">
        <v>18</v>
      </c>
      <c r="D2440">
        <v>76539.34</v>
      </c>
      <c r="E2440" t="s">
        <v>19</v>
      </c>
      <c r="F2440">
        <v>41</v>
      </c>
      <c r="G2440" t="s">
        <v>17</v>
      </c>
      <c r="H2440" s="1">
        <v>45600</v>
      </c>
      <c r="I2440" s="1">
        <v>45641</v>
      </c>
      <c r="J2440" t="str">
        <f t="shared" si="38"/>
        <v>Nov-2024</v>
      </c>
    </row>
    <row r="2441" spans="1:10">
      <c r="A2441">
        <v>2440</v>
      </c>
      <c r="B2441">
        <v>11221</v>
      </c>
      <c r="C2441" t="s">
        <v>15</v>
      </c>
      <c r="D2441">
        <v>153362.04999999999</v>
      </c>
      <c r="E2441" t="s">
        <v>19</v>
      </c>
      <c r="F2441">
        <v>43</v>
      </c>
      <c r="G2441" t="s">
        <v>17</v>
      </c>
      <c r="H2441" s="1">
        <v>45314</v>
      </c>
      <c r="I2441" s="1">
        <v>45357</v>
      </c>
      <c r="J2441" t="str">
        <f t="shared" si="38"/>
        <v>Jan-2024</v>
      </c>
    </row>
    <row r="2442" spans="1:10">
      <c r="A2442">
        <v>2441</v>
      </c>
      <c r="B2442">
        <v>12249</v>
      </c>
      <c r="C2442" t="s">
        <v>23</v>
      </c>
      <c r="D2442">
        <v>99647.71</v>
      </c>
      <c r="E2442" t="s">
        <v>24</v>
      </c>
      <c r="G2442" t="s">
        <v>21</v>
      </c>
      <c r="H2442" s="1">
        <v>45624</v>
      </c>
      <c r="J2442" t="str">
        <f t="shared" si="38"/>
        <v>Nov-2024</v>
      </c>
    </row>
    <row r="2443" spans="1:10">
      <c r="A2443">
        <v>2442</v>
      </c>
      <c r="B2443">
        <v>12239</v>
      </c>
      <c r="C2443" t="s">
        <v>23</v>
      </c>
      <c r="D2443">
        <v>44211.28</v>
      </c>
      <c r="E2443" t="s">
        <v>16</v>
      </c>
      <c r="F2443">
        <v>38</v>
      </c>
      <c r="G2443" t="s">
        <v>25</v>
      </c>
      <c r="H2443" s="1">
        <v>45364</v>
      </c>
      <c r="I2443" s="1">
        <v>45402</v>
      </c>
      <c r="J2443" t="str">
        <f t="shared" si="38"/>
        <v>Mar-2024</v>
      </c>
    </row>
    <row r="2444" spans="1:10">
      <c r="A2444">
        <v>2443</v>
      </c>
      <c r="B2444">
        <v>14202</v>
      </c>
      <c r="C2444" t="s">
        <v>15</v>
      </c>
      <c r="D2444">
        <v>29262.560000000001</v>
      </c>
      <c r="E2444" t="s">
        <v>16</v>
      </c>
      <c r="F2444">
        <v>21</v>
      </c>
      <c r="G2444" t="s">
        <v>20</v>
      </c>
      <c r="H2444" s="1">
        <v>45379</v>
      </c>
      <c r="I2444" s="1">
        <v>45400</v>
      </c>
      <c r="J2444" t="str">
        <f t="shared" si="38"/>
        <v>Mar-2024</v>
      </c>
    </row>
    <row r="2445" spans="1:10">
      <c r="A2445">
        <v>2444</v>
      </c>
      <c r="B2445">
        <v>17873</v>
      </c>
      <c r="C2445" t="s">
        <v>23</v>
      </c>
      <c r="D2445">
        <v>72284.92</v>
      </c>
      <c r="E2445" t="s">
        <v>16</v>
      </c>
      <c r="F2445">
        <v>35</v>
      </c>
      <c r="G2445" t="s">
        <v>20</v>
      </c>
      <c r="H2445" s="1">
        <v>45394</v>
      </c>
      <c r="I2445" s="1">
        <v>45429</v>
      </c>
      <c r="J2445" t="str">
        <f t="shared" si="38"/>
        <v>Apr-2024</v>
      </c>
    </row>
    <row r="2446" spans="1:10">
      <c r="A2446">
        <v>2445</v>
      </c>
      <c r="B2446">
        <v>16893</v>
      </c>
      <c r="C2446" t="s">
        <v>18</v>
      </c>
      <c r="D2446">
        <v>31822.66</v>
      </c>
      <c r="E2446" t="s">
        <v>16</v>
      </c>
      <c r="F2446">
        <v>23</v>
      </c>
      <c r="G2446" t="s">
        <v>20</v>
      </c>
      <c r="H2446" s="1">
        <v>45385</v>
      </c>
      <c r="I2446" s="1">
        <v>45408</v>
      </c>
      <c r="J2446" t="str">
        <f t="shared" si="38"/>
        <v>Apr-2024</v>
      </c>
    </row>
    <row r="2447" spans="1:10">
      <c r="A2447">
        <v>2446</v>
      </c>
      <c r="B2447">
        <v>18835</v>
      </c>
      <c r="C2447" t="s">
        <v>22</v>
      </c>
      <c r="D2447">
        <v>199662.45</v>
      </c>
      <c r="E2447" t="s">
        <v>16</v>
      </c>
      <c r="F2447">
        <v>19</v>
      </c>
      <c r="G2447" t="s">
        <v>21</v>
      </c>
      <c r="H2447" s="1">
        <v>45607</v>
      </c>
      <c r="I2447" s="1">
        <v>45626</v>
      </c>
      <c r="J2447" t="str">
        <f t="shared" si="38"/>
        <v>Nov-2024</v>
      </c>
    </row>
    <row r="2448" spans="1:10">
      <c r="A2448">
        <v>2447</v>
      </c>
      <c r="B2448">
        <v>15403</v>
      </c>
      <c r="C2448" t="s">
        <v>18</v>
      </c>
      <c r="D2448">
        <v>14591.85</v>
      </c>
      <c r="E2448" t="s">
        <v>16</v>
      </c>
      <c r="F2448">
        <v>17</v>
      </c>
      <c r="G2448" t="s">
        <v>21</v>
      </c>
      <c r="H2448" s="1">
        <v>45557</v>
      </c>
      <c r="I2448" s="1">
        <v>45574</v>
      </c>
      <c r="J2448" t="str">
        <f t="shared" si="38"/>
        <v>Sep-2024</v>
      </c>
    </row>
    <row r="2449" spans="1:10">
      <c r="A2449">
        <v>2448</v>
      </c>
      <c r="B2449">
        <v>15185</v>
      </c>
      <c r="C2449" t="s">
        <v>18</v>
      </c>
      <c r="D2449">
        <v>91023</v>
      </c>
      <c r="E2449" t="s">
        <v>16</v>
      </c>
      <c r="F2449">
        <v>6</v>
      </c>
      <c r="G2449" t="s">
        <v>17</v>
      </c>
      <c r="H2449" s="1">
        <v>45544</v>
      </c>
      <c r="I2449" s="1">
        <v>45550</v>
      </c>
      <c r="J2449" t="str">
        <f t="shared" si="38"/>
        <v>Sep-2024</v>
      </c>
    </row>
    <row r="2450" spans="1:10">
      <c r="A2450">
        <v>2449</v>
      </c>
      <c r="B2450">
        <v>14290</v>
      </c>
      <c r="C2450" t="s">
        <v>15</v>
      </c>
      <c r="D2450">
        <v>93158.24</v>
      </c>
      <c r="E2450" t="s">
        <v>16</v>
      </c>
      <c r="F2450">
        <v>2</v>
      </c>
      <c r="G2450" t="s">
        <v>20</v>
      </c>
      <c r="H2450" s="1">
        <v>45649</v>
      </c>
      <c r="I2450" s="1">
        <v>45651</v>
      </c>
      <c r="J2450" t="str">
        <f t="shared" si="38"/>
        <v>Dec-2024</v>
      </c>
    </row>
    <row r="2451" spans="1:10">
      <c r="A2451">
        <v>2450</v>
      </c>
      <c r="B2451">
        <v>14142</v>
      </c>
      <c r="C2451" t="s">
        <v>15</v>
      </c>
      <c r="D2451">
        <v>63623.23</v>
      </c>
      <c r="E2451" t="s">
        <v>16</v>
      </c>
      <c r="F2451">
        <v>20</v>
      </c>
      <c r="G2451" t="s">
        <v>21</v>
      </c>
      <c r="H2451" s="1">
        <v>45349</v>
      </c>
      <c r="I2451" s="1">
        <v>45369</v>
      </c>
      <c r="J2451" t="str">
        <f t="shared" si="38"/>
        <v>Feb-2024</v>
      </c>
    </row>
    <row r="2452" spans="1:10">
      <c r="A2452">
        <v>2451</v>
      </c>
      <c r="B2452">
        <v>19577</v>
      </c>
      <c r="C2452" t="s">
        <v>23</v>
      </c>
      <c r="D2452">
        <v>116413.56</v>
      </c>
      <c r="E2452" t="s">
        <v>16</v>
      </c>
      <c r="F2452">
        <v>11</v>
      </c>
      <c r="G2452" t="s">
        <v>17</v>
      </c>
      <c r="H2452" s="1">
        <v>45300</v>
      </c>
      <c r="I2452" s="1">
        <v>45311</v>
      </c>
      <c r="J2452" t="str">
        <f t="shared" si="38"/>
        <v>Jan-2024</v>
      </c>
    </row>
    <row r="2453" spans="1:10">
      <c r="A2453">
        <v>2452</v>
      </c>
      <c r="B2453">
        <v>17152</v>
      </c>
      <c r="C2453" t="s">
        <v>23</v>
      </c>
      <c r="D2453">
        <v>34245.519999999997</v>
      </c>
      <c r="E2453" t="s">
        <v>16</v>
      </c>
      <c r="F2453">
        <v>22</v>
      </c>
      <c r="G2453" t="s">
        <v>20</v>
      </c>
      <c r="H2453" s="1">
        <v>45304</v>
      </c>
      <c r="I2453" s="1">
        <v>45326</v>
      </c>
      <c r="J2453" t="str">
        <f t="shared" si="38"/>
        <v>Jan-2024</v>
      </c>
    </row>
    <row r="2454" spans="1:10">
      <c r="A2454">
        <v>2453</v>
      </c>
      <c r="B2454">
        <v>12584</v>
      </c>
      <c r="C2454" t="s">
        <v>23</v>
      </c>
      <c r="D2454">
        <v>157862.91</v>
      </c>
      <c r="E2454" t="s">
        <v>16</v>
      </c>
      <c r="F2454">
        <v>14</v>
      </c>
      <c r="G2454" t="s">
        <v>25</v>
      </c>
      <c r="H2454" s="1">
        <v>45422</v>
      </c>
      <c r="I2454" s="1">
        <v>45436</v>
      </c>
      <c r="J2454" t="str">
        <f t="shared" si="38"/>
        <v>May-2024</v>
      </c>
    </row>
    <row r="2455" spans="1:10">
      <c r="A2455">
        <v>2454</v>
      </c>
      <c r="B2455">
        <v>11601</v>
      </c>
      <c r="C2455" t="s">
        <v>18</v>
      </c>
      <c r="D2455">
        <v>69827.31</v>
      </c>
      <c r="E2455" t="s">
        <v>16</v>
      </c>
      <c r="F2455">
        <v>25</v>
      </c>
      <c r="G2455" t="s">
        <v>17</v>
      </c>
      <c r="H2455" s="1">
        <v>45513</v>
      </c>
      <c r="I2455" s="1">
        <v>45538</v>
      </c>
      <c r="J2455" t="str">
        <f t="shared" si="38"/>
        <v>Aug-2024</v>
      </c>
    </row>
    <row r="2456" spans="1:10">
      <c r="A2456">
        <v>2455</v>
      </c>
      <c r="B2456">
        <v>14942</v>
      </c>
      <c r="C2456" t="s">
        <v>23</v>
      </c>
      <c r="D2456">
        <v>120311.81</v>
      </c>
      <c r="E2456" t="s">
        <v>16</v>
      </c>
      <c r="F2456">
        <v>24</v>
      </c>
      <c r="G2456" t="s">
        <v>21</v>
      </c>
      <c r="H2456" s="1">
        <v>45620</v>
      </c>
      <c r="I2456" s="1">
        <v>45644</v>
      </c>
      <c r="J2456" t="str">
        <f t="shared" si="38"/>
        <v>Nov-2024</v>
      </c>
    </row>
    <row r="2457" spans="1:10">
      <c r="A2457">
        <v>2456</v>
      </c>
      <c r="B2457">
        <v>15698</v>
      </c>
      <c r="C2457" t="s">
        <v>18</v>
      </c>
      <c r="D2457">
        <v>144549.65</v>
      </c>
      <c r="E2457" t="s">
        <v>16</v>
      </c>
      <c r="F2457">
        <v>24</v>
      </c>
      <c r="G2457" t="s">
        <v>21</v>
      </c>
      <c r="H2457" s="1">
        <v>45444</v>
      </c>
      <c r="I2457" s="1">
        <v>45468</v>
      </c>
      <c r="J2457" t="str">
        <f t="shared" si="38"/>
        <v>Jun-2024</v>
      </c>
    </row>
    <row r="2458" spans="1:10">
      <c r="A2458">
        <v>2457</v>
      </c>
      <c r="B2458">
        <v>10807</v>
      </c>
      <c r="C2458" t="s">
        <v>23</v>
      </c>
      <c r="D2458">
        <v>178363.21</v>
      </c>
      <c r="E2458" t="s">
        <v>19</v>
      </c>
      <c r="F2458">
        <v>12</v>
      </c>
      <c r="G2458" t="s">
        <v>17</v>
      </c>
      <c r="H2458" s="1">
        <v>45362</v>
      </c>
      <c r="I2458" s="1">
        <v>45374</v>
      </c>
      <c r="J2458" t="str">
        <f t="shared" si="38"/>
        <v>Mar-2024</v>
      </c>
    </row>
    <row r="2459" spans="1:10">
      <c r="A2459">
        <v>2458</v>
      </c>
      <c r="B2459">
        <v>17345</v>
      </c>
      <c r="C2459" t="s">
        <v>18</v>
      </c>
      <c r="D2459">
        <v>167978.55</v>
      </c>
      <c r="E2459" t="s">
        <v>19</v>
      </c>
      <c r="F2459">
        <v>3</v>
      </c>
      <c r="G2459" t="s">
        <v>17</v>
      </c>
      <c r="H2459" s="1">
        <v>45636</v>
      </c>
      <c r="I2459" s="1">
        <v>45639</v>
      </c>
      <c r="J2459" t="str">
        <f t="shared" si="38"/>
        <v>Dec-2024</v>
      </c>
    </row>
    <row r="2460" spans="1:10">
      <c r="A2460">
        <v>2459</v>
      </c>
      <c r="B2460">
        <v>18306</v>
      </c>
      <c r="C2460" t="s">
        <v>23</v>
      </c>
      <c r="D2460">
        <v>123620.26</v>
      </c>
      <c r="E2460" t="s">
        <v>16</v>
      </c>
      <c r="F2460">
        <v>7</v>
      </c>
      <c r="G2460" t="s">
        <v>21</v>
      </c>
      <c r="H2460" s="1">
        <v>45311</v>
      </c>
      <c r="I2460" s="1">
        <v>45318</v>
      </c>
      <c r="J2460" t="str">
        <f t="shared" si="38"/>
        <v>Jan-2024</v>
      </c>
    </row>
    <row r="2461" spans="1:10">
      <c r="A2461">
        <v>2460</v>
      </c>
      <c r="B2461">
        <v>12727</v>
      </c>
      <c r="C2461" t="s">
        <v>18</v>
      </c>
      <c r="D2461">
        <v>80736.67</v>
      </c>
      <c r="E2461" t="s">
        <v>16</v>
      </c>
      <c r="F2461">
        <v>12</v>
      </c>
      <c r="G2461" t="s">
        <v>25</v>
      </c>
      <c r="H2461" s="1">
        <v>45372</v>
      </c>
      <c r="I2461" s="1">
        <v>45384</v>
      </c>
      <c r="J2461" t="str">
        <f t="shared" si="38"/>
        <v>Mar-2024</v>
      </c>
    </row>
    <row r="2462" spans="1:10">
      <c r="A2462">
        <v>2461</v>
      </c>
      <c r="B2462">
        <v>18165</v>
      </c>
      <c r="C2462" t="s">
        <v>18</v>
      </c>
      <c r="D2462">
        <v>103124.91</v>
      </c>
      <c r="E2462" t="s">
        <v>16</v>
      </c>
      <c r="F2462">
        <v>16</v>
      </c>
      <c r="G2462" t="s">
        <v>20</v>
      </c>
      <c r="H2462" s="1">
        <v>45519</v>
      </c>
      <c r="I2462" s="1">
        <v>45535</v>
      </c>
      <c r="J2462" t="str">
        <f t="shared" si="38"/>
        <v>Aug-2024</v>
      </c>
    </row>
    <row r="2463" spans="1:10">
      <c r="A2463">
        <v>2462</v>
      </c>
      <c r="B2463">
        <v>14171</v>
      </c>
      <c r="C2463" t="s">
        <v>23</v>
      </c>
      <c r="D2463">
        <v>154903.28</v>
      </c>
      <c r="E2463" t="s">
        <v>16</v>
      </c>
      <c r="F2463">
        <v>10</v>
      </c>
      <c r="G2463" t="s">
        <v>25</v>
      </c>
      <c r="H2463" s="1">
        <v>45637</v>
      </c>
      <c r="I2463" s="1">
        <v>45647</v>
      </c>
      <c r="J2463" t="str">
        <f t="shared" si="38"/>
        <v>Dec-2024</v>
      </c>
    </row>
    <row r="2464" spans="1:10">
      <c r="A2464">
        <v>2463</v>
      </c>
      <c r="B2464">
        <v>19641</v>
      </c>
      <c r="C2464" t="s">
        <v>23</v>
      </c>
      <c r="D2464">
        <v>176121.38</v>
      </c>
      <c r="E2464" t="s">
        <v>16</v>
      </c>
      <c r="F2464">
        <v>13</v>
      </c>
      <c r="G2464" t="s">
        <v>17</v>
      </c>
      <c r="H2464" s="1">
        <v>45310</v>
      </c>
      <c r="I2464" s="1">
        <v>45323</v>
      </c>
      <c r="J2464" t="str">
        <f t="shared" si="38"/>
        <v>Jan-2024</v>
      </c>
    </row>
    <row r="2465" spans="1:10">
      <c r="A2465">
        <v>2464</v>
      </c>
      <c r="B2465">
        <v>11568</v>
      </c>
      <c r="C2465" t="s">
        <v>18</v>
      </c>
      <c r="D2465">
        <v>25237.48</v>
      </c>
      <c r="E2465" t="s">
        <v>16</v>
      </c>
      <c r="F2465">
        <v>37</v>
      </c>
      <c r="G2465" t="s">
        <v>25</v>
      </c>
      <c r="H2465" s="1">
        <v>45456</v>
      </c>
      <c r="I2465" s="1">
        <v>45493</v>
      </c>
      <c r="J2465" t="str">
        <f t="shared" si="38"/>
        <v>Jun-2024</v>
      </c>
    </row>
    <row r="2466" spans="1:10">
      <c r="A2466">
        <v>2465</v>
      </c>
      <c r="B2466">
        <v>19514</v>
      </c>
      <c r="C2466" t="s">
        <v>23</v>
      </c>
      <c r="D2466">
        <v>80046.97</v>
      </c>
      <c r="E2466" t="s">
        <v>16</v>
      </c>
      <c r="F2466">
        <v>29</v>
      </c>
      <c r="G2466" t="s">
        <v>21</v>
      </c>
      <c r="H2466" s="1">
        <v>45398</v>
      </c>
      <c r="I2466" s="1">
        <v>45427</v>
      </c>
      <c r="J2466" t="str">
        <f t="shared" si="38"/>
        <v>Apr-2024</v>
      </c>
    </row>
    <row r="2467" spans="1:10">
      <c r="A2467">
        <v>2466</v>
      </c>
      <c r="B2467">
        <v>19052</v>
      </c>
      <c r="C2467" t="s">
        <v>23</v>
      </c>
      <c r="D2467">
        <v>156342.74</v>
      </c>
      <c r="E2467" t="s">
        <v>16</v>
      </c>
      <c r="F2467">
        <v>24</v>
      </c>
      <c r="G2467" t="s">
        <v>17</v>
      </c>
      <c r="H2467" s="1">
        <v>45639</v>
      </c>
      <c r="I2467" s="1">
        <v>45663</v>
      </c>
      <c r="J2467" t="str">
        <f t="shared" si="38"/>
        <v>Dec-2024</v>
      </c>
    </row>
    <row r="2468" spans="1:10">
      <c r="A2468">
        <v>2467</v>
      </c>
      <c r="B2468">
        <v>10741</v>
      </c>
      <c r="C2468" t="s">
        <v>22</v>
      </c>
      <c r="D2468">
        <v>89172.09</v>
      </c>
      <c r="E2468" t="s">
        <v>19</v>
      </c>
      <c r="F2468">
        <v>28</v>
      </c>
      <c r="G2468" t="s">
        <v>20</v>
      </c>
      <c r="H2468" s="1">
        <v>45505</v>
      </c>
      <c r="I2468" s="1">
        <v>45533</v>
      </c>
      <c r="J2468" t="str">
        <f t="shared" si="38"/>
        <v>Aug-2024</v>
      </c>
    </row>
    <row r="2469" spans="1:10">
      <c r="A2469">
        <v>2468</v>
      </c>
      <c r="B2469">
        <v>19922</v>
      </c>
      <c r="C2469" t="s">
        <v>18</v>
      </c>
      <c r="D2469">
        <v>69784.41</v>
      </c>
      <c r="E2469" t="s">
        <v>16</v>
      </c>
      <c r="F2469">
        <v>25</v>
      </c>
      <c r="G2469" t="s">
        <v>21</v>
      </c>
      <c r="H2469" s="1">
        <v>45530</v>
      </c>
      <c r="I2469" s="1">
        <v>45555</v>
      </c>
      <c r="J2469" t="str">
        <f t="shared" si="38"/>
        <v>Aug-2024</v>
      </c>
    </row>
    <row r="2470" spans="1:10">
      <c r="A2470">
        <v>2469</v>
      </c>
      <c r="B2470">
        <v>16437</v>
      </c>
      <c r="C2470" t="s">
        <v>22</v>
      </c>
      <c r="D2470">
        <v>85207.93</v>
      </c>
      <c r="E2470" t="s">
        <v>19</v>
      </c>
      <c r="F2470">
        <v>15</v>
      </c>
      <c r="G2470" t="s">
        <v>21</v>
      </c>
      <c r="H2470" s="1">
        <v>45438</v>
      </c>
      <c r="I2470" s="1">
        <v>45453</v>
      </c>
      <c r="J2470" t="str">
        <f t="shared" si="38"/>
        <v>May-2024</v>
      </c>
    </row>
    <row r="2471" spans="1:10">
      <c r="A2471">
        <v>2470</v>
      </c>
      <c r="B2471">
        <v>14904</v>
      </c>
      <c r="C2471" t="s">
        <v>23</v>
      </c>
      <c r="D2471">
        <v>122554.73</v>
      </c>
      <c r="E2471" t="s">
        <v>16</v>
      </c>
      <c r="F2471">
        <v>36</v>
      </c>
      <c r="G2471" t="s">
        <v>20</v>
      </c>
      <c r="H2471" s="1">
        <v>45472</v>
      </c>
      <c r="I2471" s="1">
        <v>45508</v>
      </c>
      <c r="J2471" t="str">
        <f t="shared" si="38"/>
        <v>Jun-2024</v>
      </c>
    </row>
    <row r="2472" spans="1:10">
      <c r="A2472">
        <v>2471</v>
      </c>
      <c r="B2472">
        <v>12933</v>
      </c>
      <c r="C2472" t="s">
        <v>23</v>
      </c>
      <c r="D2472">
        <v>199962</v>
      </c>
      <c r="E2472" t="s">
        <v>16</v>
      </c>
      <c r="F2472">
        <v>28</v>
      </c>
      <c r="G2472" t="s">
        <v>20</v>
      </c>
      <c r="H2472" s="1">
        <v>45627</v>
      </c>
      <c r="I2472" s="1">
        <v>45655</v>
      </c>
      <c r="J2472" t="str">
        <f t="shared" si="38"/>
        <v>Dec-2024</v>
      </c>
    </row>
    <row r="2473" spans="1:10">
      <c r="A2473">
        <v>2472</v>
      </c>
      <c r="B2473">
        <v>14509</v>
      </c>
      <c r="C2473" t="s">
        <v>15</v>
      </c>
      <c r="D2473">
        <v>101133.52</v>
      </c>
      <c r="E2473" t="s">
        <v>24</v>
      </c>
      <c r="G2473" t="s">
        <v>25</v>
      </c>
      <c r="H2473" s="1">
        <v>45489</v>
      </c>
      <c r="J2473" t="str">
        <f t="shared" si="38"/>
        <v>Jul-2024</v>
      </c>
    </row>
    <row r="2474" spans="1:10">
      <c r="A2474">
        <v>2473</v>
      </c>
      <c r="B2474">
        <v>14526</v>
      </c>
      <c r="C2474" t="s">
        <v>18</v>
      </c>
      <c r="D2474">
        <v>45656.42</v>
      </c>
      <c r="E2474" t="s">
        <v>24</v>
      </c>
      <c r="G2474" t="s">
        <v>17</v>
      </c>
      <c r="H2474" s="1">
        <v>45578</v>
      </c>
      <c r="J2474" t="str">
        <f t="shared" si="38"/>
        <v>Oct-2024</v>
      </c>
    </row>
    <row r="2475" spans="1:10">
      <c r="A2475">
        <v>2474</v>
      </c>
      <c r="B2475">
        <v>15909</v>
      </c>
      <c r="C2475" t="s">
        <v>18</v>
      </c>
      <c r="D2475">
        <v>36755.08</v>
      </c>
      <c r="E2475" t="s">
        <v>16</v>
      </c>
      <c r="F2475">
        <v>9</v>
      </c>
      <c r="G2475" t="s">
        <v>20</v>
      </c>
      <c r="H2475" s="1">
        <v>45344</v>
      </c>
      <c r="I2475" s="1">
        <v>45353</v>
      </c>
      <c r="J2475" t="str">
        <f t="shared" si="38"/>
        <v>Feb-2024</v>
      </c>
    </row>
    <row r="2476" spans="1:10">
      <c r="A2476">
        <v>2475</v>
      </c>
      <c r="B2476">
        <v>15349</v>
      </c>
      <c r="C2476" t="s">
        <v>23</v>
      </c>
      <c r="D2476">
        <v>13258.2</v>
      </c>
      <c r="E2476" t="s">
        <v>16</v>
      </c>
      <c r="F2476">
        <v>35</v>
      </c>
      <c r="G2476" t="s">
        <v>20</v>
      </c>
      <c r="H2476" s="1">
        <v>45531</v>
      </c>
      <c r="I2476" s="1">
        <v>45566</v>
      </c>
      <c r="J2476" t="str">
        <f t="shared" si="38"/>
        <v>Aug-2024</v>
      </c>
    </row>
    <row r="2477" spans="1:10">
      <c r="A2477">
        <v>2476</v>
      </c>
      <c r="B2477">
        <v>13167</v>
      </c>
      <c r="C2477" t="s">
        <v>23</v>
      </c>
      <c r="D2477">
        <v>113969.36</v>
      </c>
      <c r="E2477" t="s">
        <v>16</v>
      </c>
      <c r="F2477">
        <v>43</v>
      </c>
      <c r="G2477" t="s">
        <v>17</v>
      </c>
      <c r="H2477" s="1">
        <v>45581</v>
      </c>
      <c r="I2477" s="1">
        <v>45624</v>
      </c>
      <c r="J2477" t="str">
        <f t="shared" si="38"/>
        <v>Oct-2024</v>
      </c>
    </row>
    <row r="2478" spans="1:10">
      <c r="A2478">
        <v>2477</v>
      </c>
      <c r="B2478">
        <v>17606</v>
      </c>
      <c r="C2478" t="s">
        <v>23</v>
      </c>
      <c r="D2478">
        <v>111191.56</v>
      </c>
      <c r="E2478" t="s">
        <v>16</v>
      </c>
      <c r="F2478">
        <v>24</v>
      </c>
      <c r="G2478" t="s">
        <v>20</v>
      </c>
      <c r="H2478" s="1">
        <v>45578</v>
      </c>
      <c r="I2478" s="1">
        <v>45602</v>
      </c>
      <c r="J2478" t="str">
        <f t="shared" si="38"/>
        <v>Oct-2024</v>
      </c>
    </row>
    <row r="2479" spans="1:10">
      <c r="A2479">
        <v>2478</v>
      </c>
      <c r="B2479">
        <v>12218</v>
      </c>
      <c r="C2479" t="s">
        <v>23</v>
      </c>
      <c r="D2479">
        <v>45020.62</v>
      </c>
      <c r="E2479" t="s">
        <v>19</v>
      </c>
      <c r="F2479">
        <v>10</v>
      </c>
      <c r="G2479" t="s">
        <v>20</v>
      </c>
      <c r="H2479" s="1">
        <v>45479</v>
      </c>
      <c r="I2479" s="1">
        <v>45489</v>
      </c>
      <c r="J2479" t="str">
        <f t="shared" si="38"/>
        <v>Jul-2024</v>
      </c>
    </row>
    <row r="2480" spans="1:10">
      <c r="A2480">
        <v>2479</v>
      </c>
      <c r="B2480">
        <v>11340</v>
      </c>
      <c r="C2480" t="s">
        <v>23</v>
      </c>
      <c r="D2480">
        <v>140589.23000000001</v>
      </c>
      <c r="E2480" t="s">
        <v>24</v>
      </c>
      <c r="G2480" t="s">
        <v>25</v>
      </c>
      <c r="H2480" s="1">
        <v>45297</v>
      </c>
      <c r="J2480" t="str">
        <f t="shared" si="38"/>
        <v>Jan-2024</v>
      </c>
    </row>
    <row r="2481" spans="1:10">
      <c r="A2481">
        <v>2480</v>
      </c>
      <c r="B2481">
        <v>18009</v>
      </c>
      <c r="C2481" t="s">
        <v>23</v>
      </c>
      <c r="D2481">
        <v>149515.87</v>
      </c>
      <c r="E2481" t="s">
        <v>16</v>
      </c>
      <c r="F2481">
        <v>37</v>
      </c>
      <c r="G2481" t="s">
        <v>21</v>
      </c>
      <c r="H2481" s="1">
        <v>45574</v>
      </c>
      <c r="I2481" s="1">
        <v>45611</v>
      </c>
      <c r="J2481" t="str">
        <f t="shared" si="38"/>
        <v>Oct-2024</v>
      </c>
    </row>
    <row r="2482" spans="1:10">
      <c r="A2482">
        <v>2481</v>
      </c>
      <c r="B2482">
        <v>14639</v>
      </c>
      <c r="C2482" t="s">
        <v>22</v>
      </c>
      <c r="D2482">
        <v>55524.15</v>
      </c>
      <c r="E2482" t="s">
        <v>16</v>
      </c>
      <c r="F2482">
        <v>17</v>
      </c>
      <c r="G2482" t="s">
        <v>21</v>
      </c>
      <c r="H2482" s="1">
        <v>45554</v>
      </c>
      <c r="I2482" s="1">
        <v>45571</v>
      </c>
      <c r="J2482" t="str">
        <f t="shared" si="38"/>
        <v>Sep-2024</v>
      </c>
    </row>
    <row r="2483" spans="1:10">
      <c r="A2483">
        <v>2482</v>
      </c>
      <c r="B2483">
        <v>11514</v>
      </c>
      <c r="C2483" t="s">
        <v>23</v>
      </c>
      <c r="D2483">
        <v>72099.45</v>
      </c>
      <c r="E2483" t="s">
        <v>16</v>
      </c>
      <c r="F2483">
        <v>26</v>
      </c>
      <c r="G2483" t="s">
        <v>21</v>
      </c>
      <c r="H2483" s="1">
        <v>45340</v>
      </c>
      <c r="I2483" s="1">
        <v>45366</v>
      </c>
      <c r="J2483" t="str">
        <f t="shared" si="38"/>
        <v>Feb-2024</v>
      </c>
    </row>
    <row r="2484" spans="1:10">
      <c r="A2484">
        <v>2483</v>
      </c>
      <c r="B2484">
        <v>11411</v>
      </c>
      <c r="C2484" t="s">
        <v>18</v>
      </c>
      <c r="D2484">
        <v>198141.98</v>
      </c>
      <c r="E2484" t="s">
        <v>16</v>
      </c>
      <c r="F2484">
        <v>19</v>
      </c>
      <c r="G2484" t="s">
        <v>21</v>
      </c>
      <c r="H2484" s="1">
        <v>45643</v>
      </c>
      <c r="I2484" s="1">
        <v>45662</v>
      </c>
      <c r="J2484" t="str">
        <f t="shared" si="38"/>
        <v>Dec-2024</v>
      </c>
    </row>
    <row r="2485" spans="1:10">
      <c r="A2485">
        <v>2484</v>
      </c>
      <c r="B2485">
        <v>17724</v>
      </c>
      <c r="C2485" t="s">
        <v>15</v>
      </c>
      <c r="D2485">
        <v>77981.570000000007</v>
      </c>
      <c r="E2485" t="s">
        <v>24</v>
      </c>
      <c r="G2485" t="s">
        <v>20</v>
      </c>
      <c r="H2485" s="1">
        <v>45491</v>
      </c>
      <c r="J2485" t="str">
        <f t="shared" si="38"/>
        <v>Jul-2024</v>
      </c>
    </row>
    <row r="2486" spans="1:10">
      <c r="A2486">
        <v>2485</v>
      </c>
      <c r="B2486">
        <v>14167</v>
      </c>
      <c r="C2486" t="s">
        <v>18</v>
      </c>
      <c r="D2486">
        <v>153356.32999999999</v>
      </c>
      <c r="E2486" t="s">
        <v>19</v>
      </c>
      <c r="F2486">
        <v>39</v>
      </c>
      <c r="G2486" t="s">
        <v>17</v>
      </c>
      <c r="H2486" s="1">
        <v>45351</v>
      </c>
      <c r="I2486" s="1">
        <v>45390</v>
      </c>
      <c r="J2486" t="str">
        <f t="shared" si="38"/>
        <v>Feb-2024</v>
      </c>
    </row>
    <row r="2487" spans="1:10">
      <c r="A2487">
        <v>2486</v>
      </c>
      <c r="B2487">
        <v>11022</v>
      </c>
      <c r="C2487" t="s">
        <v>23</v>
      </c>
      <c r="D2487">
        <v>93281.46</v>
      </c>
      <c r="E2487" t="s">
        <v>16</v>
      </c>
      <c r="F2487">
        <v>4</v>
      </c>
      <c r="G2487" t="s">
        <v>17</v>
      </c>
      <c r="H2487" s="1">
        <v>45324</v>
      </c>
      <c r="I2487" s="1">
        <v>45328</v>
      </c>
      <c r="J2487" t="str">
        <f t="shared" si="38"/>
        <v>Feb-2024</v>
      </c>
    </row>
    <row r="2488" spans="1:10">
      <c r="A2488">
        <v>2487</v>
      </c>
      <c r="B2488">
        <v>12758</v>
      </c>
      <c r="C2488" t="s">
        <v>18</v>
      </c>
      <c r="D2488">
        <v>159702.24</v>
      </c>
      <c r="E2488" t="s">
        <v>16</v>
      </c>
      <c r="F2488">
        <v>21</v>
      </c>
      <c r="G2488" t="s">
        <v>25</v>
      </c>
      <c r="H2488" s="1">
        <v>45594</v>
      </c>
      <c r="I2488" s="1">
        <v>45615</v>
      </c>
      <c r="J2488" t="str">
        <f t="shared" si="38"/>
        <v>Oct-2024</v>
      </c>
    </row>
    <row r="2489" spans="1:10">
      <c r="A2489">
        <v>2488</v>
      </c>
      <c r="B2489">
        <v>19304</v>
      </c>
      <c r="C2489" t="s">
        <v>18</v>
      </c>
      <c r="D2489">
        <v>154959.53</v>
      </c>
      <c r="E2489" t="s">
        <v>16</v>
      </c>
      <c r="F2489">
        <v>20</v>
      </c>
      <c r="G2489" t="s">
        <v>25</v>
      </c>
      <c r="H2489" s="1">
        <v>45535</v>
      </c>
      <c r="I2489" s="1">
        <v>45555</v>
      </c>
      <c r="J2489" t="str">
        <f t="shared" si="38"/>
        <v>Aug-2024</v>
      </c>
    </row>
    <row r="2490" spans="1:10">
      <c r="A2490">
        <v>2489</v>
      </c>
      <c r="B2490">
        <v>14808</v>
      </c>
      <c r="C2490" t="s">
        <v>18</v>
      </c>
      <c r="D2490">
        <v>135212.42000000001</v>
      </c>
      <c r="E2490" t="s">
        <v>16</v>
      </c>
      <c r="F2490">
        <v>14</v>
      </c>
      <c r="G2490" t="s">
        <v>20</v>
      </c>
      <c r="H2490" s="1">
        <v>45463</v>
      </c>
      <c r="I2490" s="1">
        <v>45477</v>
      </c>
      <c r="J2490" t="str">
        <f t="shared" si="38"/>
        <v>Jun-2024</v>
      </c>
    </row>
    <row r="2491" spans="1:10">
      <c r="A2491">
        <v>2490</v>
      </c>
      <c r="B2491">
        <v>19750</v>
      </c>
      <c r="C2491" t="s">
        <v>18</v>
      </c>
      <c r="D2491">
        <v>171681.78</v>
      </c>
      <c r="E2491" t="s">
        <v>19</v>
      </c>
      <c r="F2491">
        <v>18</v>
      </c>
      <c r="G2491" t="s">
        <v>17</v>
      </c>
      <c r="H2491" s="1">
        <v>45498</v>
      </c>
      <c r="I2491" s="1">
        <v>45516</v>
      </c>
      <c r="J2491" t="str">
        <f t="shared" si="38"/>
        <v>Jul-2024</v>
      </c>
    </row>
    <row r="2492" spans="1:10">
      <c r="A2492">
        <v>2491</v>
      </c>
      <c r="B2492">
        <v>18833</v>
      </c>
      <c r="C2492" t="s">
        <v>22</v>
      </c>
      <c r="D2492">
        <v>188147.61</v>
      </c>
      <c r="E2492" t="s">
        <v>16</v>
      </c>
      <c r="F2492">
        <v>15</v>
      </c>
      <c r="G2492" t="s">
        <v>17</v>
      </c>
      <c r="H2492" s="1">
        <v>45574</v>
      </c>
      <c r="I2492" s="1">
        <v>45589</v>
      </c>
      <c r="J2492" t="str">
        <f t="shared" si="38"/>
        <v>Oct-2024</v>
      </c>
    </row>
    <row r="2493" spans="1:10">
      <c r="A2493">
        <v>2492</v>
      </c>
      <c r="B2493">
        <v>16733</v>
      </c>
      <c r="C2493" t="s">
        <v>18</v>
      </c>
      <c r="D2493">
        <v>118096.75</v>
      </c>
      <c r="E2493" t="s">
        <v>16</v>
      </c>
      <c r="F2493">
        <v>31</v>
      </c>
      <c r="G2493" t="s">
        <v>21</v>
      </c>
      <c r="H2493" s="1">
        <v>45313</v>
      </c>
      <c r="I2493" s="1">
        <v>45344</v>
      </c>
      <c r="J2493" t="str">
        <f t="shared" si="38"/>
        <v>Jan-2024</v>
      </c>
    </row>
    <row r="2494" spans="1:10">
      <c r="A2494">
        <v>2493</v>
      </c>
      <c r="B2494">
        <v>14907</v>
      </c>
      <c r="C2494" t="s">
        <v>23</v>
      </c>
      <c r="D2494">
        <v>51306.44</v>
      </c>
      <c r="E2494" t="s">
        <v>16</v>
      </c>
      <c r="F2494">
        <v>23</v>
      </c>
      <c r="G2494" t="s">
        <v>20</v>
      </c>
      <c r="H2494" s="1">
        <v>45338</v>
      </c>
      <c r="I2494" s="1">
        <v>45361</v>
      </c>
      <c r="J2494" t="str">
        <f t="shared" si="38"/>
        <v>Feb-2024</v>
      </c>
    </row>
    <row r="2495" spans="1:10">
      <c r="A2495">
        <v>2494</v>
      </c>
      <c r="B2495">
        <v>13225</v>
      </c>
      <c r="C2495" t="s">
        <v>18</v>
      </c>
      <c r="D2495">
        <v>82732.649999999994</v>
      </c>
      <c r="E2495" t="s">
        <v>19</v>
      </c>
      <c r="F2495">
        <v>44</v>
      </c>
      <c r="G2495" t="s">
        <v>20</v>
      </c>
      <c r="H2495" s="1">
        <v>45640</v>
      </c>
      <c r="I2495" s="1">
        <v>45684</v>
      </c>
      <c r="J2495" t="str">
        <f t="shared" si="38"/>
        <v>Dec-2024</v>
      </c>
    </row>
    <row r="2496" spans="1:10">
      <c r="A2496">
        <v>2495</v>
      </c>
      <c r="B2496">
        <v>11014</v>
      </c>
      <c r="C2496" t="s">
        <v>23</v>
      </c>
      <c r="D2496">
        <v>152869.60999999999</v>
      </c>
      <c r="E2496" t="s">
        <v>16</v>
      </c>
      <c r="F2496">
        <v>44</v>
      </c>
      <c r="G2496" t="s">
        <v>21</v>
      </c>
      <c r="H2496" s="1">
        <v>45449</v>
      </c>
      <c r="I2496" s="1">
        <v>45493</v>
      </c>
      <c r="J2496" t="str">
        <f t="shared" si="38"/>
        <v>Jun-2024</v>
      </c>
    </row>
    <row r="2497" spans="1:10">
      <c r="A2497">
        <v>2496</v>
      </c>
      <c r="B2497">
        <v>16768</v>
      </c>
      <c r="C2497" t="s">
        <v>15</v>
      </c>
      <c r="D2497">
        <v>131922.28</v>
      </c>
      <c r="E2497" t="s">
        <v>19</v>
      </c>
      <c r="F2497">
        <v>30</v>
      </c>
      <c r="G2497" t="s">
        <v>20</v>
      </c>
      <c r="H2497" s="1">
        <v>45549</v>
      </c>
      <c r="I2497" s="1">
        <v>45579</v>
      </c>
      <c r="J2497" t="str">
        <f t="shared" si="38"/>
        <v>Sep-2024</v>
      </c>
    </row>
    <row r="2498" spans="1:10">
      <c r="A2498">
        <v>2497</v>
      </c>
      <c r="B2498">
        <v>15458</v>
      </c>
      <c r="C2498" t="s">
        <v>23</v>
      </c>
      <c r="D2498">
        <v>39670.68</v>
      </c>
      <c r="E2498" t="s">
        <v>19</v>
      </c>
      <c r="F2498">
        <v>3</v>
      </c>
      <c r="G2498" t="s">
        <v>20</v>
      </c>
      <c r="H2498" s="1">
        <v>45434</v>
      </c>
      <c r="I2498" s="1">
        <v>45437</v>
      </c>
      <c r="J2498" t="str">
        <f t="shared" si="38"/>
        <v>May-2024</v>
      </c>
    </row>
    <row r="2499" spans="1:10">
      <c r="A2499">
        <v>2498</v>
      </c>
      <c r="B2499">
        <v>12021</v>
      </c>
      <c r="C2499" t="s">
        <v>23</v>
      </c>
      <c r="D2499">
        <v>14991.71</v>
      </c>
      <c r="E2499" t="s">
        <v>24</v>
      </c>
      <c r="G2499" t="s">
        <v>25</v>
      </c>
      <c r="H2499" s="1">
        <v>45338</v>
      </c>
      <c r="J2499" t="str">
        <f t="shared" ref="J2499:J2562" si="39">TEXT(H2499,"mmm-yyyy")</f>
        <v>Feb-2024</v>
      </c>
    </row>
    <row r="2500" spans="1:10">
      <c r="A2500">
        <v>2499</v>
      </c>
      <c r="B2500">
        <v>12676</v>
      </c>
      <c r="C2500" t="s">
        <v>15</v>
      </c>
      <c r="D2500">
        <v>138177.51</v>
      </c>
      <c r="E2500" t="s">
        <v>16</v>
      </c>
      <c r="F2500">
        <v>15</v>
      </c>
      <c r="G2500" t="s">
        <v>17</v>
      </c>
      <c r="H2500" s="1">
        <v>45318</v>
      </c>
      <c r="I2500" s="1">
        <v>45333</v>
      </c>
      <c r="J2500" t="str">
        <f t="shared" si="39"/>
        <v>Jan-2024</v>
      </c>
    </row>
    <row r="2501" spans="1:10">
      <c r="A2501">
        <v>2500</v>
      </c>
      <c r="B2501">
        <v>19732</v>
      </c>
      <c r="C2501" t="s">
        <v>18</v>
      </c>
      <c r="D2501">
        <v>53960.41</v>
      </c>
      <c r="E2501" t="s">
        <v>16</v>
      </c>
      <c r="F2501">
        <v>35</v>
      </c>
      <c r="G2501" t="s">
        <v>20</v>
      </c>
      <c r="H2501" s="1">
        <v>45318</v>
      </c>
      <c r="I2501" s="1">
        <v>45353</v>
      </c>
      <c r="J2501" t="str">
        <f t="shared" si="39"/>
        <v>Jan-2024</v>
      </c>
    </row>
    <row r="2502" spans="1:10">
      <c r="A2502">
        <v>2501</v>
      </c>
      <c r="B2502">
        <v>13106</v>
      </c>
      <c r="C2502" t="s">
        <v>23</v>
      </c>
      <c r="D2502">
        <v>102435.7</v>
      </c>
      <c r="E2502" t="s">
        <v>16</v>
      </c>
      <c r="F2502">
        <v>14</v>
      </c>
      <c r="G2502" t="s">
        <v>25</v>
      </c>
      <c r="H2502" s="1">
        <v>45436</v>
      </c>
      <c r="I2502" s="1">
        <v>45450</v>
      </c>
      <c r="J2502" t="str">
        <f t="shared" si="39"/>
        <v>May-2024</v>
      </c>
    </row>
    <row r="2503" spans="1:10">
      <c r="A2503">
        <v>2502</v>
      </c>
      <c r="B2503">
        <v>18975</v>
      </c>
      <c r="C2503" t="s">
        <v>23</v>
      </c>
      <c r="D2503">
        <v>150615.62</v>
      </c>
      <c r="E2503" t="s">
        <v>16</v>
      </c>
      <c r="F2503">
        <v>11</v>
      </c>
      <c r="G2503" t="s">
        <v>17</v>
      </c>
      <c r="H2503" s="1">
        <v>45366</v>
      </c>
      <c r="I2503" s="1">
        <v>45377</v>
      </c>
      <c r="J2503" t="str">
        <f t="shared" si="39"/>
        <v>Mar-2024</v>
      </c>
    </row>
    <row r="2504" spans="1:10">
      <c r="A2504">
        <v>2503</v>
      </c>
      <c r="B2504">
        <v>18862</v>
      </c>
      <c r="C2504" t="s">
        <v>15</v>
      </c>
      <c r="D2504">
        <v>114720.02</v>
      </c>
      <c r="E2504" t="s">
        <v>16</v>
      </c>
      <c r="F2504">
        <v>9</v>
      </c>
      <c r="G2504" t="s">
        <v>21</v>
      </c>
      <c r="H2504" s="1">
        <v>45478</v>
      </c>
      <c r="I2504" s="1">
        <v>45487</v>
      </c>
      <c r="J2504" t="str">
        <f t="shared" si="39"/>
        <v>Jul-2024</v>
      </c>
    </row>
    <row r="2505" spans="1:10">
      <c r="A2505">
        <v>2504</v>
      </c>
      <c r="B2505">
        <v>12584</v>
      </c>
      <c r="C2505" t="s">
        <v>23</v>
      </c>
      <c r="D2505">
        <v>21244</v>
      </c>
      <c r="E2505" t="s">
        <v>16</v>
      </c>
      <c r="F2505">
        <v>8</v>
      </c>
      <c r="G2505" t="s">
        <v>25</v>
      </c>
      <c r="H2505" s="1">
        <v>45301</v>
      </c>
      <c r="I2505" s="1">
        <v>45309</v>
      </c>
      <c r="J2505" t="str">
        <f t="shared" si="39"/>
        <v>Jan-2024</v>
      </c>
    </row>
    <row r="2506" spans="1:10">
      <c r="A2506">
        <v>2505</v>
      </c>
      <c r="B2506">
        <v>14942</v>
      </c>
      <c r="C2506" t="s">
        <v>15</v>
      </c>
      <c r="D2506">
        <v>41188.15</v>
      </c>
      <c r="E2506" t="s">
        <v>16</v>
      </c>
      <c r="F2506">
        <v>14</v>
      </c>
      <c r="G2506" t="s">
        <v>25</v>
      </c>
      <c r="H2506" s="1">
        <v>45412</v>
      </c>
      <c r="I2506" s="1">
        <v>45426</v>
      </c>
      <c r="J2506" t="str">
        <f t="shared" si="39"/>
        <v>Apr-2024</v>
      </c>
    </row>
    <row r="2507" spans="1:10">
      <c r="A2507">
        <v>2506</v>
      </c>
      <c r="B2507">
        <v>11277</v>
      </c>
      <c r="C2507" t="s">
        <v>23</v>
      </c>
      <c r="D2507">
        <v>47769</v>
      </c>
      <c r="E2507" t="s">
        <v>19</v>
      </c>
      <c r="F2507">
        <v>27</v>
      </c>
      <c r="G2507" t="s">
        <v>17</v>
      </c>
      <c r="H2507" s="1">
        <v>45580</v>
      </c>
      <c r="I2507" s="1">
        <v>45607</v>
      </c>
      <c r="J2507" t="str">
        <f t="shared" si="39"/>
        <v>Oct-2024</v>
      </c>
    </row>
    <row r="2508" spans="1:10">
      <c r="A2508">
        <v>2507</v>
      </c>
      <c r="B2508">
        <v>13043</v>
      </c>
      <c r="C2508" t="s">
        <v>18</v>
      </c>
      <c r="D2508">
        <v>55283.53</v>
      </c>
      <c r="E2508" t="s">
        <v>16</v>
      </c>
      <c r="F2508">
        <v>33</v>
      </c>
      <c r="G2508" t="s">
        <v>21</v>
      </c>
      <c r="H2508" s="1">
        <v>45456</v>
      </c>
      <c r="I2508" s="1">
        <v>45489</v>
      </c>
      <c r="J2508" t="str">
        <f t="shared" si="39"/>
        <v>Jun-2024</v>
      </c>
    </row>
    <row r="2509" spans="1:10">
      <c r="A2509">
        <v>2508</v>
      </c>
      <c r="B2509">
        <v>17370</v>
      </c>
      <c r="C2509" t="s">
        <v>15</v>
      </c>
      <c r="D2509">
        <v>115253.66</v>
      </c>
      <c r="E2509" t="s">
        <v>16</v>
      </c>
      <c r="F2509">
        <v>20</v>
      </c>
      <c r="G2509" t="s">
        <v>25</v>
      </c>
      <c r="H2509" s="1">
        <v>45555</v>
      </c>
      <c r="I2509" s="1">
        <v>45575</v>
      </c>
      <c r="J2509" t="str">
        <f t="shared" si="39"/>
        <v>Sep-2024</v>
      </c>
    </row>
    <row r="2510" spans="1:10">
      <c r="A2510">
        <v>2509</v>
      </c>
      <c r="B2510">
        <v>15860</v>
      </c>
      <c r="C2510" t="s">
        <v>23</v>
      </c>
      <c r="D2510">
        <v>103273.33</v>
      </c>
      <c r="E2510" t="s">
        <v>19</v>
      </c>
      <c r="F2510">
        <v>16</v>
      </c>
      <c r="G2510" t="s">
        <v>20</v>
      </c>
      <c r="H2510" s="1">
        <v>45452</v>
      </c>
      <c r="I2510" s="1">
        <v>45468</v>
      </c>
      <c r="J2510" t="str">
        <f t="shared" si="39"/>
        <v>Jun-2024</v>
      </c>
    </row>
    <row r="2511" spans="1:10">
      <c r="A2511">
        <v>2510</v>
      </c>
      <c r="B2511">
        <v>13782</v>
      </c>
      <c r="C2511" t="s">
        <v>23</v>
      </c>
      <c r="D2511">
        <v>44616.21</v>
      </c>
      <c r="E2511" t="s">
        <v>19</v>
      </c>
      <c r="F2511">
        <v>3</v>
      </c>
      <c r="G2511" t="s">
        <v>20</v>
      </c>
      <c r="H2511" s="1">
        <v>45618</v>
      </c>
      <c r="I2511" s="1">
        <v>45621</v>
      </c>
      <c r="J2511" t="str">
        <f t="shared" si="39"/>
        <v>Nov-2024</v>
      </c>
    </row>
    <row r="2512" spans="1:10">
      <c r="A2512">
        <v>2511</v>
      </c>
      <c r="B2512">
        <v>17057</v>
      </c>
      <c r="C2512" t="s">
        <v>23</v>
      </c>
      <c r="D2512">
        <v>18173.189999999999</v>
      </c>
      <c r="E2512" t="s">
        <v>19</v>
      </c>
      <c r="F2512">
        <v>38</v>
      </c>
      <c r="G2512" t="s">
        <v>20</v>
      </c>
      <c r="H2512" s="1">
        <v>45588</v>
      </c>
      <c r="I2512" s="1">
        <v>45626</v>
      </c>
      <c r="J2512" t="str">
        <f t="shared" si="39"/>
        <v>Oct-2024</v>
      </c>
    </row>
    <row r="2513" spans="1:10">
      <c r="A2513">
        <v>2512</v>
      </c>
      <c r="B2513">
        <v>18369</v>
      </c>
      <c r="C2513" t="s">
        <v>18</v>
      </c>
      <c r="D2513">
        <v>38429.279999999999</v>
      </c>
      <c r="E2513" t="s">
        <v>19</v>
      </c>
      <c r="F2513">
        <v>20</v>
      </c>
      <c r="G2513" t="s">
        <v>21</v>
      </c>
      <c r="H2513" s="1">
        <v>45409</v>
      </c>
      <c r="I2513" s="1">
        <v>45429</v>
      </c>
      <c r="J2513" t="str">
        <f t="shared" si="39"/>
        <v>Apr-2024</v>
      </c>
    </row>
    <row r="2514" spans="1:10">
      <c r="A2514">
        <v>2513</v>
      </c>
      <c r="B2514">
        <v>18467</v>
      </c>
      <c r="C2514" t="s">
        <v>18</v>
      </c>
      <c r="D2514">
        <v>196954.36</v>
      </c>
      <c r="E2514" t="s">
        <v>24</v>
      </c>
      <c r="G2514" t="s">
        <v>25</v>
      </c>
      <c r="H2514" s="1">
        <v>45602</v>
      </c>
      <c r="J2514" t="str">
        <f t="shared" si="39"/>
        <v>Nov-2024</v>
      </c>
    </row>
    <row r="2515" spans="1:10">
      <c r="A2515">
        <v>2514</v>
      </c>
      <c r="B2515">
        <v>13481</v>
      </c>
      <c r="C2515" t="s">
        <v>18</v>
      </c>
      <c r="D2515">
        <v>96366.66</v>
      </c>
      <c r="E2515" t="s">
        <v>16</v>
      </c>
      <c r="F2515">
        <v>40</v>
      </c>
      <c r="G2515" t="s">
        <v>20</v>
      </c>
      <c r="H2515" s="1">
        <v>45554</v>
      </c>
      <c r="I2515" s="1">
        <v>45594</v>
      </c>
      <c r="J2515" t="str">
        <f t="shared" si="39"/>
        <v>Sep-2024</v>
      </c>
    </row>
    <row r="2516" spans="1:10">
      <c r="A2516">
        <v>2515</v>
      </c>
      <c r="B2516">
        <v>15772</v>
      </c>
      <c r="C2516" t="s">
        <v>23</v>
      </c>
      <c r="D2516">
        <v>174132.37</v>
      </c>
      <c r="E2516" t="s">
        <v>16</v>
      </c>
      <c r="F2516">
        <v>34</v>
      </c>
      <c r="G2516" t="s">
        <v>21</v>
      </c>
      <c r="H2516" s="1">
        <v>45375</v>
      </c>
      <c r="I2516" s="1">
        <v>45409</v>
      </c>
      <c r="J2516" t="str">
        <f t="shared" si="39"/>
        <v>Mar-2024</v>
      </c>
    </row>
    <row r="2517" spans="1:10">
      <c r="A2517">
        <v>2516</v>
      </c>
      <c r="B2517">
        <v>19616</v>
      </c>
      <c r="C2517" t="s">
        <v>23</v>
      </c>
      <c r="D2517">
        <v>170506.73</v>
      </c>
      <c r="E2517" t="s">
        <v>16</v>
      </c>
      <c r="F2517">
        <v>2</v>
      </c>
      <c r="G2517" t="s">
        <v>20</v>
      </c>
      <c r="H2517" s="1">
        <v>45437</v>
      </c>
      <c r="I2517" s="1">
        <v>45439</v>
      </c>
      <c r="J2517" t="str">
        <f t="shared" si="39"/>
        <v>May-2024</v>
      </c>
    </row>
    <row r="2518" spans="1:10">
      <c r="A2518">
        <v>2517</v>
      </c>
      <c r="B2518">
        <v>15336</v>
      </c>
      <c r="C2518" t="s">
        <v>23</v>
      </c>
      <c r="D2518">
        <v>104746.31</v>
      </c>
      <c r="E2518" t="s">
        <v>16</v>
      </c>
      <c r="F2518">
        <v>40</v>
      </c>
      <c r="G2518" t="s">
        <v>17</v>
      </c>
      <c r="H2518" s="1">
        <v>45462</v>
      </c>
      <c r="I2518" s="1">
        <v>45502</v>
      </c>
      <c r="J2518" t="str">
        <f t="shared" si="39"/>
        <v>Jun-2024</v>
      </c>
    </row>
    <row r="2519" spans="1:10">
      <c r="A2519">
        <v>2518</v>
      </c>
      <c r="B2519">
        <v>14122</v>
      </c>
      <c r="C2519" t="s">
        <v>23</v>
      </c>
      <c r="D2519">
        <v>142804.1</v>
      </c>
      <c r="E2519" t="s">
        <v>16</v>
      </c>
      <c r="F2519">
        <v>29</v>
      </c>
      <c r="G2519" t="s">
        <v>25</v>
      </c>
      <c r="H2519" s="1">
        <v>45625</v>
      </c>
      <c r="I2519" s="1">
        <v>45654</v>
      </c>
      <c r="J2519" t="str">
        <f t="shared" si="39"/>
        <v>Nov-2024</v>
      </c>
    </row>
    <row r="2520" spans="1:10">
      <c r="A2520">
        <v>2519</v>
      </c>
      <c r="B2520">
        <v>12960</v>
      </c>
      <c r="C2520" t="s">
        <v>18</v>
      </c>
      <c r="D2520">
        <v>42586.64</v>
      </c>
      <c r="E2520" t="s">
        <v>16</v>
      </c>
      <c r="F2520">
        <v>18</v>
      </c>
      <c r="G2520" t="s">
        <v>25</v>
      </c>
      <c r="H2520" s="1">
        <v>45600</v>
      </c>
      <c r="I2520" s="1">
        <v>45618</v>
      </c>
      <c r="J2520" t="str">
        <f t="shared" si="39"/>
        <v>Nov-2024</v>
      </c>
    </row>
    <row r="2521" spans="1:10">
      <c r="A2521">
        <v>2520</v>
      </c>
      <c r="B2521">
        <v>17897</v>
      </c>
      <c r="C2521" t="s">
        <v>15</v>
      </c>
      <c r="D2521">
        <v>139237.35999999999</v>
      </c>
      <c r="E2521" t="s">
        <v>16</v>
      </c>
      <c r="F2521">
        <v>7</v>
      </c>
      <c r="G2521" t="s">
        <v>21</v>
      </c>
      <c r="H2521" s="1">
        <v>45305</v>
      </c>
      <c r="I2521" s="1">
        <v>45312</v>
      </c>
      <c r="J2521" t="str">
        <f t="shared" si="39"/>
        <v>Jan-2024</v>
      </c>
    </row>
    <row r="2522" spans="1:10">
      <c r="A2522">
        <v>2521</v>
      </c>
      <c r="B2522">
        <v>12469</v>
      </c>
      <c r="C2522" t="s">
        <v>18</v>
      </c>
      <c r="D2522">
        <v>58114.99</v>
      </c>
      <c r="E2522" t="s">
        <v>16</v>
      </c>
      <c r="F2522">
        <v>21</v>
      </c>
      <c r="G2522" t="s">
        <v>21</v>
      </c>
      <c r="H2522" s="1">
        <v>45440</v>
      </c>
      <c r="I2522" s="1">
        <v>45461</v>
      </c>
      <c r="J2522" t="str">
        <f t="shared" si="39"/>
        <v>May-2024</v>
      </c>
    </row>
    <row r="2523" spans="1:10">
      <c r="A2523">
        <v>2522</v>
      </c>
      <c r="B2523">
        <v>17051</v>
      </c>
      <c r="C2523" t="s">
        <v>23</v>
      </c>
      <c r="D2523">
        <v>167252.10999999999</v>
      </c>
      <c r="E2523" t="s">
        <v>16</v>
      </c>
      <c r="F2523">
        <v>14</v>
      </c>
      <c r="G2523" t="s">
        <v>25</v>
      </c>
      <c r="H2523" s="1">
        <v>45542</v>
      </c>
      <c r="I2523" s="1">
        <v>45556</v>
      </c>
      <c r="J2523" t="str">
        <f t="shared" si="39"/>
        <v>Sep-2024</v>
      </c>
    </row>
    <row r="2524" spans="1:10">
      <c r="A2524">
        <v>2523</v>
      </c>
      <c r="B2524">
        <v>14068</v>
      </c>
      <c r="C2524" t="s">
        <v>22</v>
      </c>
      <c r="D2524">
        <v>21326.21</v>
      </c>
      <c r="E2524" t="s">
        <v>24</v>
      </c>
      <c r="G2524" t="s">
        <v>20</v>
      </c>
      <c r="H2524" s="1">
        <v>45348</v>
      </c>
      <c r="J2524" t="str">
        <f t="shared" si="39"/>
        <v>Feb-2024</v>
      </c>
    </row>
    <row r="2525" spans="1:10">
      <c r="A2525">
        <v>2524</v>
      </c>
      <c r="B2525">
        <v>15443</v>
      </c>
      <c r="C2525" t="s">
        <v>18</v>
      </c>
      <c r="D2525">
        <v>155762.04</v>
      </c>
      <c r="E2525" t="s">
        <v>16</v>
      </c>
      <c r="F2525">
        <v>31</v>
      </c>
      <c r="G2525" t="s">
        <v>20</v>
      </c>
      <c r="H2525" s="1">
        <v>45638</v>
      </c>
      <c r="I2525" s="1">
        <v>45669</v>
      </c>
      <c r="J2525" t="str">
        <f t="shared" si="39"/>
        <v>Dec-2024</v>
      </c>
    </row>
    <row r="2526" spans="1:10">
      <c r="A2526">
        <v>2525</v>
      </c>
      <c r="B2526">
        <v>19782</v>
      </c>
      <c r="C2526" t="s">
        <v>22</v>
      </c>
      <c r="D2526">
        <v>24487.7</v>
      </c>
      <c r="E2526" t="s">
        <v>19</v>
      </c>
      <c r="F2526">
        <v>22</v>
      </c>
      <c r="G2526" t="s">
        <v>17</v>
      </c>
      <c r="H2526" s="1">
        <v>45593</v>
      </c>
      <c r="I2526" s="1">
        <v>45615</v>
      </c>
      <c r="J2526" t="str">
        <f t="shared" si="39"/>
        <v>Oct-2024</v>
      </c>
    </row>
    <row r="2527" spans="1:10">
      <c r="A2527">
        <v>2526</v>
      </c>
      <c r="B2527">
        <v>14380</v>
      </c>
      <c r="C2527" t="s">
        <v>18</v>
      </c>
      <c r="D2527">
        <v>176831.9</v>
      </c>
      <c r="E2527" t="s">
        <v>16</v>
      </c>
      <c r="F2527">
        <v>3</v>
      </c>
      <c r="G2527" t="s">
        <v>20</v>
      </c>
      <c r="H2527" s="1">
        <v>45638</v>
      </c>
      <c r="I2527" s="1">
        <v>45641</v>
      </c>
      <c r="J2527" t="str">
        <f t="shared" si="39"/>
        <v>Dec-2024</v>
      </c>
    </row>
    <row r="2528" spans="1:10">
      <c r="A2528">
        <v>2527</v>
      </c>
      <c r="B2528">
        <v>19304</v>
      </c>
      <c r="C2528" t="s">
        <v>23</v>
      </c>
      <c r="D2528">
        <v>64319.88</v>
      </c>
      <c r="E2528" t="s">
        <v>24</v>
      </c>
      <c r="G2528" t="s">
        <v>21</v>
      </c>
      <c r="H2528" s="1">
        <v>45424</v>
      </c>
      <c r="J2528" t="str">
        <f t="shared" si="39"/>
        <v>May-2024</v>
      </c>
    </row>
    <row r="2529" spans="1:10">
      <c r="A2529">
        <v>2528</v>
      </c>
      <c r="B2529">
        <v>19260</v>
      </c>
      <c r="C2529" t="s">
        <v>23</v>
      </c>
      <c r="D2529">
        <v>132606.71</v>
      </c>
      <c r="E2529" t="s">
        <v>19</v>
      </c>
      <c r="F2529">
        <v>29</v>
      </c>
      <c r="G2529" t="s">
        <v>21</v>
      </c>
      <c r="H2529" s="1">
        <v>45461</v>
      </c>
      <c r="I2529" s="1">
        <v>45490</v>
      </c>
      <c r="J2529" t="str">
        <f t="shared" si="39"/>
        <v>Jun-2024</v>
      </c>
    </row>
    <row r="2530" spans="1:10">
      <c r="A2530">
        <v>2529</v>
      </c>
      <c r="B2530">
        <v>12545</v>
      </c>
      <c r="C2530" t="s">
        <v>18</v>
      </c>
      <c r="D2530">
        <v>100062.94</v>
      </c>
      <c r="E2530" t="s">
        <v>16</v>
      </c>
      <c r="F2530">
        <v>5</v>
      </c>
      <c r="G2530" t="s">
        <v>20</v>
      </c>
      <c r="H2530" s="1">
        <v>45393</v>
      </c>
      <c r="I2530" s="1">
        <v>45398</v>
      </c>
      <c r="J2530" t="str">
        <f t="shared" si="39"/>
        <v>Apr-2024</v>
      </c>
    </row>
    <row r="2531" spans="1:10">
      <c r="A2531">
        <v>2530</v>
      </c>
      <c r="B2531">
        <v>17665</v>
      </c>
      <c r="C2531" t="s">
        <v>23</v>
      </c>
      <c r="D2531">
        <v>76429.11</v>
      </c>
      <c r="E2531" t="s">
        <v>16</v>
      </c>
      <c r="F2531">
        <v>43</v>
      </c>
      <c r="G2531" t="s">
        <v>21</v>
      </c>
      <c r="H2531" s="1">
        <v>45397</v>
      </c>
      <c r="I2531" s="1">
        <v>45440</v>
      </c>
      <c r="J2531" t="str">
        <f t="shared" si="39"/>
        <v>Apr-2024</v>
      </c>
    </row>
    <row r="2532" spans="1:10">
      <c r="A2532">
        <v>2531</v>
      </c>
      <c r="B2532">
        <v>13649</v>
      </c>
      <c r="C2532" t="s">
        <v>23</v>
      </c>
      <c r="D2532">
        <v>130861.16</v>
      </c>
      <c r="E2532" t="s">
        <v>16</v>
      </c>
      <c r="F2532">
        <v>44</v>
      </c>
      <c r="G2532" t="s">
        <v>25</v>
      </c>
      <c r="H2532" s="1">
        <v>45462</v>
      </c>
      <c r="I2532" s="1">
        <v>45506</v>
      </c>
      <c r="J2532" t="str">
        <f t="shared" si="39"/>
        <v>Jun-2024</v>
      </c>
    </row>
    <row r="2533" spans="1:10">
      <c r="A2533">
        <v>2532</v>
      </c>
      <c r="B2533">
        <v>11814</v>
      </c>
      <c r="C2533" t="s">
        <v>18</v>
      </c>
      <c r="D2533">
        <v>189766.98</v>
      </c>
      <c r="E2533" t="s">
        <v>24</v>
      </c>
      <c r="G2533" t="s">
        <v>25</v>
      </c>
      <c r="H2533" s="1">
        <v>45419</v>
      </c>
      <c r="J2533" t="str">
        <f t="shared" si="39"/>
        <v>May-2024</v>
      </c>
    </row>
    <row r="2534" spans="1:10">
      <c r="A2534">
        <v>2533</v>
      </c>
      <c r="B2534">
        <v>13907</v>
      </c>
      <c r="C2534" t="s">
        <v>18</v>
      </c>
      <c r="D2534">
        <v>13047.6</v>
      </c>
      <c r="E2534" t="s">
        <v>19</v>
      </c>
      <c r="F2534">
        <v>39</v>
      </c>
      <c r="G2534" t="s">
        <v>20</v>
      </c>
      <c r="H2534" s="1">
        <v>45541</v>
      </c>
      <c r="I2534" s="1">
        <v>45580</v>
      </c>
      <c r="J2534" t="str">
        <f t="shared" si="39"/>
        <v>Sep-2024</v>
      </c>
    </row>
    <row r="2535" spans="1:10">
      <c r="A2535">
        <v>2534</v>
      </c>
      <c r="B2535">
        <v>13731</v>
      </c>
      <c r="C2535" t="s">
        <v>18</v>
      </c>
      <c r="D2535">
        <v>184176.31</v>
      </c>
      <c r="E2535" t="s">
        <v>19</v>
      </c>
      <c r="F2535">
        <v>10</v>
      </c>
      <c r="G2535" t="s">
        <v>25</v>
      </c>
      <c r="H2535" s="1">
        <v>45323</v>
      </c>
      <c r="I2535" s="1">
        <v>45333</v>
      </c>
      <c r="J2535" t="str">
        <f t="shared" si="39"/>
        <v>Feb-2024</v>
      </c>
    </row>
    <row r="2536" spans="1:10">
      <c r="A2536">
        <v>2535</v>
      </c>
      <c r="B2536">
        <v>17685</v>
      </c>
      <c r="C2536" t="s">
        <v>23</v>
      </c>
      <c r="D2536">
        <v>123770.92</v>
      </c>
      <c r="E2536" t="s">
        <v>16</v>
      </c>
      <c r="F2536">
        <v>21</v>
      </c>
      <c r="G2536" t="s">
        <v>25</v>
      </c>
      <c r="H2536" s="1">
        <v>45507</v>
      </c>
      <c r="I2536" s="1">
        <v>45528</v>
      </c>
      <c r="J2536" t="str">
        <f t="shared" si="39"/>
        <v>Aug-2024</v>
      </c>
    </row>
    <row r="2537" spans="1:10">
      <c r="A2537">
        <v>2536</v>
      </c>
      <c r="B2537">
        <v>18273</v>
      </c>
      <c r="C2537" t="s">
        <v>23</v>
      </c>
      <c r="D2537">
        <v>162426.29</v>
      </c>
      <c r="E2537" t="s">
        <v>16</v>
      </c>
      <c r="F2537">
        <v>31</v>
      </c>
      <c r="G2537" t="s">
        <v>17</v>
      </c>
      <c r="H2537" s="1">
        <v>45553</v>
      </c>
      <c r="I2537" s="1">
        <v>45584</v>
      </c>
      <c r="J2537" t="str">
        <f t="shared" si="39"/>
        <v>Sep-2024</v>
      </c>
    </row>
    <row r="2538" spans="1:10">
      <c r="A2538">
        <v>2537</v>
      </c>
      <c r="B2538">
        <v>15869</v>
      </c>
      <c r="C2538" t="s">
        <v>18</v>
      </c>
      <c r="D2538">
        <v>79855.62</v>
      </c>
      <c r="E2538" t="s">
        <v>19</v>
      </c>
      <c r="F2538">
        <v>38</v>
      </c>
      <c r="G2538" t="s">
        <v>17</v>
      </c>
      <c r="H2538" s="1">
        <v>45621</v>
      </c>
      <c r="I2538" s="1">
        <v>45659</v>
      </c>
      <c r="J2538" t="str">
        <f t="shared" si="39"/>
        <v>Nov-2024</v>
      </c>
    </row>
    <row r="2539" spans="1:10">
      <c r="A2539">
        <v>2538</v>
      </c>
      <c r="B2539">
        <v>18273</v>
      </c>
      <c r="C2539" t="s">
        <v>22</v>
      </c>
      <c r="D2539">
        <v>97009.38</v>
      </c>
      <c r="E2539" t="s">
        <v>16</v>
      </c>
      <c r="F2539">
        <v>39</v>
      </c>
      <c r="G2539" t="s">
        <v>25</v>
      </c>
      <c r="H2539" s="1">
        <v>45535</v>
      </c>
      <c r="I2539" s="1">
        <v>45574</v>
      </c>
      <c r="J2539" t="str">
        <f t="shared" si="39"/>
        <v>Aug-2024</v>
      </c>
    </row>
    <row r="2540" spans="1:10">
      <c r="A2540">
        <v>2539</v>
      </c>
      <c r="B2540">
        <v>10093</v>
      </c>
      <c r="C2540" t="s">
        <v>18</v>
      </c>
      <c r="D2540">
        <v>174425.9</v>
      </c>
      <c r="E2540" t="s">
        <v>16</v>
      </c>
      <c r="F2540">
        <v>5</v>
      </c>
      <c r="G2540" t="s">
        <v>20</v>
      </c>
      <c r="H2540" s="1">
        <v>45576</v>
      </c>
      <c r="I2540" s="1">
        <v>45581</v>
      </c>
      <c r="J2540" t="str">
        <f t="shared" si="39"/>
        <v>Oct-2024</v>
      </c>
    </row>
    <row r="2541" spans="1:10">
      <c r="A2541">
        <v>2540</v>
      </c>
      <c r="B2541">
        <v>18186</v>
      </c>
      <c r="C2541" t="s">
        <v>22</v>
      </c>
      <c r="D2541">
        <v>85895.35</v>
      </c>
      <c r="E2541" t="s">
        <v>16</v>
      </c>
      <c r="F2541">
        <v>39</v>
      </c>
      <c r="G2541" t="s">
        <v>17</v>
      </c>
      <c r="H2541" s="1">
        <v>45581</v>
      </c>
      <c r="I2541" s="1">
        <v>45620</v>
      </c>
      <c r="J2541" t="str">
        <f t="shared" si="39"/>
        <v>Oct-2024</v>
      </c>
    </row>
    <row r="2542" spans="1:10">
      <c r="A2542">
        <v>2541</v>
      </c>
      <c r="B2542">
        <v>10342</v>
      </c>
      <c r="C2542" t="s">
        <v>18</v>
      </c>
      <c r="D2542">
        <v>109258.62</v>
      </c>
      <c r="E2542" t="s">
        <v>24</v>
      </c>
      <c r="G2542" t="s">
        <v>21</v>
      </c>
      <c r="H2542" s="1">
        <v>45554</v>
      </c>
      <c r="J2542" t="str">
        <f t="shared" si="39"/>
        <v>Sep-2024</v>
      </c>
    </row>
    <row r="2543" spans="1:10">
      <c r="A2543">
        <v>2542</v>
      </c>
      <c r="B2543">
        <v>16940</v>
      </c>
      <c r="C2543" t="s">
        <v>18</v>
      </c>
      <c r="D2543">
        <v>8938.01</v>
      </c>
      <c r="E2543" t="s">
        <v>16</v>
      </c>
      <c r="F2543">
        <v>36</v>
      </c>
      <c r="G2543" t="s">
        <v>21</v>
      </c>
      <c r="H2543" s="1">
        <v>45628</v>
      </c>
      <c r="I2543" s="1">
        <v>45664</v>
      </c>
      <c r="J2543" t="str">
        <f t="shared" si="39"/>
        <v>Dec-2024</v>
      </c>
    </row>
    <row r="2544" spans="1:10">
      <c r="A2544">
        <v>2543</v>
      </c>
      <c r="B2544">
        <v>12408</v>
      </c>
      <c r="C2544" t="s">
        <v>23</v>
      </c>
      <c r="D2544">
        <v>35926.61</v>
      </c>
      <c r="E2544" t="s">
        <v>16</v>
      </c>
      <c r="F2544">
        <v>31</v>
      </c>
      <c r="G2544" t="s">
        <v>21</v>
      </c>
      <c r="H2544" s="1">
        <v>45624</v>
      </c>
      <c r="I2544" s="1">
        <v>45655</v>
      </c>
      <c r="J2544" t="str">
        <f t="shared" si="39"/>
        <v>Nov-2024</v>
      </c>
    </row>
    <row r="2545" spans="1:10">
      <c r="A2545">
        <v>2544</v>
      </c>
      <c r="B2545">
        <v>19281</v>
      </c>
      <c r="C2545" t="s">
        <v>18</v>
      </c>
      <c r="D2545">
        <v>130128.87</v>
      </c>
      <c r="E2545" t="s">
        <v>16</v>
      </c>
      <c r="F2545">
        <v>43</v>
      </c>
      <c r="G2545" t="s">
        <v>20</v>
      </c>
      <c r="H2545" s="1">
        <v>45605</v>
      </c>
      <c r="I2545" s="1">
        <v>45648</v>
      </c>
      <c r="J2545" t="str">
        <f t="shared" si="39"/>
        <v>Nov-2024</v>
      </c>
    </row>
    <row r="2546" spans="1:10">
      <c r="A2546">
        <v>2545</v>
      </c>
      <c r="B2546">
        <v>10623</v>
      </c>
      <c r="C2546" t="s">
        <v>18</v>
      </c>
      <c r="D2546">
        <v>144810.5</v>
      </c>
      <c r="E2546" t="s">
        <v>19</v>
      </c>
      <c r="F2546">
        <v>5</v>
      </c>
      <c r="G2546" t="s">
        <v>25</v>
      </c>
      <c r="H2546" s="1">
        <v>45376</v>
      </c>
      <c r="I2546" s="1">
        <v>45381</v>
      </c>
      <c r="J2546" t="str">
        <f t="shared" si="39"/>
        <v>Mar-2024</v>
      </c>
    </row>
    <row r="2547" spans="1:10">
      <c r="A2547">
        <v>2546</v>
      </c>
      <c r="B2547">
        <v>10867</v>
      </c>
      <c r="C2547" t="s">
        <v>18</v>
      </c>
      <c r="D2547">
        <v>118607.18</v>
      </c>
      <c r="E2547" t="s">
        <v>16</v>
      </c>
      <c r="F2547">
        <v>26</v>
      </c>
      <c r="G2547" t="s">
        <v>21</v>
      </c>
      <c r="H2547" s="1">
        <v>45620</v>
      </c>
      <c r="I2547" s="1">
        <v>45646</v>
      </c>
      <c r="J2547" t="str">
        <f t="shared" si="39"/>
        <v>Nov-2024</v>
      </c>
    </row>
    <row r="2548" spans="1:10">
      <c r="A2548">
        <v>2547</v>
      </c>
      <c r="B2548">
        <v>13472</v>
      </c>
      <c r="C2548" t="s">
        <v>23</v>
      </c>
      <c r="D2548">
        <v>32945.46</v>
      </c>
      <c r="E2548" t="s">
        <v>16</v>
      </c>
      <c r="F2548">
        <v>32</v>
      </c>
      <c r="G2548" t="s">
        <v>20</v>
      </c>
      <c r="H2548" s="1">
        <v>45336</v>
      </c>
      <c r="I2548" s="1">
        <v>45368</v>
      </c>
      <c r="J2548" t="str">
        <f t="shared" si="39"/>
        <v>Feb-2024</v>
      </c>
    </row>
    <row r="2549" spans="1:10">
      <c r="A2549">
        <v>2548</v>
      </c>
      <c r="B2549">
        <v>10170</v>
      </c>
      <c r="C2549" t="s">
        <v>18</v>
      </c>
      <c r="D2549">
        <v>91854.06</v>
      </c>
      <c r="E2549" t="s">
        <v>16</v>
      </c>
      <c r="F2549">
        <v>13</v>
      </c>
      <c r="G2549" t="s">
        <v>17</v>
      </c>
      <c r="H2549" s="1">
        <v>45594</v>
      </c>
      <c r="I2549" s="1">
        <v>45607</v>
      </c>
      <c r="J2549" t="str">
        <f t="shared" si="39"/>
        <v>Oct-2024</v>
      </c>
    </row>
    <row r="2550" spans="1:10">
      <c r="A2550">
        <v>2549</v>
      </c>
      <c r="B2550">
        <v>19974</v>
      </c>
      <c r="C2550" t="s">
        <v>23</v>
      </c>
      <c r="D2550">
        <v>74243.48</v>
      </c>
      <c r="E2550" t="s">
        <v>19</v>
      </c>
      <c r="F2550">
        <v>16</v>
      </c>
      <c r="G2550" t="s">
        <v>25</v>
      </c>
      <c r="H2550" s="1">
        <v>45624</v>
      </c>
      <c r="I2550" s="1">
        <v>45640</v>
      </c>
      <c r="J2550" t="str">
        <f t="shared" si="39"/>
        <v>Nov-2024</v>
      </c>
    </row>
    <row r="2551" spans="1:10">
      <c r="A2551">
        <v>2550</v>
      </c>
      <c r="B2551">
        <v>18769</v>
      </c>
      <c r="C2551" t="s">
        <v>18</v>
      </c>
      <c r="D2551">
        <v>101653.96</v>
      </c>
      <c r="E2551" t="s">
        <v>24</v>
      </c>
      <c r="G2551" t="s">
        <v>17</v>
      </c>
      <c r="H2551" s="1">
        <v>45491</v>
      </c>
      <c r="J2551" t="str">
        <f t="shared" si="39"/>
        <v>Jul-2024</v>
      </c>
    </row>
    <row r="2552" spans="1:10">
      <c r="A2552">
        <v>2551</v>
      </c>
      <c r="B2552">
        <v>18259</v>
      </c>
      <c r="C2552" t="s">
        <v>23</v>
      </c>
      <c r="D2552">
        <v>174714.16</v>
      </c>
      <c r="E2552" t="s">
        <v>19</v>
      </c>
      <c r="F2552">
        <v>11</v>
      </c>
      <c r="G2552" t="s">
        <v>20</v>
      </c>
      <c r="H2552" s="1">
        <v>45492</v>
      </c>
      <c r="I2552" s="1">
        <v>45503</v>
      </c>
      <c r="J2552" t="str">
        <f t="shared" si="39"/>
        <v>Jul-2024</v>
      </c>
    </row>
    <row r="2553" spans="1:10">
      <c r="A2553">
        <v>2552</v>
      </c>
      <c r="B2553">
        <v>11515</v>
      </c>
      <c r="C2553" t="s">
        <v>15</v>
      </c>
      <c r="D2553">
        <v>156292.98000000001</v>
      </c>
      <c r="E2553" t="s">
        <v>16</v>
      </c>
      <c r="F2553">
        <v>13</v>
      </c>
      <c r="G2553" t="s">
        <v>21</v>
      </c>
      <c r="H2553" s="1">
        <v>45620</v>
      </c>
      <c r="I2553" s="1">
        <v>45633</v>
      </c>
      <c r="J2553" t="str">
        <f t="shared" si="39"/>
        <v>Nov-2024</v>
      </c>
    </row>
    <row r="2554" spans="1:10">
      <c r="A2554">
        <v>2553</v>
      </c>
      <c r="B2554">
        <v>18192</v>
      </c>
      <c r="C2554" t="s">
        <v>23</v>
      </c>
      <c r="D2554">
        <v>21377.95</v>
      </c>
      <c r="E2554" t="s">
        <v>24</v>
      </c>
      <c r="G2554" t="s">
        <v>21</v>
      </c>
      <c r="H2554" s="1">
        <v>45459</v>
      </c>
      <c r="J2554" t="str">
        <f t="shared" si="39"/>
        <v>Jun-2024</v>
      </c>
    </row>
    <row r="2555" spans="1:10">
      <c r="A2555">
        <v>2554</v>
      </c>
      <c r="B2555">
        <v>12198</v>
      </c>
      <c r="C2555" t="s">
        <v>23</v>
      </c>
      <c r="D2555">
        <v>178610.29</v>
      </c>
      <c r="E2555" t="s">
        <v>16</v>
      </c>
      <c r="F2555">
        <v>41</v>
      </c>
      <c r="G2555" t="s">
        <v>20</v>
      </c>
      <c r="H2555" s="1">
        <v>45531</v>
      </c>
      <c r="I2555" s="1">
        <v>45572</v>
      </c>
      <c r="J2555" t="str">
        <f t="shared" si="39"/>
        <v>Aug-2024</v>
      </c>
    </row>
    <row r="2556" spans="1:10">
      <c r="A2556">
        <v>2555</v>
      </c>
      <c r="B2556">
        <v>10901</v>
      </c>
      <c r="C2556" t="s">
        <v>23</v>
      </c>
      <c r="D2556">
        <v>96994.59</v>
      </c>
      <c r="E2556" t="s">
        <v>16</v>
      </c>
      <c r="F2556">
        <v>22</v>
      </c>
      <c r="G2556" t="s">
        <v>21</v>
      </c>
      <c r="H2556" s="1">
        <v>45577</v>
      </c>
      <c r="I2556" s="1">
        <v>45599</v>
      </c>
      <c r="J2556" t="str">
        <f t="shared" si="39"/>
        <v>Oct-2024</v>
      </c>
    </row>
    <row r="2557" spans="1:10">
      <c r="A2557">
        <v>2556</v>
      </c>
      <c r="B2557">
        <v>15903</v>
      </c>
      <c r="C2557" t="s">
        <v>18</v>
      </c>
      <c r="D2557">
        <v>150053.12</v>
      </c>
      <c r="E2557" t="s">
        <v>16</v>
      </c>
      <c r="F2557">
        <v>36</v>
      </c>
      <c r="G2557" t="s">
        <v>25</v>
      </c>
      <c r="H2557" s="1">
        <v>45481</v>
      </c>
      <c r="I2557" s="1">
        <v>45517</v>
      </c>
      <c r="J2557" t="str">
        <f t="shared" si="39"/>
        <v>Jul-2024</v>
      </c>
    </row>
    <row r="2558" spans="1:10">
      <c r="A2558">
        <v>2557</v>
      </c>
      <c r="B2558">
        <v>17755</v>
      </c>
      <c r="C2558" t="s">
        <v>23</v>
      </c>
      <c r="D2558">
        <v>32307.65</v>
      </c>
      <c r="E2558" t="s">
        <v>16</v>
      </c>
      <c r="F2558">
        <v>8</v>
      </c>
      <c r="G2558" t="s">
        <v>20</v>
      </c>
      <c r="H2558" s="1">
        <v>45362</v>
      </c>
      <c r="I2558" s="1">
        <v>45370</v>
      </c>
      <c r="J2558" t="str">
        <f t="shared" si="39"/>
        <v>Mar-2024</v>
      </c>
    </row>
    <row r="2559" spans="1:10">
      <c r="A2559">
        <v>2558</v>
      </c>
      <c r="B2559">
        <v>18986</v>
      </c>
      <c r="C2559" t="s">
        <v>23</v>
      </c>
      <c r="D2559">
        <v>135790.31</v>
      </c>
      <c r="E2559" t="s">
        <v>19</v>
      </c>
      <c r="F2559">
        <v>19</v>
      </c>
      <c r="G2559" t="s">
        <v>17</v>
      </c>
      <c r="H2559" s="1">
        <v>45436</v>
      </c>
      <c r="I2559" s="1">
        <v>45455</v>
      </c>
      <c r="J2559" t="str">
        <f t="shared" si="39"/>
        <v>May-2024</v>
      </c>
    </row>
    <row r="2560" spans="1:10">
      <c r="A2560">
        <v>2559</v>
      </c>
      <c r="B2560">
        <v>12066</v>
      </c>
      <c r="C2560" t="s">
        <v>18</v>
      </c>
      <c r="D2560">
        <v>51083.57</v>
      </c>
      <c r="E2560" t="s">
        <v>16</v>
      </c>
      <c r="F2560">
        <v>28</v>
      </c>
      <c r="G2560" t="s">
        <v>20</v>
      </c>
      <c r="H2560" s="1">
        <v>45650</v>
      </c>
      <c r="I2560" s="1">
        <v>45678</v>
      </c>
      <c r="J2560" t="str">
        <f t="shared" si="39"/>
        <v>Dec-2024</v>
      </c>
    </row>
    <row r="2561" spans="1:10">
      <c r="A2561">
        <v>2560</v>
      </c>
      <c r="B2561">
        <v>18562</v>
      </c>
      <c r="C2561" t="s">
        <v>23</v>
      </c>
      <c r="D2561">
        <v>90484.27</v>
      </c>
      <c r="E2561" t="s">
        <v>16</v>
      </c>
      <c r="F2561">
        <v>36</v>
      </c>
      <c r="G2561" t="s">
        <v>25</v>
      </c>
      <c r="H2561" s="1">
        <v>45500</v>
      </c>
      <c r="I2561" s="1">
        <v>45536</v>
      </c>
      <c r="J2561" t="str">
        <f t="shared" si="39"/>
        <v>Jul-2024</v>
      </c>
    </row>
    <row r="2562" spans="1:10">
      <c r="A2562">
        <v>2561</v>
      </c>
      <c r="B2562">
        <v>12538</v>
      </c>
      <c r="C2562" t="s">
        <v>22</v>
      </c>
      <c r="D2562">
        <v>8288.26</v>
      </c>
      <c r="E2562" t="s">
        <v>16</v>
      </c>
      <c r="F2562">
        <v>3</v>
      </c>
      <c r="G2562" t="s">
        <v>25</v>
      </c>
      <c r="H2562" s="1">
        <v>45651</v>
      </c>
      <c r="I2562" s="1">
        <v>45654</v>
      </c>
      <c r="J2562" t="str">
        <f t="shared" si="39"/>
        <v>Dec-2024</v>
      </c>
    </row>
    <row r="2563" spans="1:10">
      <c r="A2563">
        <v>2562</v>
      </c>
      <c r="B2563">
        <v>13907</v>
      </c>
      <c r="C2563" t="s">
        <v>22</v>
      </c>
      <c r="D2563">
        <v>34564.07</v>
      </c>
      <c r="E2563" t="s">
        <v>16</v>
      </c>
      <c r="F2563">
        <v>33</v>
      </c>
      <c r="G2563" t="s">
        <v>20</v>
      </c>
      <c r="H2563" s="1">
        <v>45499</v>
      </c>
      <c r="I2563" s="1">
        <v>45532</v>
      </c>
      <c r="J2563" t="str">
        <f t="shared" ref="J2563:J2626" si="40">TEXT(H2563,"mmm-yyyy")</f>
        <v>Jul-2024</v>
      </c>
    </row>
    <row r="2564" spans="1:10">
      <c r="A2564">
        <v>2563</v>
      </c>
      <c r="B2564">
        <v>16960</v>
      </c>
      <c r="C2564" t="s">
        <v>18</v>
      </c>
      <c r="D2564">
        <v>22955.7</v>
      </c>
      <c r="E2564" t="s">
        <v>16</v>
      </c>
      <c r="F2564">
        <v>16</v>
      </c>
      <c r="G2564" t="s">
        <v>20</v>
      </c>
      <c r="H2564" s="1">
        <v>45513</v>
      </c>
      <c r="I2564" s="1">
        <v>45529</v>
      </c>
      <c r="J2564" t="str">
        <f t="shared" si="40"/>
        <v>Aug-2024</v>
      </c>
    </row>
    <row r="2565" spans="1:10">
      <c r="A2565">
        <v>2564</v>
      </c>
      <c r="B2565">
        <v>12596</v>
      </c>
      <c r="C2565" t="s">
        <v>23</v>
      </c>
      <c r="D2565">
        <v>51750.11</v>
      </c>
      <c r="E2565" t="s">
        <v>16</v>
      </c>
      <c r="F2565">
        <v>25</v>
      </c>
      <c r="G2565" t="s">
        <v>21</v>
      </c>
      <c r="H2565" s="1">
        <v>45578</v>
      </c>
      <c r="I2565" s="1">
        <v>45603</v>
      </c>
      <c r="J2565" t="str">
        <f t="shared" si="40"/>
        <v>Oct-2024</v>
      </c>
    </row>
    <row r="2566" spans="1:10">
      <c r="A2566">
        <v>2565</v>
      </c>
      <c r="B2566">
        <v>19880</v>
      </c>
      <c r="C2566" t="s">
        <v>18</v>
      </c>
      <c r="D2566">
        <v>24503.53</v>
      </c>
      <c r="E2566" t="s">
        <v>16</v>
      </c>
      <c r="F2566">
        <v>21</v>
      </c>
      <c r="G2566" t="s">
        <v>25</v>
      </c>
      <c r="H2566" s="1">
        <v>45454</v>
      </c>
      <c r="I2566" s="1">
        <v>45475</v>
      </c>
      <c r="J2566" t="str">
        <f t="shared" si="40"/>
        <v>Jun-2024</v>
      </c>
    </row>
    <row r="2567" spans="1:10">
      <c r="A2567">
        <v>2566</v>
      </c>
      <c r="B2567">
        <v>13321</v>
      </c>
      <c r="C2567" t="s">
        <v>23</v>
      </c>
      <c r="D2567">
        <v>139922.46</v>
      </c>
      <c r="E2567" t="s">
        <v>16</v>
      </c>
      <c r="F2567">
        <v>11</v>
      </c>
      <c r="G2567" t="s">
        <v>20</v>
      </c>
      <c r="H2567" s="1">
        <v>45656</v>
      </c>
      <c r="I2567" s="1">
        <v>45667</v>
      </c>
      <c r="J2567" t="str">
        <f t="shared" si="40"/>
        <v>Dec-2024</v>
      </c>
    </row>
    <row r="2568" spans="1:10">
      <c r="A2568">
        <v>2567</v>
      </c>
      <c r="B2568">
        <v>19330</v>
      </c>
      <c r="C2568" t="s">
        <v>23</v>
      </c>
      <c r="D2568">
        <v>10662.78</v>
      </c>
      <c r="E2568" t="s">
        <v>16</v>
      </c>
      <c r="F2568">
        <v>25</v>
      </c>
      <c r="G2568" t="s">
        <v>20</v>
      </c>
      <c r="H2568" s="1">
        <v>45363</v>
      </c>
      <c r="I2568" s="1">
        <v>45388</v>
      </c>
      <c r="J2568" t="str">
        <f t="shared" si="40"/>
        <v>Mar-2024</v>
      </c>
    </row>
    <row r="2569" spans="1:10">
      <c r="A2569">
        <v>2568</v>
      </c>
      <c r="B2569">
        <v>17720</v>
      </c>
      <c r="C2569" t="s">
        <v>23</v>
      </c>
      <c r="D2569">
        <v>125459.4</v>
      </c>
      <c r="E2569" t="s">
        <v>19</v>
      </c>
      <c r="F2569">
        <v>25</v>
      </c>
      <c r="G2569" t="s">
        <v>25</v>
      </c>
      <c r="H2569" s="1">
        <v>45531</v>
      </c>
      <c r="I2569" s="1">
        <v>45556</v>
      </c>
      <c r="J2569" t="str">
        <f t="shared" si="40"/>
        <v>Aug-2024</v>
      </c>
    </row>
    <row r="2570" spans="1:10">
      <c r="A2570">
        <v>2569</v>
      </c>
      <c r="B2570">
        <v>12621</v>
      </c>
      <c r="C2570" t="s">
        <v>22</v>
      </c>
      <c r="D2570">
        <v>32438.03</v>
      </c>
      <c r="E2570" t="s">
        <v>16</v>
      </c>
      <c r="F2570">
        <v>25</v>
      </c>
      <c r="G2570" t="s">
        <v>20</v>
      </c>
      <c r="H2570" s="1">
        <v>45418</v>
      </c>
      <c r="I2570" s="1">
        <v>45443</v>
      </c>
      <c r="J2570" t="str">
        <f t="shared" si="40"/>
        <v>May-2024</v>
      </c>
    </row>
    <row r="2571" spans="1:10">
      <c r="A2571">
        <v>2570</v>
      </c>
      <c r="B2571">
        <v>19357</v>
      </c>
      <c r="C2571" t="s">
        <v>23</v>
      </c>
      <c r="D2571">
        <v>189306.48</v>
      </c>
      <c r="E2571" t="s">
        <v>19</v>
      </c>
      <c r="F2571">
        <v>41</v>
      </c>
      <c r="G2571" t="s">
        <v>21</v>
      </c>
      <c r="H2571" s="1">
        <v>45376</v>
      </c>
      <c r="I2571" s="1">
        <v>45417</v>
      </c>
      <c r="J2571" t="str">
        <f t="shared" si="40"/>
        <v>Mar-2024</v>
      </c>
    </row>
    <row r="2572" spans="1:10">
      <c r="A2572">
        <v>2571</v>
      </c>
      <c r="B2572">
        <v>19700</v>
      </c>
      <c r="C2572" t="s">
        <v>18</v>
      </c>
      <c r="D2572">
        <v>186953.34</v>
      </c>
      <c r="E2572" t="s">
        <v>24</v>
      </c>
      <c r="G2572" t="s">
        <v>25</v>
      </c>
      <c r="H2572" s="1">
        <v>45306</v>
      </c>
      <c r="J2572" t="str">
        <f t="shared" si="40"/>
        <v>Jan-2024</v>
      </c>
    </row>
    <row r="2573" spans="1:10">
      <c r="A2573">
        <v>2572</v>
      </c>
      <c r="B2573">
        <v>13841</v>
      </c>
      <c r="C2573" t="s">
        <v>18</v>
      </c>
      <c r="D2573">
        <v>48973.1</v>
      </c>
      <c r="E2573" t="s">
        <v>19</v>
      </c>
      <c r="F2573">
        <v>42</v>
      </c>
      <c r="G2573" t="s">
        <v>21</v>
      </c>
      <c r="H2573" s="1">
        <v>45539</v>
      </c>
      <c r="I2573" s="1">
        <v>45581</v>
      </c>
      <c r="J2573" t="str">
        <f t="shared" si="40"/>
        <v>Sep-2024</v>
      </c>
    </row>
    <row r="2574" spans="1:10">
      <c r="A2574">
        <v>2573</v>
      </c>
      <c r="B2574">
        <v>14558</v>
      </c>
      <c r="C2574" t="s">
        <v>23</v>
      </c>
      <c r="D2574">
        <v>124812.15</v>
      </c>
      <c r="E2574" t="s">
        <v>16</v>
      </c>
      <c r="F2574">
        <v>41</v>
      </c>
      <c r="G2574" t="s">
        <v>21</v>
      </c>
      <c r="H2574" s="1">
        <v>45603</v>
      </c>
      <c r="I2574" s="1">
        <v>45644</v>
      </c>
      <c r="J2574" t="str">
        <f t="shared" si="40"/>
        <v>Nov-2024</v>
      </c>
    </row>
    <row r="2575" spans="1:10">
      <c r="A2575">
        <v>2574</v>
      </c>
      <c r="B2575">
        <v>14918</v>
      </c>
      <c r="C2575" t="s">
        <v>23</v>
      </c>
      <c r="D2575">
        <v>10461.040000000001</v>
      </c>
      <c r="E2575" t="s">
        <v>16</v>
      </c>
      <c r="F2575">
        <v>12</v>
      </c>
      <c r="G2575" t="s">
        <v>21</v>
      </c>
      <c r="H2575" s="1">
        <v>45574</v>
      </c>
      <c r="I2575" s="1">
        <v>45586</v>
      </c>
      <c r="J2575" t="str">
        <f t="shared" si="40"/>
        <v>Oct-2024</v>
      </c>
    </row>
    <row r="2576" spans="1:10">
      <c r="A2576">
        <v>2575</v>
      </c>
      <c r="B2576">
        <v>18715</v>
      </c>
      <c r="C2576" t="s">
        <v>22</v>
      </c>
      <c r="D2576">
        <v>186698.77</v>
      </c>
      <c r="E2576" t="s">
        <v>24</v>
      </c>
      <c r="G2576" t="s">
        <v>21</v>
      </c>
      <c r="H2576" s="1">
        <v>45293</v>
      </c>
      <c r="J2576" t="str">
        <f t="shared" si="40"/>
        <v>Jan-2024</v>
      </c>
    </row>
    <row r="2577" spans="1:10">
      <c r="A2577">
        <v>2576</v>
      </c>
      <c r="B2577">
        <v>14339</v>
      </c>
      <c r="C2577" t="s">
        <v>18</v>
      </c>
      <c r="D2577">
        <v>106982.53</v>
      </c>
      <c r="E2577" t="s">
        <v>16</v>
      </c>
      <c r="F2577">
        <v>2</v>
      </c>
      <c r="G2577" t="s">
        <v>25</v>
      </c>
      <c r="H2577" s="1">
        <v>45365</v>
      </c>
      <c r="I2577" s="1">
        <v>45367</v>
      </c>
      <c r="J2577" t="str">
        <f t="shared" si="40"/>
        <v>Mar-2024</v>
      </c>
    </row>
    <row r="2578" spans="1:10">
      <c r="A2578">
        <v>2577</v>
      </c>
      <c r="B2578">
        <v>10238</v>
      </c>
      <c r="C2578" t="s">
        <v>18</v>
      </c>
      <c r="D2578">
        <v>13428.51</v>
      </c>
      <c r="E2578" t="s">
        <v>16</v>
      </c>
      <c r="F2578">
        <v>31</v>
      </c>
      <c r="G2578" t="s">
        <v>21</v>
      </c>
      <c r="H2578" s="1">
        <v>45355</v>
      </c>
      <c r="I2578" s="1">
        <v>45386</v>
      </c>
      <c r="J2578" t="str">
        <f t="shared" si="40"/>
        <v>Mar-2024</v>
      </c>
    </row>
    <row r="2579" spans="1:10">
      <c r="A2579">
        <v>2578</v>
      </c>
      <c r="B2579">
        <v>11220</v>
      </c>
      <c r="C2579" t="s">
        <v>23</v>
      </c>
      <c r="D2579">
        <v>71787.5</v>
      </c>
      <c r="E2579" t="s">
        <v>16</v>
      </c>
      <c r="F2579">
        <v>44</v>
      </c>
      <c r="G2579" t="s">
        <v>21</v>
      </c>
      <c r="H2579" s="1">
        <v>45552</v>
      </c>
      <c r="I2579" s="1">
        <v>45596</v>
      </c>
      <c r="J2579" t="str">
        <f t="shared" si="40"/>
        <v>Sep-2024</v>
      </c>
    </row>
    <row r="2580" spans="1:10">
      <c r="A2580">
        <v>2579</v>
      </c>
      <c r="B2580">
        <v>10768</v>
      </c>
      <c r="C2580" t="s">
        <v>23</v>
      </c>
      <c r="D2580">
        <v>19985.650000000001</v>
      </c>
      <c r="E2580" t="s">
        <v>16</v>
      </c>
      <c r="F2580">
        <v>19</v>
      </c>
      <c r="G2580" t="s">
        <v>20</v>
      </c>
      <c r="H2580" s="1">
        <v>45638</v>
      </c>
      <c r="I2580" s="1">
        <v>45657</v>
      </c>
      <c r="J2580" t="str">
        <f t="shared" si="40"/>
        <v>Dec-2024</v>
      </c>
    </row>
    <row r="2581" spans="1:10">
      <c r="A2581">
        <v>2580</v>
      </c>
      <c r="B2581">
        <v>18426</v>
      </c>
      <c r="C2581" t="s">
        <v>23</v>
      </c>
      <c r="D2581">
        <v>81624.17</v>
      </c>
      <c r="E2581" t="s">
        <v>24</v>
      </c>
      <c r="G2581" t="s">
        <v>25</v>
      </c>
      <c r="H2581" s="1">
        <v>45615</v>
      </c>
      <c r="J2581" t="str">
        <f t="shared" si="40"/>
        <v>Nov-2024</v>
      </c>
    </row>
    <row r="2582" spans="1:10">
      <c r="A2582">
        <v>2581</v>
      </c>
      <c r="B2582">
        <v>16330</v>
      </c>
      <c r="C2582" t="s">
        <v>23</v>
      </c>
      <c r="D2582">
        <v>135635.64000000001</v>
      </c>
      <c r="E2582" t="s">
        <v>16</v>
      </c>
      <c r="F2582">
        <v>10</v>
      </c>
      <c r="G2582" t="s">
        <v>25</v>
      </c>
      <c r="H2582" s="1">
        <v>45530</v>
      </c>
      <c r="I2582" s="1">
        <v>45540</v>
      </c>
      <c r="J2582" t="str">
        <f t="shared" si="40"/>
        <v>Aug-2024</v>
      </c>
    </row>
    <row r="2583" spans="1:10">
      <c r="A2583">
        <v>2582</v>
      </c>
      <c r="B2583">
        <v>17388</v>
      </c>
      <c r="C2583" t="s">
        <v>23</v>
      </c>
      <c r="D2583">
        <v>96628.53</v>
      </c>
      <c r="E2583" t="s">
        <v>16</v>
      </c>
      <c r="F2583">
        <v>10</v>
      </c>
      <c r="G2583" t="s">
        <v>17</v>
      </c>
      <c r="H2583" s="1">
        <v>45628</v>
      </c>
      <c r="I2583" s="1">
        <v>45638</v>
      </c>
      <c r="J2583" t="str">
        <f t="shared" si="40"/>
        <v>Dec-2024</v>
      </c>
    </row>
    <row r="2584" spans="1:10">
      <c r="A2584">
        <v>2583</v>
      </c>
      <c r="B2584">
        <v>14592</v>
      </c>
      <c r="C2584" t="s">
        <v>15</v>
      </c>
      <c r="D2584">
        <v>79825.820000000007</v>
      </c>
      <c r="E2584" t="s">
        <v>16</v>
      </c>
      <c r="F2584">
        <v>2</v>
      </c>
      <c r="G2584" t="s">
        <v>25</v>
      </c>
      <c r="H2584" s="1">
        <v>45632</v>
      </c>
      <c r="I2584" s="1">
        <v>45634</v>
      </c>
      <c r="J2584" t="str">
        <f t="shared" si="40"/>
        <v>Dec-2024</v>
      </c>
    </row>
    <row r="2585" spans="1:10">
      <c r="A2585">
        <v>2584</v>
      </c>
      <c r="B2585">
        <v>19711</v>
      </c>
      <c r="C2585" t="s">
        <v>23</v>
      </c>
      <c r="D2585">
        <v>28235.62</v>
      </c>
      <c r="E2585" t="s">
        <v>16</v>
      </c>
      <c r="F2585">
        <v>8</v>
      </c>
      <c r="G2585" t="s">
        <v>25</v>
      </c>
      <c r="H2585" s="1">
        <v>45570</v>
      </c>
      <c r="I2585" s="1">
        <v>45578</v>
      </c>
      <c r="J2585" t="str">
        <f t="shared" si="40"/>
        <v>Oct-2024</v>
      </c>
    </row>
    <row r="2586" spans="1:10">
      <c r="A2586">
        <v>2585</v>
      </c>
      <c r="B2586">
        <v>17617</v>
      </c>
      <c r="C2586" t="s">
        <v>23</v>
      </c>
      <c r="D2586">
        <v>52763.11</v>
      </c>
      <c r="E2586" t="s">
        <v>16</v>
      </c>
      <c r="F2586">
        <v>43</v>
      </c>
      <c r="G2586" t="s">
        <v>17</v>
      </c>
      <c r="H2586" s="1">
        <v>45644</v>
      </c>
      <c r="I2586" s="1">
        <v>45687</v>
      </c>
      <c r="J2586" t="str">
        <f t="shared" si="40"/>
        <v>Dec-2024</v>
      </c>
    </row>
    <row r="2587" spans="1:10">
      <c r="A2587">
        <v>2586</v>
      </c>
      <c r="B2587">
        <v>18082</v>
      </c>
      <c r="C2587" t="s">
        <v>18</v>
      </c>
      <c r="D2587">
        <v>24527.94</v>
      </c>
      <c r="E2587" t="s">
        <v>16</v>
      </c>
      <c r="F2587">
        <v>17</v>
      </c>
      <c r="G2587" t="s">
        <v>25</v>
      </c>
      <c r="H2587" s="1">
        <v>45492</v>
      </c>
      <c r="I2587" s="1">
        <v>45509</v>
      </c>
      <c r="J2587" t="str">
        <f t="shared" si="40"/>
        <v>Jul-2024</v>
      </c>
    </row>
    <row r="2588" spans="1:10">
      <c r="A2588">
        <v>2587</v>
      </c>
      <c r="B2588">
        <v>17579</v>
      </c>
      <c r="C2588" t="s">
        <v>18</v>
      </c>
      <c r="D2588">
        <v>162462.25</v>
      </c>
      <c r="E2588" t="s">
        <v>19</v>
      </c>
      <c r="F2588">
        <v>39</v>
      </c>
      <c r="G2588" t="s">
        <v>25</v>
      </c>
      <c r="H2588" s="1">
        <v>45584</v>
      </c>
      <c r="I2588" s="1">
        <v>45623</v>
      </c>
      <c r="J2588" t="str">
        <f t="shared" si="40"/>
        <v>Oct-2024</v>
      </c>
    </row>
    <row r="2589" spans="1:10">
      <c r="A2589">
        <v>2588</v>
      </c>
      <c r="B2589">
        <v>19127</v>
      </c>
      <c r="C2589" t="s">
        <v>23</v>
      </c>
      <c r="D2589">
        <v>31371.77</v>
      </c>
      <c r="E2589" t="s">
        <v>16</v>
      </c>
      <c r="F2589">
        <v>12</v>
      </c>
      <c r="G2589" t="s">
        <v>25</v>
      </c>
      <c r="H2589" s="1">
        <v>45577</v>
      </c>
      <c r="I2589" s="1">
        <v>45589</v>
      </c>
      <c r="J2589" t="str">
        <f t="shared" si="40"/>
        <v>Oct-2024</v>
      </c>
    </row>
    <row r="2590" spans="1:10">
      <c r="A2590">
        <v>2589</v>
      </c>
      <c r="B2590">
        <v>19460</v>
      </c>
      <c r="C2590" t="s">
        <v>18</v>
      </c>
      <c r="D2590">
        <v>121097.81</v>
      </c>
      <c r="E2590" t="s">
        <v>19</v>
      </c>
      <c r="F2590">
        <v>26</v>
      </c>
      <c r="G2590" t="s">
        <v>25</v>
      </c>
      <c r="H2590" s="1">
        <v>45512</v>
      </c>
      <c r="I2590" s="1">
        <v>45538</v>
      </c>
      <c r="J2590" t="str">
        <f t="shared" si="40"/>
        <v>Aug-2024</v>
      </c>
    </row>
    <row r="2591" spans="1:10">
      <c r="A2591">
        <v>2590</v>
      </c>
      <c r="B2591">
        <v>16456</v>
      </c>
      <c r="C2591" t="s">
        <v>23</v>
      </c>
      <c r="D2591">
        <v>71834.38</v>
      </c>
      <c r="E2591" t="s">
        <v>16</v>
      </c>
      <c r="F2591">
        <v>30</v>
      </c>
      <c r="G2591" t="s">
        <v>17</v>
      </c>
      <c r="H2591" s="1">
        <v>45453</v>
      </c>
      <c r="I2591" s="1">
        <v>45483</v>
      </c>
      <c r="J2591" t="str">
        <f t="shared" si="40"/>
        <v>Jun-2024</v>
      </c>
    </row>
    <row r="2592" spans="1:10">
      <c r="A2592">
        <v>2591</v>
      </c>
      <c r="B2592">
        <v>19010</v>
      </c>
      <c r="C2592" t="s">
        <v>23</v>
      </c>
      <c r="D2592">
        <v>49065.79</v>
      </c>
      <c r="E2592" t="s">
        <v>16</v>
      </c>
      <c r="F2592">
        <v>20</v>
      </c>
      <c r="G2592" t="s">
        <v>25</v>
      </c>
      <c r="H2592" s="1">
        <v>45474</v>
      </c>
      <c r="I2592" s="1">
        <v>45494</v>
      </c>
      <c r="J2592" t="str">
        <f t="shared" si="40"/>
        <v>Jul-2024</v>
      </c>
    </row>
    <row r="2593" spans="1:10">
      <c r="A2593">
        <v>2592</v>
      </c>
      <c r="B2593">
        <v>14117</v>
      </c>
      <c r="C2593" t="s">
        <v>23</v>
      </c>
      <c r="D2593">
        <v>129696.35</v>
      </c>
      <c r="E2593" t="s">
        <v>16</v>
      </c>
      <c r="F2593">
        <v>19</v>
      </c>
      <c r="G2593" t="s">
        <v>25</v>
      </c>
      <c r="H2593" s="1">
        <v>45556</v>
      </c>
      <c r="I2593" s="1">
        <v>45575</v>
      </c>
      <c r="J2593" t="str">
        <f t="shared" si="40"/>
        <v>Sep-2024</v>
      </c>
    </row>
    <row r="2594" spans="1:10">
      <c r="A2594">
        <v>2593</v>
      </c>
      <c r="B2594">
        <v>12439</v>
      </c>
      <c r="C2594" t="s">
        <v>15</v>
      </c>
      <c r="D2594">
        <v>94115.45</v>
      </c>
      <c r="E2594" t="s">
        <v>16</v>
      </c>
      <c r="F2594">
        <v>30</v>
      </c>
      <c r="G2594" t="s">
        <v>17</v>
      </c>
      <c r="H2594" s="1">
        <v>45423</v>
      </c>
      <c r="I2594" s="1">
        <v>45453</v>
      </c>
      <c r="J2594" t="str">
        <f t="shared" si="40"/>
        <v>May-2024</v>
      </c>
    </row>
    <row r="2595" spans="1:10">
      <c r="A2595">
        <v>2594</v>
      </c>
      <c r="B2595">
        <v>19280</v>
      </c>
      <c r="C2595" t="s">
        <v>23</v>
      </c>
      <c r="D2595">
        <v>83028.37</v>
      </c>
      <c r="E2595" t="s">
        <v>19</v>
      </c>
      <c r="F2595">
        <v>17</v>
      </c>
      <c r="G2595" t="s">
        <v>20</v>
      </c>
      <c r="H2595" s="1">
        <v>45613</v>
      </c>
      <c r="I2595" s="1">
        <v>45630</v>
      </c>
      <c r="J2595" t="str">
        <f t="shared" si="40"/>
        <v>Nov-2024</v>
      </c>
    </row>
    <row r="2596" spans="1:10">
      <c r="A2596">
        <v>2595</v>
      </c>
      <c r="B2596">
        <v>16086</v>
      </c>
      <c r="C2596" t="s">
        <v>23</v>
      </c>
      <c r="D2596">
        <v>120606.14</v>
      </c>
      <c r="E2596" t="s">
        <v>19</v>
      </c>
      <c r="F2596">
        <v>41</v>
      </c>
      <c r="G2596" t="s">
        <v>21</v>
      </c>
      <c r="H2596" s="1">
        <v>45411</v>
      </c>
      <c r="I2596" s="1">
        <v>45452</v>
      </c>
      <c r="J2596" t="str">
        <f t="shared" si="40"/>
        <v>Apr-2024</v>
      </c>
    </row>
    <row r="2597" spans="1:10">
      <c r="A2597">
        <v>2596</v>
      </c>
      <c r="B2597">
        <v>14824</v>
      </c>
      <c r="C2597" t="s">
        <v>23</v>
      </c>
      <c r="D2597">
        <v>100797.19</v>
      </c>
      <c r="E2597" t="s">
        <v>16</v>
      </c>
      <c r="F2597">
        <v>9</v>
      </c>
      <c r="G2597" t="s">
        <v>20</v>
      </c>
      <c r="H2597" s="1">
        <v>45510</v>
      </c>
      <c r="I2597" s="1">
        <v>45519</v>
      </c>
      <c r="J2597" t="str">
        <f t="shared" si="40"/>
        <v>Aug-2024</v>
      </c>
    </row>
    <row r="2598" spans="1:10">
      <c r="A2598">
        <v>2597</v>
      </c>
      <c r="B2598">
        <v>19965</v>
      </c>
      <c r="C2598" t="s">
        <v>15</v>
      </c>
      <c r="D2598">
        <v>64179.42</v>
      </c>
      <c r="E2598" t="s">
        <v>16</v>
      </c>
      <c r="F2598">
        <v>35</v>
      </c>
      <c r="G2598" t="s">
        <v>17</v>
      </c>
      <c r="H2598" s="1">
        <v>45451</v>
      </c>
      <c r="I2598" s="1">
        <v>45486</v>
      </c>
      <c r="J2598" t="str">
        <f t="shared" si="40"/>
        <v>Jun-2024</v>
      </c>
    </row>
    <row r="2599" spans="1:10">
      <c r="A2599">
        <v>2598</v>
      </c>
      <c r="B2599">
        <v>18391</v>
      </c>
      <c r="C2599" t="s">
        <v>23</v>
      </c>
      <c r="D2599">
        <v>114016.95</v>
      </c>
      <c r="E2599" t="s">
        <v>19</v>
      </c>
      <c r="F2599">
        <v>7</v>
      </c>
      <c r="G2599" t="s">
        <v>21</v>
      </c>
      <c r="H2599" s="1">
        <v>45591</v>
      </c>
      <c r="I2599" s="1">
        <v>45598</v>
      </c>
      <c r="J2599" t="str">
        <f t="shared" si="40"/>
        <v>Oct-2024</v>
      </c>
    </row>
    <row r="2600" spans="1:10">
      <c r="A2600">
        <v>2599</v>
      </c>
      <c r="B2600">
        <v>18369</v>
      </c>
      <c r="C2600" t="s">
        <v>23</v>
      </c>
      <c r="D2600">
        <v>135552.22</v>
      </c>
      <c r="E2600" t="s">
        <v>16</v>
      </c>
      <c r="F2600">
        <v>31</v>
      </c>
      <c r="G2600" t="s">
        <v>17</v>
      </c>
      <c r="H2600" s="1">
        <v>45400</v>
      </c>
      <c r="I2600" s="1">
        <v>45431</v>
      </c>
      <c r="J2600" t="str">
        <f t="shared" si="40"/>
        <v>Apr-2024</v>
      </c>
    </row>
    <row r="2601" spans="1:10">
      <c r="A2601">
        <v>2600</v>
      </c>
      <c r="B2601">
        <v>15542</v>
      </c>
      <c r="C2601" t="s">
        <v>23</v>
      </c>
      <c r="D2601">
        <v>10205.17</v>
      </c>
      <c r="E2601" t="s">
        <v>16</v>
      </c>
      <c r="F2601">
        <v>35</v>
      </c>
      <c r="G2601" t="s">
        <v>17</v>
      </c>
      <c r="H2601" s="1">
        <v>45529</v>
      </c>
      <c r="I2601" s="1">
        <v>45564</v>
      </c>
      <c r="J2601" t="str">
        <f t="shared" si="40"/>
        <v>Aug-2024</v>
      </c>
    </row>
    <row r="2602" spans="1:10">
      <c r="A2602">
        <v>2601</v>
      </c>
      <c r="B2602">
        <v>19122</v>
      </c>
      <c r="C2602" t="s">
        <v>23</v>
      </c>
      <c r="D2602">
        <v>95844.99</v>
      </c>
      <c r="E2602" t="s">
        <v>24</v>
      </c>
      <c r="G2602" t="s">
        <v>25</v>
      </c>
      <c r="H2602" s="1">
        <v>45584</v>
      </c>
      <c r="J2602" t="str">
        <f t="shared" si="40"/>
        <v>Oct-2024</v>
      </c>
    </row>
    <row r="2603" spans="1:10">
      <c r="A2603">
        <v>2602</v>
      </c>
      <c r="B2603">
        <v>12036</v>
      </c>
      <c r="C2603" t="s">
        <v>18</v>
      </c>
      <c r="D2603">
        <v>16248.24</v>
      </c>
      <c r="E2603" t="s">
        <v>16</v>
      </c>
      <c r="F2603">
        <v>13</v>
      </c>
      <c r="G2603" t="s">
        <v>21</v>
      </c>
      <c r="H2603" s="1">
        <v>45358</v>
      </c>
      <c r="I2603" s="1">
        <v>45371</v>
      </c>
      <c r="J2603" t="str">
        <f t="shared" si="40"/>
        <v>Mar-2024</v>
      </c>
    </row>
    <row r="2604" spans="1:10">
      <c r="A2604">
        <v>2603</v>
      </c>
      <c r="B2604">
        <v>19677</v>
      </c>
      <c r="C2604" t="s">
        <v>18</v>
      </c>
      <c r="D2604">
        <v>41349.06</v>
      </c>
      <c r="E2604" t="s">
        <v>24</v>
      </c>
      <c r="G2604" t="s">
        <v>25</v>
      </c>
      <c r="H2604" s="1">
        <v>45607</v>
      </c>
      <c r="J2604" t="str">
        <f t="shared" si="40"/>
        <v>Nov-2024</v>
      </c>
    </row>
    <row r="2605" spans="1:10">
      <c r="A2605">
        <v>2604</v>
      </c>
      <c r="B2605">
        <v>12091</v>
      </c>
      <c r="C2605" t="s">
        <v>23</v>
      </c>
      <c r="D2605">
        <v>114299.2</v>
      </c>
      <c r="E2605" t="s">
        <v>16</v>
      </c>
      <c r="F2605">
        <v>40</v>
      </c>
      <c r="G2605" t="s">
        <v>21</v>
      </c>
      <c r="H2605" s="1">
        <v>45478</v>
      </c>
      <c r="I2605" s="1">
        <v>45518</v>
      </c>
      <c r="J2605" t="str">
        <f t="shared" si="40"/>
        <v>Jul-2024</v>
      </c>
    </row>
    <row r="2606" spans="1:10">
      <c r="A2606">
        <v>2605</v>
      </c>
      <c r="B2606">
        <v>15550</v>
      </c>
      <c r="C2606" t="s">
        <v>23</v>
      </c>
      <c r="D2606">
        <v>173906.84</v>
      </c>
      <c r="E2606" t="s">
        <v>19</v>
      </c>
      <c r="F2606">
        <v>7</v>
      </c>
      <c r="G2606" t="s">
        <v>17</v>
      </c>
      <c r="H2606" s="1">
        <v>45327</v>
      </c>
      <c r="I2606" s="1">
        <v>45334</v>
      </c>
      <c r="J2606" t="str">
        <f t="shared" si="40"/>
        <v>Feb-2024</v>
      </c>
    </row>
    <row r="2607" spans="1:10">
      <c r="A2607">
        <v>2606</v>
      </c>
      <c r="B2607">
        <v>14263</v>
      </c>
      <c r="C2607" t="s">
        <v>23</v>
      </c>
      <c r="D2607">
        <v>177147.11</v>
      </c>
      <c r="E2607" t="s">
        <v>16</v>
      </c>
      <c r="F2607">
        <v>5</v>
      </c>
      <c r="G2607" t="s">
        <v>17</v>
      </c>
      <c r="H2607" s="1">
        <v>45340</v>
      </c>
      <c r="I2607" s="1">
        <v>45345</v>
      </c>
      <c r="J2607" t="str">
        <f t="shared" si="40"/>
        <v>Feb-2024</v>
      </c>
    </row>
    <row r="2608" spans="1:10">
      <c r="A2608">
        <v>2607</v>
      </c>
      <c r="B2608">
        <v>16430</v>
      </c>
      <c r="C2608" t="s">
        <v>23</v>
      </c>
      <c r="D2608">
        <v>18639.080000000002</v>
      </c>
      <c r="E2608" t="s">
        <v>16</v>
      </c>
      <c r="F2608">
        <v>10</v>
      </c>
      <c r="G2608" t="s">
        <v>20</v>
      </c>
      <c r="H2608" s="1">
        <v>45547</v>
      </c>
      <c r="I2608" s="1">
        <v>45557</v>
      </c>
      <c r="J2608" t="str">
        <f t="shared" si="40"/>
        <v>Sep-2024</v>
      </c>
    </row>
    <row r="2609" spans="1:10">
      <c r="A2609">
        <v>2608</v>
      </c>
      <c r="B2609">
        <v>12384</v>
      </c>
      <c r="C2609" t="s">
        <v>23</v>
      </c>
      <c r="D2609">
        <v>86725.49</v>
      </c>
      <c r="E2609" t="s">
        <v>16</v>
      </c>
      <c r="F2609">
        <v>6</v>
      </c>
      <c r="G2609" t="s">
        <v>21</v>
      </c>
      <c r="H2609" s="1">
        <v>45398</v>
      </c>
      <c r="I2609" s="1">
        <v>45404</v>
      </c>
      <c r="J2609" t="str">
        <f t="shared" si="40"/>
        <v>Apr-2024</v>
      </c>
    </row>
    <row r="2610" spans="1:10">
      <c r="A2610">
        <v>2609</v>
      </c>
      <c r="B2610">
        <v>16326</v>
      </c>
      <c r="C2610" t="s">
        <v>18</v>
      </c>
      <c r="D2610">
        <v>118686.26</v>
      </c>
      <c r="E2610" t="s">
        <v>16</v>
      </c>
      <c r="F2610">
        <v>11</v>
      </c>
      <c r="G2610" t="s">
        <v>25</v>
      </c>
      <c r="H2610" s="1">
        <v>45299</v>
      </c>
      <c r="I2610" s="1">
        <v>45310</v>
      </c>
      <c r="J2610" t="str">
        <f t="shared" si="40"/>
        <v>Jan-2024</v>
      </c>
    </row>
    <row r="2611" spans="1:10">
      <c r="A2611">
        <v>2610</v>
      </c>
      <c r="B2611">
        <v>18207</v>
      </c>
      <c r="C2611" t="s">
        <v>22</v>
      </c>
      <c r="D2611">
        <v>33678.629999999997</v>
      </c>
      <c r="E2611" t="s">
        <v>16</v>
      </c>
      <c r="F2611">
        <v>9</v>
      </c>
      <c r="G2611" t="s">
        <v>20</v>
      </c>
      <c r="H2611" s="1">
        <v>45527</v>
      </c>
      <c r="I2611" s="1">
        <v>45536</v>
      </c>
      <c r="J2611" t="str">
        <f t="shared" si="40"/>
        <v>Aug-2024</v>
      </c>
    </row>
    <row r="2612" spans="1:10">
      <c r="A2612">
        <v>2611</v>
      </c>
      <c r="B2612">
        <v>17663</v>
      </c>
      <c r="C2612" t="s">
        <v>22</v>
      </c>
      <c r="D2612">
        <v>154259.28</v>
      </c>
      <c r="E2612" t="s">
        <v>16</v>
      </c>
      <c r="F2612">
        <v>24</v>
      </c>
      <c r="G2612" t="s">
        <v>20</v>
      </c>
      <c r="H2612" s="1">
        <v>45469</v>
      </c>
      <c r="I2612" s="1">
        <v>45493</v>
      </c>
      <c r="J2612" t="str">
        <f t="shared" si="40"/>
        <v>Jun-2024</v>
      </c>
    </row>
    <row r="2613" spans="1:10">
      <c r="A2613">
        <v>2612</v>
      </c>
      <c r="B2613">
        <v>19028</v>
      </c>
      <c r="C2613" t="s">
        <v>15</v>
      </c>
      <c r="D2613">
        <v>150125.88</v>
      </c>
      <c r="E2613" t="s">
        <v>16</v>
      </c>
      <c r="F2613">
        <v>5</v>
      </c>
      <c r="G2613" t="s">
        <v>20</v>
      </c>
      <c r="H2613" s="1">
        <v>45533</v>
      </c>
      <c r="I2613" s="1">
        <v>45538</v>
      </c>
      <c r="J2613" t="str">
        <f t="shared" si="40"/>
        <v>Aug-2024</v>
      </c>
    </row>
    <row r="2614" spans="1:10">
      <c r="A2614">
        <v>2613</v>
      </c>
      <c r="B2614">
        <v>17721</v>
      </c>
      <c r="C2614" t="s">
        <v>18</v>
      </c>
      <c r="D2614">
        <v>181151.5</v>
      </c>
      <c r="E2614" t="s">
        <v>19</v>
      </c>
      <c r="F2614">
        <v>38</v>
      </c>
      <c r="G2614" t="s">
        <v>25</v>
      </c>
      <c r="H2614" s="1">
        <v>45332</v>
      </c>
      <c r="I2614" s="1">
        <v>45370</v>
      </c>
      <c r="J2614" t="str">
        <f t="shared" si="40"/>
        <v>Feb-2024</v>
      </c>
    </row>
    <row r="2615" spans="1:10">
      <c r="A2615">
        <v>2614</v>
      </c>
      <c r="B2615">
        <v>12157</v>
      </c>
      <c r="C2615" t="s">
        <v>18</v>
      </c>
      <c r="D2615">
        <v>6654.77</v>
      </c>
      <c r="E2615" t="s">
        <v>16</v>
      </c>
      <c r="F2615">
        <v>8</v>
      </c>
      <c r="G2615" t="s">
        <v>20</v>
      </c>
      <c r="H2615" s="1">
        <v>45648</v>
      </c>
      <c r="I2615" s="1">
        <v>45656</v>
      </c>
      <c r="J2615" t="str">
        <f t="shared" si="40"/>
        <v>Dec-2024</v>
      </c>
    </row>
    <row r="2616" spans="1:10">
      <c r="A2616">
        <v>2615</v>
      </c>
      <c r="B2616">
        <v>19768</v>
      </c>
      <c r="C2616" t="s">
        <v>23</v>
      </c>
      <c r="D2616">
        <v>47253.43</v>
      </c>
      <c r="E2616" t="s">
        <v>16</v>
      </c>
      <c r="F2616">
        <v>7</v>
      </c>
      <c r="G2616" t="s">
        <v>25</v>
      </c>
      <c r="H2616" s="1">
        <v>45536</v>
      </c>
      <c r="I2616" s="1">
        <v>45543</v>
      </c>
      <c r="J2616" t="str">
        <f t="shared" si="40"/>
        <v>Sep-2024</v>
      </c>
    </row>
    <row r="2617" spans="1:10">
      <c r="A2617">
        <v>2616</v>
      </c>
      <c r="B2617">
        <v>10305</v>
      </c>
      <c r="C2617" t="s">
        <v>18</v>
      </c>
      <c r="D2617">
        <v>166301.41</v>
      </c>
      <c r="E2617" t="s">
        <v>16</v>
      </c>
      <c r="F2617">
        <v>43</v>
      </c>
      <c r="G2617" t="s">
        <v>20</v>
      </c>
      <c r="H2617" s="1">
        <v>45404</v>
      </c>
      <c r="I2617" s="1">
        <v>45447</v>
      </c>
      <c r="J2617" t="str">
        <f t="shared" si="40"/>
        <v>Apr-2024</v>
      </c>
    </row>
    <row r="2618" spans="1:10">
      <c r="A2618">
        <v>2617</v>
      </c>
      <c r="B2618">
        <v>17123</v>
      </c>
      <c r="C2618" t="s">
        <v>23</v>
      </c>
      <c r="D2618">
        <v>135763.10999999999</v>
      </c>
      <c r="E2618" t="s">
        <v>16</v>
      </c>
      <c r="F2618">
        <v>16</v>
      </c>
      <c r="G2618" t="s">
        <v>25</v>
      </c>
      <c r="H2618" s="1">
        <v>45656</v>
      </c>
      <c r="I2618" s="1">
        <v>45672</v>
      </c>
      <c r="J2618" t="str">
        <f t="shared" si="40"/>
        <v>Dec-2024</v>
      </c>
    </row>
    <row r="2619" spans="1:10">
      <c r="A2619">
        <v>2618</v>
      </c>
      <c r="B2619">
        <v>12053</v>
      </c>
      <c r="C2619" t="s">
        <v>23</v>
      </c>
      <c r="D2619">
        <v>179406.02</v>
      </c>
      <c r="E2619" t="s">
        <v>16</v>
      </c>
      <c r="F2619">
        <v>36</v>
      </c>
      <c r="G2619" t="s">
        <v>17</v>
      </c>
      <c r="H2619" s="1">
        <v>45547</v>
      </c>
      <c r="I2619" s="1">
        <v>45583</v>
      </c>
      <c r="J2619" t="str">
        <f t="shared" si="40"/>
        <v>Sep-2024</v>
      </c>
    </row>
    <row r="2620" spans="1:10">
      <c r="A2620">
        <v>2619</v>
      </c>
      <c r="B2620">
        <v>15812</v>
      </c>
      <c r="C2620" t="s">
        <v>18</v>
      </c>
      <c r="D2620">
        <v>16150.03</v>
      </c>
      <c r="E2620" t="s">
        <v>16</v>
      </c>
      <c r="F2620">
        <v>33</v>
      </c>
      <c r="G2620" t="s">
        <v>17</v>
      </c>
      <c r="H2620" s="1">
        <v>45457</v>
      </c>
      <c r="I2620" s="1">
        <v>45490</v>
      </c>
      <c r="J2620" t="str">
        <f t="shared" si="40"/>
        <v>Jun-2024</v>
      </c>
    </row>
    <row r="2621" spans="1:10">
      <c r="A2621">
        <v>2620</v>
      </c>
      <c r="B2621">
        <v>13344</v>
      </c>
      <c r="C2621" t="s">
        <v>23</v>
      </c>
      <c r="D2621">
        <v>121407.97</v>
      </c>
      <c r="E2621" t="s">
        <v>19</v>
      </c>
      <c r="F2621">
        <v>15</v>
      </c>
      <c r="G2621" t="s">
        <v>17</v>
      </c>
      <c r="H2621" s="1">
        <v>45633</v>
      </c>
      <c r="I2621" s="1">
        <v>45648</v>
      </c>
      <c r="J2621" t="str">
        <f t="shared" si="40"/>
        <v>Dec-2024</v>
      </c>
    </row>
    <row r="2622" spans="1:10">
      <c r="A2622">
        <v>2621</v>
      </c>
      <c r="B2622">
        <v>14456</v>
      </c>
      <c r="C2622" t="s">
        <v>23</v>
      </c>
      <c r="D2622">
        <v>115964.08</v>
      </c>
      <c r="E2622" t="s">
        <v>16</v>
      </c>
      <c r="F2622">
        <v>36</v>
      </c>
      <c r="G2622" t="s">
        <v>17</v>
      </c>
      <c r="H2622" s="1">
        <v>45369</v>
      </c>
      <c r="I2622" s="1">
        <v>45405</v>
      </c>
      <c r="J2622" t="str">
        <f t="shared" si="40"/>
        <v>Mar-2024</v>
      </c>
    </row>
    <row r="2623" spans="1:10">
      <c r="A2623">
        <v>2622</v>
      </c>
      <c r="B2623">
        <v>11208</v>
      </c>
      <c r="C2623" t="s">
        <v>22</v>
      </c>
      <c r="D2623">
        <v>11956.51</v>
      </c>
      <c r="E2623" t="s">
        <v>16</v>
      </c>
      <c r="F2623">
        <v>12</v>
      </c>
      <c r="G2623" t="s">
        <v>17</v>
      </c>
      <c r="H2623" s="1">
        <v>45498</v>
      </c>
      <c r="I2623" s="1">
        <v>45510</v>
      </c>
      <c r="J2623" t="str">
        <f t="shared" si="40"/>
        <v>Jul-2024</v>
      </c>
    </row>
    <row r="2624" spans="1:10">
      <c r="A2624">
        <v>2623</v>
      </c>
      <c r="B2624">
        <v>11858</v>
      </c>
      <c r="C2624" t="s">
        <v>23</v>
      </c>
      <c r="D2624">
        <v>105136.8</v>
      </c>
      <c r="E2624" t="s">
        <v>19</v>
      </c>
      <c r="F2624">
        <v>11</v>
      </c>
      <c r="G2624" t="s">
        <v>20</v>
      </c>
      <c r="H2624" s="1">
        <v>45602</v>
      </c>
      <c r="I2624" s="1">
        <v>45613</v>
      </c>
      <c r="J2624" t="str">
        <f t="shared" si="40"/>
        <v>Nov-2024</v>
      </c>
    </row>
    <row r="2625" spans="1:10">
      <c r="A2625">
        <v>2624</v>
      </c>
      <c r="B2625">
        <v>12703</v>
      </c>
      <c r="C2625" t="s">
        <v>23</v>
      </c>
      <c r="D2625">
        <v>123856.46</v>
      </c>
      <c r="E2625" t="s">
        <v>19</v>
      </c>
      <c r="F2625">
        <v>18</v>
      </c>
      <c r="G2625" t="s">
        <v>20</v>
      </c>
      <c r="H2625" s="1">
        <v>45487</v>
      </c>
      <c r="I2625" s="1">
        <v>45505</v>
      </c>
      <c r="J2625" t="str">
        <f t="shared" si="40"/>
        <v>Jul-2024</v>
      </c>
    </row>
    <row r="2626" spans="1:10">
      <c r="A2626">
        <v>2625</v>
      </c>
      <c r="B2626">
        <v>11971</v>
      </c>
      <c r="C2626" t="s">
        <v>22</v>
      </c>
      <c r="D2626">
        <v>42302.17</v>
      </c>
      <c r="E2626" t="s">
        <v>16</v>
      </c>
      <c r="F2626">
        <v>14</v>
      </c>
      <c r="G2626" t="s">
        <v>20</v>
      </c>
      <c r="H2626" s="1">
        <v>45612</v>
      </c>
      <c r="I2626" s="1">
        <v>45626</v>
      </c>
      <c r="J2626" t="str">
        <f t="shared" si="40"/>
        <v>Nov-2024</v>
      </c>
    </row>
    <row r="2627" spans="1:10">
      <c r="A2627">
        <v>2626</v>
      </c>
      <c r="B2627">
        <v>11113</v>
      </c>
      <c r="C2627" t="s">
        <v>18</v>
      </c>
      <c r="D2627">
        <v>58299.27</v>
      </c>
      <c r="E2627" t="s">
        <v>19</v>
      </c>
      <c r="F2627">
        <v>35</v>
      </c>
      <c r="G2627" t="s">
        <v>25</v>
      </c>
      <c r="H2627" s="1">
        <v>45355</v>
      </c>
      <c r="I2627" s="1">
        <v>45390</v>
      </c>
      <c r="J2627" t="str">
        <f t="shared" ref="J2627:J2690" si="41">TEXT(H2627,"mmm-yyyy")</f>
        <v>Mar-2024</v>
      </c>
    </row>
    <row r="2628" spans="1:10">
      <c r="A2628">
        <v>2627</v>
      </c>
      <c r="B2628">
        <v>10983</v>
      </c>
      <c r="C2628" t="s">
        <v>18</v>
      </c>
      <c r="D2628">
        <v>129867.73</v>
      </c>
      <c r="E2628" t="s">
        <v>16</v>
      </c>
      <c r="F2628">
        <v>6</v>
      </c>
      <c r="G2628" t="s">
        <v>25</v>
      </c>
      <c r="H2628" s="1">
        <v>45431</v>
      </c>
      <c r="I2628" s="1">
        <v>45437</v>
      </c>
      <c r="J2628" t="str">
        <f t="shared" si="41"/>
        <v>May-2024</v>
      </c>
    </row>
    <row r="2629" spans="1:10">
      <c r="A2629">
        <v>2628</v>
      </c>
      <c r="B2629">
        <v>12127</v>
      </c>
      <c r="C2629" t="s">
        <v>23</v>
      </c>
      <c r="D2629">
        <v>96318.68</v>
      </c>
      <c r="E2629" t="s">
        <v>19</v>
      </c>
      <c r="F2629">
        <v>11</v>
      </c>
      <c r="G2629" t="s">
        <v>25</v>
      </c>
      <c r="H2629" s="1">
        <v>45333</v>
      </c>
      <c r="I2629" s="1">
        <v>45344</v>
      </c>
      <c r="J2629" t="str">
        <f t="shared" si="41"/>
        <v>Feb-2024</v>
      </c>
    </row>
    <row r="2630" spans="1:10">
      <c r="A2630">
        <v>2629</v>
      </c>
      <c r="B2630">
        <v>13639</v>
      </c>
      <c r="C2630" t="s">
        <v>23</v>
      </c>
      <c r="D2630">
        <v>172312.66</v>
      </c>
      <c r="E2630" t="s">
        <v>16</v>
      </c>
      <c r="F2630">
        <v>33</v>
      </c>
      <c r="G2630" t="s">
        <v>25</v>
      </c>
      <c r="H2630" s="1">
        <v>45597</v>
      </c>
      <c r="I2630" s="1">
        <v>45630</v>
      </c>
      <c r="J2630" t="str">
        <f t="shared" si="41"/>
        <v>Nov-2024</v>
      </c>
    </row>
    <row r="2631" spans="1:10">
      <c r="A2631">
        <v>2630</v>
      </c>
      <c r="B2631">
        <v>17476</v>
      </c>
      <c r="C2631" t="s">
        <v>15</v>
      </c>
      <c r="D2631">
        <v>71764.44</v>
      </c>
      <c r="E2631" t="s">
        <v>16</v>
      </c>
      <c r="F2631">
        <v>13</v>
      </c>
      <c r="G2631" t="s">
        <v>17</v>
      </c>
      <c r="H2631" s="1">
        <v>45500</v>
      </c>
      <c r="I2631" s="1">
        <v>45513</v>
      </c>
      <c r="J2631" t="str">
        <f t="shared" si="41"/>
        <v>Jul-2024</v>
      </c>
    </row>
    <row r="2632" spans="1:10">
      <c r="A2632">
        <v>2631</v>
      </c>
      <c r="B2632">
        <v>10560</v>
      </c>
      <c r="C2632" t="s">
        <v>18</v>
      </c>
      <c r="D2632">
        <v>56998.63</v>
      </c>
      <c r="E2632" t="s">
        <v>24</v>
      </c>
      <c r="G2632" t="s">
        <v>17</v>
      </c>
      <c r="H2632" s="1">
        <v>45595</v>
      </c>
      <c r="J2632" t="str">
        <f t="shared" si="41"/>
        <v>Oct-2024</v>
      </c>
    </row>
    <row r="2633" spans="1:10">
      <c r="A2633">
        <v>2632</v>
      </c>
      <c r="B2633">
        <v>16652</v>
      </c>
      <c r="C2633" t="s">
        <v>18</v>
      </c>
      <c r="D2633">
        <v>197048.86</v>
      </c>
      <c r="E2633" t="s">
        <v>16</v>
      </c>
      <c r="F2633">
        <v>22</v>
      </c>
      <c r="G2633" t="s">
        <v>17</v>
      </c>
      <c r="H2633" s="1">
        <v>45364</v>
      </c>
      <c r="I2633" s="1">
        <v>45386</v>
      </c>
      <c r="J2633" t="str">
        <f t="shared" si="41"/>
        <v>Mar-2024</v>
      </c>
    </row>
    <row r="2634" spans="1:10">
      <c r="A2634">
        <v>2633</v>
      </c>
      <c r="B2634">
        <v>14387</v>
      </c>
      <c r="C2634" t="s">
        <v>23</v>
      </c>
      <c r="D2634">
        <v>182671.48</v>
      </c>
      <c r="E2634" t="s">
        <v>16</v>
      </c>
      <c r="F2634">
        <v>34</v>
      </c>
      <c r="G2634" t="s">
        <v>21</v>
      </c>
      <c r="H2634" s="1">
        <v>45444</v>
      </c>
      <c r="I2634" s="1">
        <v>45478</v>
      </c>
      <c r="J2634" t="str">
        <f t="shared" si="41"/>
        <v>Jun-2024</v>
      </c>
    </row>
    <row r="2635" spans="1:10">
      <c r="A2635">
        <v>2634</v>
      </c>
      <c r="B2635">
        <v>12932</v>
      </c>
      <c r="C2635" t="s">
        <v>23</v>
      </c>
      <c r="D2635">
        <v>10653.59</v>
      </c>
      <c r="E2635" t="s">
        <v>16</v>
      </c>
      <c r="F2635">
        <v>42</v>
      </c>
      <c r="G2635" t="s">
        <v>20</v>
      </c>
      <c r="H2635" s="1">
        <v>45426</v>
      </c>
      <c r="I2635" s="1">
        <v>45468</v>
      </c>
      <c r="J2635" t="str">
        <f t="shared" si="41"/>
        <v>May-2024</v>
      </c>
    </row>
    <row r="2636" spans="1:10">
      <c r="A2636">
        <v>2635</v>
      </c>
      <c r="B2636">
        <v>18482</v>
      </c>
      <c r="C2636" t="s">
        <v>22</v>
      </c>
      <c r="D2636">
        <v>155292.07999999999</v>
      </c>
      <c r="E2636" t="s">
        <v>16</v>
      </c>
      <c r="F2636">
        <v>33</v>
      </c>
      <c r="G2636" t="s">
        <v>25</v>
      </c>
      <c r="H2636" s="1">
        <v>45653</v>
      </c>
      <c r="I2636" s="1">
        <v>45686</v>
      </c>
      <c r="J2636" t="str">
        <f t="shared" si="41"/>
        <v>Dec-2024</v>
      </c>
    </row>
    <row r="2637" spans="1:10">
      <c r="A2637">
        <v>2636</v>
      </c>
      <c r="B2637">
        <v>11909</v>
      </c>
      <c r="C2637" t="s">
        <v>23</v>
      </c>
      <c r="D2637">
        <v>26515.279999999999</v>
      </c>
      <c r="E2637" t="s">
        <v>16</v>
      </c>
      <c r="F2637">
        <v>13</v>
      </c>
      <c r="G2637" t="s">
        <v>25</v>
      </c>
      <c r="H2637" s="1">
        <v>45555</v>
      </c>
      <c r="I2637" s="1">
        <v>45568</v>
      </c>
      <c r="J2637" t="str">
        <f t="shared" si="41"/>
        <v>Sep-2024</v>
      </c>
    </row>
    <row r="2638" spans="1:10">
      <c r="A2638">
        <v>2637</v>
      </c>
      <c r="B2638">
        <v>17230</v>
      </c>
      <c r="C2638" t="s">
        <v>18</v>
      </c>
      <c r="D2638">
        <v>10359.61</v>
      </c>
      <c r="E2638" t="s">
        <v>16</v>
      </c>
      <c r="F2638">
        <v>36</v>
      </c>
      <c r="G2638" t="s">
        <v>17</v>
      </c>
      <c r="H2638" s="1">
        <v>45507</v>
      </c>
      <c r="I2638" s="1">
        <v>45543</v>
      </c>
      <c r="J2638" t="str">
        <f t="shared" si="41"/>
        <v>Aug-2024</v>
      </c>
    </row>
    <row r="2639" spans="1:10">
      <c r="A2639">
        <v>2638</v>
      </c>
      <c r="B2639">
        <v>11428</v>
      </c>
      <c r="C2639" t="s">
        <v>23</v>
      </c>
      <c r="D2639">
        <v>58370.63</v>
      </c>
      <c r="E2639" t="s">
        <v>16</v>
      </c>
      <c r="F2639">
        <v>37</v>
      </c>
      <c r="G2639" t="s">
        <v>25</v>
      </c>
      <c r="H2639" s="1">
        <v>45500</v>
      </c>
      <c r="I2639" s="1">
        <v>45537</v>
      </c>
      <c r="J2639" t="str">
        <f t="shared" si="41"/>
        <v>Jul-2024</v>
      </c>
    </row>
    <row r="2640" spans="1:10">
      <c r="A2640">
        <v>2639</v>
      </c>
      <c r="B2640">
        <v>10947</v>
      </c>
      <c r="C2640" t="s">
        <v>18</v>
      </c>
      <c r="D2640">
        <v>57522.45</v>
      </c>
      <c r="E2640" t="s">
        <v>16</v>
      </c>
      <c r="F2640">
        <v>39</v>
      </c>
      <c r="G2640" t="s">
        <v>25</v>
      </c>
      <c r="H2640" s="1">
        <v>45495</v>
      </c>
      <c r="I2640" s="1">
        <v>45534</v>
      </c>
      <c r="J2640" t="str">
        <f t="shared" si="41"/>
        <v>Jul-2024</v>
      </c>
    </row>
    <row r="2641" spans="1:10">
      <c r="A2641">
        <v>2640</v>
      </c>
      <c r="B2641">
        <v>11348</v>
      </c>
      <c r="C2641" t="s">
        <v>22</v>
      </c>
      <c r="D2641">
        <v>164767.16</v>
      </c>
      <c r="E2641" t="s">
        <v>16</v>
      </c>
      <c r="F2641">
        <v>29</v>
      </c>
      <c r="G2641" t="s">
        <v>20</v>
      </c>
      <c r="H2641" s="1">
        <v>45401</v>
      </c>
      <c r="I2641" s="1">
        <v>45430</v>
      </c>
      <c r="J2641" t="str">
        <f t="shared" si="41"/>
        <v>Apr-2024</v>
      </c>
    </row>
    <row r="2642" spans="1:10">
      <c r="A2642">
        <v>2641</v>
      </c>
      <c r="B2642">
        <v>18572</v>
      </c>
      <c r="C2642" t="s">
        <v>18</v>
      </c>
      <c r="D2642">
        <v>143580.10999999999</v>
      </c>
      <c r="E2642" t="s">
        <v>16</v>
      </c>
      <c r="F2642">
        <v>14</v>
      </c>
      <c r="G2642" t="s">
        <v>17</v>
      </c>
      <c r="H2642" s="1">
        <v>45322</v>
      </c>
      <c r="I2642" s="1">
        <v>45336</v>
      </c>
      <c r="J2642" t="str">
        <f t="shared" si="41"/>
        <v>Jan-2024</v>
      </c>
    </row>
    <row r="2643" spans="1:10">
      <c r="A2643">
        <v>2642</v>
      </c>
      <c r="B2643">
        <v>19896</v>
      </c>
      <c r="C2643" t="s">
        <v>23</v>
      </c>
      <c r="D2643">
        <v>196413.84</v>
      </c>
      <c r="E2643" t="s">
        <v>16</v>
      </c>
      <c r="F2643">
        <v>13</v>
      </c>
      <c r="G2643" t="s">
        <v>20</v>
      </c>
      <c r="H2643" s="1">
        <v>45303</v>
      </c>
      <c r="I2643" s="1">
        <v>45316</v>
      </c>
      <c r="J2643" t="str">
        <f t="shared" si="41"/>
        <v>Jan-2024</v>
      </c>
    </row>
    <row r="2644" spans="1:10">
      <c r="A2644">
        <v>2643</v>
      </c>
      <c r="B2644">
        <v>10309</v>
      </c>
      <c r="C2644" t="s">
        <v>18</v>
      </c>
      <c r="D2644">
        <v>143745.01999999999</v>
      </c>
      <c r="E2644" t="s">
        <v>24</v>
      </c>
      <c r="G2644" t="s">
        <v>21</v>
      </c>
      <c r="H2644" s="1">
        <v>45418</v>
      </c>
      <c r="J2644" t="str">
        <f t="shared" si="41"/>
        <v>May-2024</v>
      </c>
    </row>
    <row r="2645" spans="1:10">
      <c r="A2645">
        <v>2644</v>
      </c>
      <c r="B2645">
        <v>13414</v>
      </c>
      <c r="C2645" t="s">
        <v>18</v>
      </c>
      <c r="D2645">
        <v>86559.83</v>
      </c>
      <c r="E2645" t="s">
        <v>16</v>
      </c>
      <c r="F2645">
        <v>3</v>
      </c>
      <c r="G2645" t="s">
        <v>21</v>
      </c>
      <c r="H2645" s="1">
        <v>45604</v>
      </c>
      <c r="I2645" s="1">
        <v>45607</v>
      </c>
      <c r="J2645" t="str">
        <f t="shared" si="41"/>
        <v>Nov-2024</v>
      </c>
    </row>
    <row r="2646" spans="1:10">
      <c r="A2646">
        <v>2645</v>
      </c>
      <c r="B2646">
        <v>15789</v>
      </c>
      <c r="C2646" t="s">
        <v>23</v>
      </c>
      <c r="D2646">
        <v>141290.89000000001</v>
      </c>
      <c r="E2646" t="s">
        <v>16</v>
      </c>
      <c r="F2646">
        <v>30</v>
      </c>
      <c r="G2646" t="s">
        <v>21</v>
      </c>
      <c r="H2646" s="1">
        <v>45485</v>
      </c>
      <c r="I2646" s="1">
        <v>45515</v>
      </c>
      <c r="J2646" t="str">
        <f t="shared" si="41"/>
        <v>Jul-2024</v>
      </c>
    </row>
    <row r="2647" spans="1:10">
      <c r="A2647">
        <v>2646</v>
      </c>
      <c r="B2647">
        <v>19690</v>
      </c>
      <c r="C2647" t="s">
        <v>15</v>
      </c>
      <c r="D2647">
        <v>199894.52</v>
      </c>
      <c r="E2647" t="s">
        <v>19</v>
      </c>
      <c r="F2647">
        <v>14</v>
      </c>
      <c r="G2647" t="s">
        <v>17</v>
      </c>
      <c r="H2647" s="1">
        <v>45431</v>
      </c>
      <c r="I2647" s="1">
        <v>45445</v>
      </c>
      <c r="J2647" t="str">
        <f t="shared" si="41"/>
        <v>May-2024</v>
      </c>
    </row>
    <row r="2648" spans="1:10">
      <c r="A2648">
        <v>2647</v>
      </c>
      <c r="B2648">
        <v>16568</v>
      </c>
      <c r="C2648" t="s">
        <v>18</v>
      </c>
      <c r="D2648">
        <v>143477.67000000001</v>
      </c>
      <c r="E2648" t="s">
        <v>19</v>
      </c>
      <c r="F2648">
        <v>36</v>
      </c>
      <c r="G2648" t="s">
        <v>25</v>
      </c>
      <c r="H2648" s="1">
        <v>45318</v>
      </c>
      <c r="I2648" s="1">
        <v>45354</v>
      </c>
      <c r="J2648" t="str">
        <f t="shared" si="41"/>
        <v>Jan-2024</v>
      </c>
    </row>
    <row r="2649" spans="1:10">
      <c r="A2649">
        <v>2648</v>
      </c>
      <c r="B2649">
        <v>18852</v>
      </c>
      <c r="C2649" t="s">
        <v>15</v>
      </c>
      <c r="D2649">
        <v>153527.85999999999</v>
      </c>
      <c r="E2649" t="s">
        <v>16</v>
      </c>
      <c r="F2649">
        <v>14</v>
      </c>
      <c r="G2649" t="s">
        <v>17</v>
      </c>
      <c r="H2649" s="1">
        <v>45337</v>
      </c>
      <c r="I2649" s="1">
        <v>45351</v>
      </c>
      <c r="J2649" t="str">
        <f t="shared" si="41"/>
        <v>Feb-2024</v>
      </c>
    </row>
    <row r="2650" spans="1:10">
      <c r="A2650">
        <v>2649</v>
      </c>
      <c r="B2650">
        <v>13447</v>
      </c>
      <c r="C2650" t="s">
        <v>18</v>
      </c>
      <c r="D2650">
        <v>187981.18</v>
      </c>
      <c r="E2650" t="s">
        <v>19</v>
      </c>
      <c r="F2650">
        <v>35</v>
      </c>
      <c r="G2650" t="s">
        <v>17</v>
      </c>
      <c r="H2650" s="1">
        <v>45426</v>
      </c>
      <c r="I2650" s="1">
        <v>45461</v>
      </c>
      <c r="J2650" t="str">
        <f t="shared" si="41"/>
        <v>May-2024</v>
      </c>
    </row>
    <row r="2651" spans="1:10">
      <c r="A2651">
        <v>2650</v>
      </c>
      <c r="B2651">
        <v>12273</v>
      </c>
      <c r="C2651" t="s">
        <v>23</v>
      </c>
      <c r="D2651">
        <v>27162</v>
      </c>
      <c r="E2651" t="s">
        <v>16</v>
      </c>
      <c r="F2651">
        <v>20</v>
      </c>
      <c r="G2651" t="s">
        <v>25</v>
      </c>
      <c r="H2651" s="1">
        <v>45608</v>
      </c>
      <c r="I2651" s="1">
        <v>45628</v>
      </c>
      <c r="J2651" t="str">
        <f t="shared" si="41"/>
        <v>Nov-2024</v>
      </c>
    </row>
    <row r="2652" spans="1:10">
      <c r="A2652">
        <v>2651</v>
      </c>
      <c r="B2652">
        <v>19689</v>
      </c>
      <c r="C2652" t="s">
        <v>23</v>
      </c>
      <c r="D2652">
        <v>142432.94</v>
      </c>
      <c r="E2652" t="s">
        <v>19</v>
      </c>
      <c r="F2652">
        <v>10</v>
      </c>
      <c r="G2652" t="s">
        <v>20</v>
      </c>
      <c r="H2652" s="1">
        <v>45349</v>
      </c>
      <c r="I2652" s="1">
        <v>45359</v>
      </c>
      <c r="J2652" t="str">
        <f t="shared" si="41"/>
        <v>Feb-2024</v>
      </c>
    </row>
    <row r="2653" spans="1:10">
      <c r="A2653">
        <v>2652</v>
      </c>
      <c r="B2653">
        <v>12142</v>
      </c>
      <c r="C2653" t="s">
        <v>23</v>
      </c>
      <c r="D2653">
        <v>170907.16</v>
      </c>
      <c r="E2653" t="s">
        <v>16</v>
      </c>
      <c r="F2653">
        <v>32</v>
      </c>
      <c r="G2653" t="s">
        <v>21</v>
      </c>
      <c r="H2653" s="1">
        <v>45304</v>
      </c>
      <c r="I2653" s="1">
        <v>45336</v>
      </c>
      <c r="J2653" t="str">
        <f t="shared" si="41"/>
        <v>Jan-2024</v>
      </c>
    </row>
    <row r="2654" spans="1:10">
      <c r="A2654">
        <v>2653</v>
      </c>
      <c r="B2654">
        <v>19797</v>
      </c>
      <c r="C2654" t="s">
        <v>22</v>
      </c>
      <c r="D2654">
        <v>191103.83</v>
      </c>
      <c r="E2654" t="s">
        <v>16</v>
      </c>
      <c r="F2654">
        <v>34</v>
      </c>
      <c r="G2654" t="s">
        <v>20</v>
      </c>
      <c r="H2654" s="1">
        <v>45391</v>
      </c>
      <c r="I2654" s="1">
        <v>45425</v>
      </c>
      <c r="J2654" t="str">
        <f t="shared" si="41"/>
        <v>Apr-2024</v>
      </c>
    </row>
    <row r="2655" spans="1:10">
      <c r="A2655">
        <v>2654</v>
      </c>
      <c r="B2655">
        <v>14739</v>
      </c>
      <c r="C2655" t="s">
        <v>18</v>
      </c>
      <c r="D2655">
        <v>46139.01</v>
      </c>
      <c r="E2655" t="s">
        <v>16</v>
      </c>
      <c r="F2655">
        <v>28</v>
      </c>
      <c r="G2655" t="s">
        <v>21</v>
      </c>
      <c r="H2655" s="1">
        <v>45340</v>
      </c>
      <c r="I2655" s="1">
        <v>45368</v>
      </c>
      <c r="J2655" t="str">
        <f t="shared" si="41"/>
        <v>Feb-2024</v>
      </c>
    </row>
    <row r="2656" spans="1:10">
      <c r="A2656">
        <v>2655</v>
      </c>
      <c r="B2656">
        <v>19623</v>
      </c>
      <c r="C2656" t="s">
        <v>18</v>
      </c>
      <c r="D2656">
        <v>103266.16</v>
      </c>
      <c r="E2656" t="s">
        <v>19</v>
      </c>
      <c r="F2656">
        <v>3</v>
      </c>
      <c r="G2656" t="s">
        <v>17</v>
      </c>
      <c r="H2656" s="1">
        <v>45582</v>
      </c>
      <c r="I2656" s="1">
        <v>45585</v>
      </c>
      <c r="J2656" t="str">
        <f t="shared" si="41"/>
        <v>Oct-2024</v>
      </c>
    </row>
    <row r="2657" spans="1:10">
      <c r="A2657">
        <v>2656</v>
      </c>
      <c r="B2657">
        <v>10458</v>
      </c>
      <c r="C2657" t="s">
        <v>23</v>
      </c>
      <c r="D2657">
        <v>137708.20000000001</v>
      </c>
      <c r="E2657" t="s">
        <v>16</v>
      </c>
      <c r="F2657">
        <v>16</v>
      </c>
      <c r="G2657" t="s">
        <v>21</v>
      </c>
      <c r="H2657" s="1">
        <v>45385</v>
      </c>
      <c r="I2657" s="1">
        <v>45401</v>
      </c>
      <c r="J2657" t="str">
        <f t="shared" si="41"/>
        <v>Apr-2024</v>
      </c>
    </row>
    <row r="2658" spans="1:10">
      <c r="A2658">
        <v>2657</v>
      </c>
      <c r="B2658">
        <v>17580</v>
      </c>
      <c r="C2658" t="s">
        <v>23</v>
      </c>
      <c r="D2658">
        <v>53256.21</v>
      </c>
      <c r="E2658" t="s">
        <v>16</v>
      </c>
      <c r="F2658">
        <v>20</v>
      </c>
      <c r="G2658" t="s">
        <v>17</v>
      </c>
      <c r="H2658" s="1">
        <v>45386</v>
      </c>
      <c r="I2658" s="1">
        <v>45406</v>
      </c>
      <c r="J2658" t="str">
        <f t="shared" si="41"/>
        <v>Apr-2024</v>
      </c>
    </row>
    <row r="2659" spans="1:10">
      <c r="A2659">
        <v>2658</v>
      </c>
      <c r="B2659">
        <v>10337</v>
      </c>
      <c r="C2659" t="s">
        <v>18</v>
      </c>
      <c r="D2659">
        <v>122092.21</v>
      </c>
      <c r="E2659" t="s">
        <v>16</v>
      </c>
      <c r="F2659">
        <v>32</v>
      </c>
      <c r="G2659" t="s">
        <v>20</v>
      </c>
      <c r="H2659" s="1">
        <v>45436</v>
      </c>
      <c r="I2659" s="1">
        <v>45468</v>
      </c>
      <c r="J2659" t="str">
        <f t="shared" si="41"/>
        <v>May-2024</v>
      </c>
    </row>
    <row r="2660" spans="1:10">
      <c r="A2660">
        <v>2659</v>
      </c>
      <c r="B2660">
        <v>15450</v>
      </c>
      <c r="C2660" t="s">
        <v>23</v>
      </c>
      <c r="D2660">
        <v>55227.86</v>
      </c>
      <c r="E2660" t="s">
        <v>24</v>
      </c>
      <c r="G2660" t="s">
        <v>17</v>
      </c>
      <c r="H2660" s="1">
        <v>45363</v>
      </c>
      <c r="J2660" t="str">
        <f t="shared" si="41"/>
        <v>Mar-2024</v>
      </c>
    </row>
    <row r="2661" spans="1:10">
      <c r="A2661">
        <v>2660</v>
      </c>
      <c r="B2661">
        <v>17380</v>
      </c>
      <c r="C2661" t="s">
        <v>23</v>
      </c>
      <c r="D2661">
        <v>70024.12</v>
      </c>
      <c r="E2661" t="s">
        <v>19</v>
      </c>
      <c r="F2661">
        <v>44</v>
      </c>
      <c r="G2661" t="s">
        <v>20</v>
      </c>
      <c r="H2661" s="1">
        <v>45301</v>
      </c>
      <c r="I2661" s="1">
        <v>45345</v>
      </c>
      <c r="J2661" t="str">
        <f t="shared" si="41"/>
        <v>Jan-2024</v>
      </c>
    </row>
    <row r="2662" spans="1:10">
      <c r="A2662">
        <v>2661</v>
      </c>
      <c r="B2662">
        <v>14020</v>
      </c>
      <c r="C2662" t="s">
        <v>18</v>
      </c>
      <c r="D2662">
        <v>91096.15</v>
      </c>
      <c r="E2662" t="s">
        <v>16</v>
      </c>
      <c r="F2662">
        <v>16</v>
      </c>
      <c r="G2662" t="s">
        <v>25</v>
      </c>
      <c r="H2662" s="1">
        <v>45453</v>
      </c>
      <c r="I2662" s="1">
        <v>45469</v>
      </c>
      <c r="J2662" t="str">
        <f t="shared" si="41"/>
        <v>Jun-2024</v>
      </c>
    </row>
    <row r="2663" spans="1:10">
      <c r="A2663">
        <v>2662</v>
      </c>
      <c r="B2663">
        <v>18536</v>
      </c>
      <c r="C2663" t="s">
        <v>23</v>
      </c>
      <c r="D2663">
        <v>108192.07</v>
      </c>
      <c r="E2663" t="s">
        <v>16</v>
      </c>
      <c r="F2663">
        <v>7</v>
      </c>
      <c r="G2663" t="s">
        <v>25</v>
      </c>
      <c r="H2663" s="1">
        <v>45505</v>
      </c>
      <c r="I2663" s="1">
        <v>45512</v>
      </c>
      <c r="J2663" t="str">
        <f t="shared" si="41"/>
        <v>Aug-2024</v>
      </c>
    </row>
    <row r="2664" spans="1:10">
      <c r="A2664">
        <v>2663</v>
      </c>
      <c r="B2664">
        <v>15643</v>
      </c>
      <c r="C2664" t="s">
        <v>23</v>
      </c>
      <c r="D2664">
        <v>92626.34</v>
      </c>
      <c r="E2664" t="s">
        <v>16</v>
      </c>
      <c r="F2664">
        <v>15</v>
      </c>
      <c r="G2664" t="s">
        <v>25</v>
      </c>
      <c r="H2664" s="1">
        <v>45295</v>
      </c>
      <c r="I2664" s="1">
        <v>45310</v>
      </c>
      <c r="J2664" t="str">
        <f t="shared" si="41"/>
        <v>Jan-2024</v>
      </c>
    </row>
    <row r="2665" spans="1:10">
      <c r="A2665">
        <v>2664</v>
      </c>
      <c r="B2665">
        <v>10942</v>
      </c>
      <c r="C2665" t="s">
        <v>23</v>
      </c>
      <c r="D2665">
        <v>101173.13</v>
      </c>
      <c r="E2665" t="s">
        <v>16</v>
      </c>
      <c r="F2665">
        <v>28</v>
      </c>
      <c r="G2665" t="s">
        <v>17</v>
      </c>
      <c r="H2665" s="1">
        <v>45515</v>
      </c>
      <c r="I2665" s="1">
        <v>45543</v>
      </c>
      <c r="J2665" t="str">
        <f t="shared" si="41"/>
        <v>Aug-2024</v>
      </c>
    </row>
    <row r="2666" spans="1:10">
      <c r="A2666">
        <v>2665</v>
      </c>
      <c r="B2666">
        <v>10345</v>
      </c>
      <c r="C2666" t="s">
        <v>23</v>
      </c>
      <c r="D2666">
        <v>63224.81</v>
      </c>
      <c r="E2666" t="s">
        <v>24</v>
      </c>
      <c r="G2666" t="s">
        <v>25</v>
      </c>
      <c r="H2666" s="1">
        <v>45320</v>
      </c>
      <c r="J2666" t="str">
        <f t="shared" si="41"/>
        <v>Jan-2024</v>
      </c>
    </row>
    <row r="2667" spans="1:10">
      <c r="A2667">
        <v>2666</v>
      </c>
      <c r="B2667">
        <v>13894</v>
      </c>
      <c r="C2667" t="s">
        <v>22</v>
      </c>
      <c r="D2667">
        <v>35998.19</v>
      </c>
      <c r="E2667" t="s">
        <v>16</v>
      </c>
      <c r="F2667">
        <v>20</v>
      </c>
      <c r="G2667" t="s">
        <v>21</v>
      </c>
      <c r="H2667" s="1">
        <v>45593</v>
      </c>
      <c r="I2667" s="1">
        <v>45613</v>
      </c>
      <c r="J2667" t="str">
        <f t="shared" si="41"/>
        <v>Oct-2024</v>
      </c>
    </row>
    <row r="2668" spans="1:10">
      <c r="A2668">
        <v>2667</v>
      </c>
      <c r="B2668">
        <v>18516</v>
      </c>
      <c r="C2668" t="s">
        <v>23</v>
      </c>
      <c r="D2668">
        <v>14233.25</v>
      </c>
      <c r="E2668" t="s">
        <v>16</v>
      </c>
      <c r="F2668">
        <v>38</v>
      </c>
      <c r="G2668" t="s">
        <v>20</v>
      </c>
      <c r="H2668" s="1">
        <v>45494</v>
      </c>
      <c r="I2668" s="1">
        <v>45532</v>
      </c>
      <c r="J2668" t="str">
        <f t="shared" si="41"/>
        <v>Jul-2024</v>
      </c>
    </row>
    <row r="2669" spans="1:10">
      <c r="A2669">
        <v>2668</v>
      </c>
      <c r="B2669">
        <v>16610</v>
      </c>
      <c r="C2669" t="s">
        <v>23</v>
      </c>
      <c r="D2669">
        <v>43215.85</v>
      </c>
      <c r="E2669" t="s">
        <v>16</v>
      </c>
      <c r="F2669">
        <v>44</v>
      </c>
      <c r="G2669" t="s">
        <v>20</v>
      </c>
      <c r="H2669" s="1">
        <v>45368</v>
      </c>
      <c r="I2669" s="1">
        <v>45412</v>
      </c>
      <c r="J2669" t="str">
        <f t="shared" si="41"/>
        <v>Mar-2024</v>
      </c>
    </row>
    <row r="2670" spans="1:10">
      <c r="A2670">
        <v>2669</v>
      </c>
      <c r="B2670">
        <v>12138</v>
      </c>
      <c r="C2670" t="s">
        <v>23</v>
      </c>
      <c r="D2670">
        <v>118479.01</v>
      </c>
      <c r="E2670" t="s">
        <v>16</v>
      </c>
      <c r="F2670">
        <v>5</v>
      </c>
      <c r="G2670" t="s">
        <v>21</v>
      </c>
      <c r="H2670" s="1">
        <v>45350</v>
      </c>
      <c r="I2670" s="1">
        <v>45355</v>
      </c>
      <c r="J2670" t="str">
        <f t="shared" si="41"/>
        <v>Feb-2024</v>
      </c>
    </row>
    <row r="2671" spans="1:10">
      <c r="A2671">
        <v>2670</v>
      </c>
      <c r="B2671">
        <v>14389</v>
      </c>
      <c r="C2671" t="s">
        <v>18</v>
      </c>
      <c r="D2671">
        <v>158292.51</v>
      </c>
      <c r="E2671" t="s">
        <v>16</v>
      </c>
      <c r="F2671">
        <v>27</v>
      </c>
      <c r="G2671" t="s">
        <v>17</v>
      </c>
      <c r="H2671" s="1">
        <v>45487</v>
      </c>
      <c r="I2671" s="1">
        <v>45514</v>
      </c>
      <c r="J2671" t="str">
        <f t="shared" si="41"/>
        <v>Jul-2024</v>
      </c>
    </row>
    <row r="2672" spans="1:10">
      <c r="A2672">
        <v>2671</v>
      </c>
      <c r="B2672">
        <v>18715</v>
      </c>
      <c r="C2672" t="s">
        <v>23</v>
      </c>
      <c r="D2672">
        <v>38003.279999999999</v>
      </c>
      <c r="E2672" t="s">
        <v>16</v>
      </c>
      <c r="F2672">
        <v>10</v>
      </c>
      <c r="G2672" t="s">
        <v>17</v>
      </c>
      <c r="H2672" s="1">
        <v>45613</v>
      </c>
      <c r="I2672" s="1">
        <v>45623</v>
      </c>
      <c r="J2672" t="str">
        <f t="shared" si="41"/>
        <v>Nov-2024</v>
      </c>
    </row>
    <row r="2673" spans="1:10">
      <c r="A2673">
        <v>2672</v>
      </c>
      <c r="B2673">
        <v>17826</v>
      </c>
      <c r="C2673" t="s">
        <v>18</v>
      </c>
      <c r="D2673">
        <v>26168.29</v>
      </c>
      <c r="E2673" t="s">
        <v>16</v>
      </c>
      <c r="F2673">
        <v>42</v>
      </c>
      <c r="G2673" t="s">
        <v>20</v>
      </c>
      <c r="H2673" s="1">
        <v>45398</v>
      </c>
      <c r="I2673" s="1">
        <v>45440</v>
      </c>
      <c r="J2673" t="str">
        <f t="shared" si="41"/>
        <v>Apr-2024</v>
      </c>
    </row>
    <row r="2674" spans="1:10">
      <c r="A2674">
        <v>2673</v>
      </c>
      <c r="B2674">
        <v>17816</v>
      </c>
      <c r="C2674" t="s">
        <v>23</v>
      </c>
      <c r="D2674">
        <v>151111.62</v>
      </c>
      <c r="E2674" t="s">
        <v>16</v>
      </c>
      <c r="F2674">
        <v>41</v>
      </c>
      <c r="G2674" t="s">
        <v>25</v>
      </c>
      <c r="H2674" s="1">
        <v>45633</v>
      </c>
      <c r="I2674" s="1">
        <v>45674</v>
      </c>
      <c r="J2674" t="str">
        <f t="shared" si="41"/>
        <v>Dec-2024</v>
      </c>
    </row>
    <row r="2675" spans="1:10">
      <c r="A2675">
        <v>2674</v>
      </c>
      <c r="B2675">
        <v>10258</v>
      </c>
      <c r="C2675" t="s">
        <v>23</v>
      </c>
      <c r="D2675">
        <v>64505.87</v>
      </c>
      <c r="E2675" t="s">
        <v>16</v>
      </c>
      <c r="F2675">
        <v>16</v>
      </c>
      <c r="G2675" t="s">
        <v>17</v>
      </c>
      <c r="H2675" s="1">
        <v>45300</v>
      </c>
      <c r="I2675" s="1">
        <v>45316</v>
      </c>
      <c r="J2675" t="str">
        <f t="shared" si="41"/>
        <v>Jan-2024</v>
      </c>
    </row>
    <row r="2676" spans="1:10">
      <c r="A2676">
        <v>2675</v>
      </c>
      <c r="B2676">
        <v>11110</v>
      </c>
      <c r="C2676" t="s">
        <v>23</v>
      </c>
      <c r="D2676">
        <v>190542.39</v>
      </c>
      <c r="E2676" t="s">
        <v>16</v>
      </c>
      <c r="F2676">
        <v>42</v>
      </c>
      <c r="G2676" t="s">
        <v>17</v>
      </c>
      <c r="H2676" s="1">
        <v>45311</v>
      </c>
      <c r="I2676" s="1">
        <v>45353</v>
      </c>
      <c r="J2676" t="str">
        <f t="shared" si="41"/>
        <v>Jan-2024</v>
      </c>
    </row>
    <row r="2677" spans="1:10">
      <c r="A2677">
        <v>2676</v>
      </c>
      <c r="B2677">
        <v>17325</v>
      </c>
      <c r="C2677" t="s">
        <v>15</v>
      </c>
      <c r="D2677">
        <v>144292</v>
      </c>
      <c r="E2677" t="s">
        <v>16</v>
      </c>
      <c r="F2677">
        <v>38</v>
      </c>
      <c r="G2677" t="s">
        <v>21</v>
      </c>
      <c r="H2677" s="1">
        <v>45440</v>
      </c>
      <c r="I2677" s="1">
        <v>45478</v>
      </c>
      <c r="J2677" t="str">
        <f t="shared" si="41"/>
        <v>May-2024</v>
      </c>
    </row>
    <row r="2678" spans="1:10">
      <c r="A2678">
        <v>2677</v>
      </c>
      <c r="B2678">
        <v>16487</v>
      </c>
      <c r="C2678" t="s">
        <v>15</v>
      </c>
      <c r="D2678">
        <v>68717.429999999993</v>
      </c>
      <c r="E2678" t="s">
        <v>19</v>
      </c>
      <c r="F2678">
        <v>5</v>
      </c>
      <c r="G2678" t="s">
        <v>21</v>
      </c>
      <c r="H2678" s="1">
        <v>45308</v>
      </c>
      <c r="I2678" s="1">
        <v>45313</v>
      </c>
      <c r="J2678" t="str">
        <f t="shared" si="41"/>
        <v>Jan-2024</v>
      </c>
    </row>
    <row r="2679" spans="1:10">
      <c r="A2679">
        <v>2678</v>
      </c>
      <c r="B2679">
        <v>10820</v>
      </c>
      <c r="C2679" t="s">
        <v>23</v>
      </c>
      <c r="D2679">
        <v>61460.84</v>
      </c>
      <c r="E2679" t="s">
        <v>16</v>
      </c>
      <c r="F2679">
        <v>27</v>
      </c>
      <c r="G2679" t="s">
        <v>25</v>
      </c>
      <c r="H2679" s="1">
        <v>45303</v>
      </c>
      <c r="I2679" s="1">
        <v>45330</v>
      </c>
      <c r="J2679" t="str">
        <f t="shared" si="41"/>
        <v>Jan-2024</v>
      </c>
    </row>
    <row r="2680" spans="1:10">
      <c r="A2680">
        <v>2679</v>
      </c>
      <c r="B2680">
        <v>15988</v>
      </c>
      <c r="C2680" t="s">
        <v>18</v>
      </c>
      <c r="D2680">
        <v>107121.19</v>
      </c>
      <c r="E2680" t="s">
        <v>16</v>
      </c>
      <c r="F2680">
        <v>19</v>
      </c>
      <c r="G2680" t="s">
        <v>17</v>
      </c>
      <c r="H2680" s="1">
        <v>45373</v>
      </c>
      <c r="I2680" s="1">
        <v>45392</v>
      </c>
      <c r="J2680" t="str">
        <f t="shared" si="41"/>
        <v>Mar-2024</v>
      </c>
    </row>
    <row r="2681" spans="1:10">
      <c r="A2681">
        <v>2680</v>
      </c>
      <c r="B2681">
        <v>15635</v>
      </c>
      <c r="C2681" t="s">
        <v>22</v>
      </c>
      <c r="D2681">
        <v>20433.21</v>
      </c>
      <c r="E2681" t="s">
        <v>19</v>
      </c>
      <c r="F2681">
        <v>42</v>
      </c>
      <c r="G2681" t="s">
        <v>17</v>
      </c>
      <c r="H2681" s="1">
        <v>45358</v>
      </c>
      <c r="I2681" s="1">
        <v>45400</v>
      </c>
      <c r="J2681" t="str">
        <f t="shared" si="41"/>
        <v>Mar-2024</v>
      </c>
    </row>
    <row r="2682" spans="1:10">
      <c r="A2682">
        <v>2681</v>
      </c>
      <c r="B2682">
        <v>14664</v>
      </c>
      <c r="C2682" t="s">
        <v>23</v>
      </c>
      <c r="D2682">
        <v>27946.92</v>
      </c>
      <c r="E2682" t="s">
        <v>16</v>
      </c>
      <c r="F2682">
        <v>36</v>
      </c>
      <c r="G2682" t="s">
        <v>21</v>
      </c>
      <c r="H2682" s="1">
        <v>45424</v>
      </c>
      <c r="I2682" s="1">
        <v>45460</v>
      </c>
      <c r="J2682" t="str">
        <f t="shared" si="41"/>
        <v>May-2024</v>
      </c>
    </row>
    <row r="2683" spans="1:10">
      <c r="A2683">
        <v>2682</v>
      </c>
      <c r="B2683">
        <v>17093</v>
      </c>
      <c r="C2683" t="s">
        <v>15</v>
      </c>
      <c r="D2683">
        <v>39292.29</v>
      </c>
      <c r="E2683" t="s">
        <v>16</v>
      </c>
      <c r="F2683">
        <v>42</v>
      </c>
      <c r="G2683" t="s">
        <v>17</v>
      </c>
      <c r="H2683" s="1">
        <v>45344</v>
      </c>
      <c r="I2683" s="1">
        <v>45386</v>
      </c>
      <c r="J2683" t="str">
        <f t="shared" si="41"/>
        <v>Feb-2024</v>
      </c>
    </row>
    <row r="2684" spans="1:10">
      <c r="A2684">
        <v>2683</v>
      </c>
      <c r="B2684">
        <v>14604</v>
      </c>
      <c r="C2684" t="s">
        <v>23</v>
      </c>
      <c r="D2684">
        <v>156071.1</v>
      </c>
      <c r="E2684" t="s">
        <v>16</v>
      </c>
      <c r="F2684">
        <v>42</v>
      </c>
      <c r="G2684" t="s">
        <v>20</v>
      </c>
      <c r="H2684" s="1">
        <v>45497</v>
      </c>
      <c r="I2684" s="1">
        <v>45539</v>
      </c>
      <c r="J2684" t="str">
        <f t="shared" si="41"/>
        <v>Jul-2024</v>
      </c>
    </row>
    <row r="2685" spans="1:10">
      <c r="A2685">
        <v>2684</v>
      </c>
      <c r="B2685">
        <v>11563</v>
      </c>
      <c r="C2685" t="s">
        <v>22</v>
      </c>
      <c r="D2685">
        <v>105202.19</v>
      </c>
      <c r="E2685" t="s">
        <v>16</v>
      </c>
      <c r="F2685">
        <v>30</v>
      </c>
      <c r="G2685" t="s">
        <v>21</v>
      </c>
      <c r="H2685" s="1">
        <v>45524</v>
      </c>
      <c r="I2685" s="1">
        <v>45554</v>
      </c>
      <c r="J2685" t="str">
        <f t="shared" si="41"/>
        <v>Aug-2024</v>
      </c>
    </row>
    <row r="2686" spans="1:10">
      <c r="A2686">
        <v>2685</v>
      </c>
      <c r="B2686">
        <v>16343</v>
      </c>
      <c r="C2686" t="s">
        <v>18</v>
      </c>
      <c r="D2686">
        <v>7060.59</v>
      </c>
      <c r="E2686" t="s">
        <v>16</v>
      </c>
      <c r="F2686">
        <v>25</v>
      </c>
      <c r="G2686" t="s">
        <v>25</v>
      </c>
      <c r="H2686" s="1">
        <v>45345</v>
      </c>
      <c r="I2686" s="1">
        <v>45370</v>
      </c>
      <c r="J2686" t="str">
        <f t="shared" si="41"/>
        <v>Feb-2024</v>
      </c>
    </row>
    <row r="2687" spans="1:10">
      <c r="A2687">
        <v>2686</v>
      </c>
      <c r="B2687">
        <v>19399</v>
      </c>
      <c r="C2687" t="s">
        <v>22</v>
      </c>
      <c r="D2687">
        <v>136335.72</v>
      </c>
      <c r="E2687" t="s">
        <v>16</v>
      </c>
      <c r="F2687">
        <v>5</v>
      </c>
      <c r="G2687" t="s">
        <v>21</v>
      </c>
      <c r="H2687" s="1">
        <v>45359</v>
      </c>
      <c r="I2687" s="1">
        <v>45364</v>
      </c>
      <c r="J2687" t="str">
        <f t="shared" si="41"/>
        <v>Mar-2024</v>
      </c>
    </row>
    <row r="2688" spans="1:10">
      <c r="A2688">
        <v>2687</v>
      </c>
      <c r="B2688">
        <v>18500</v>
      </c>
      <c r="C2688" t="s">
        <v>18</v>
      </c>
      <c r="D2688">
        <v>87619.58</v>
      </c>
      <c r="E2688" t="s">
        <v>19</v>
      </c>
      <c r="F2688">
        <v>22</v>
      </c>
      <c r="G2688" t="s">
        <v>17</v>
      </c>
      <c r="H2688" s="1">
        <v>45582</v>
      </c>
      <c r="I2688" s="1">
        <v>45604</v>
      </c>
      <c r="J2688" t="str">
        <f t="shared" si="41"/>
        <v>Oct-2024</v>
      </c>
    </row>
    <row r="2689" spans="1:10">
      <c r="A2689">
        <v>2688</v>
      </c>
      <c r="B2689">
        <v>11839</v>
      </c>
      <c r="C2689" t="s">
        <v>23</v>
      </c>
      <c r="D2689">
        <v>104616.21</v>
      </c>
      <c r="E2689" t="s">
        <v>19</v>
      </c>
      <c r="F2689">
        <v>40</v>
      </c>
      <c r="G2689" t="s">
        <v>25</v>
      </c>
      <c r="H2689" s="1">
        <v>45635</v>
      </c>
      <c r="I2689" s="1">
        <v>45675</v>
      </c>
      <c r="J2689" t="str">
        <f t="shared" si="41"/>
        <v>Dec-2024</v>
      </c>
    </row>
    <row r="2690" spans="1:10">
      <c r="A2690">
        <v>2689</v>
      </c>
      <c r="B2690">
        <v>17675</v>
      </c>
      <c r="C2690" t="s">
        <v>22</v>
      </c>
      <c r="D2690">
        <v>46752.67</v>
      </c>
      <c r="E2690" t="s">
        <v>16</v>
      </c>
      <c r="F2690">
        <v>8</v>
      </c>
      <c r="G2690" t="s">
        <v>21</v>
      </c>
      <c r="H2690" s="1">
        <v>45460</v>
      </c>
      <c r="I2690" s="1">
        <v>45468</v>
      </c>
      <c r="J2690" t="str">
        <f t="shared" si="41"/>
        <v>Jun-2024</v>
      </c>
    </row>
    <row r="2691" spans="1:10">
      <c r="A2691">
        <v>2690</v>
      </c>
      <c r="B2691">
        <v>18001</v>
      </c>
      <c r="C2691" t="s">
        <v>23</v>
      </c>
      <c r="D2691">
        <v>112597.53</v>
      </c>
      <c r="E2691" t="s">
        <v>16</v>
      </c>
      <c r="F2691">
        <v>24</v>
      </c>
      <c r="G2691" t="s">
        <v>20</v>
      </c>
      <c r="H2691" s="1">
        <v>45452</v>
      </c>
      <c r="I2691" s="1">
        <v>45476</v>
      </c>
      <c r="J2691" t="str">
        <f t="shared" ref="J2691:J2754" si="42">TEXT(H2691,"mmm-yyyy")</f>
        <v>Jun-2024</v>
      </c>
    </row>
    <row r="2692" spans="1:10">
      <c r="A2692">
        <v>2691</v>
      </c>
      <c r="B2692">
        <v>19575</v>
      </c>
      <c r="C2692" t="s">
        <v>23</v>
      </c>
      <c r="D2692">
        <v>195934.88</v>
      </c>
      <c r="E2692" t="s">
        <v>16</v>
      </c>
      <c r="F2692">
        <v>41</v>
      </c>
      <c r="G2692" t="s">
        <v>20</v>
      </c>
      <c r="H2692" s="1">
        <v>45306</v>
      </c>
      <c r="I2692" s="1">
        <v>45347</v>
      </c>
      <c r="J2692" t="str">
        <f t="shared" si="42"/>
        <v>Jan-2024</v>
      </c>
    </row>
    <row r="2693" spans="1:10">
      <c r="A2693">
        <v>2692</v>
      </c>
      <c r="B2693">
        <v>12306</v>
      </c>
      <c r="C2693" t="s">
        <v>18</v>
      </c>
      <c r="D2693">
        <v>19321.71</v>
      </c>
      <c r="E2693" t="s">
        <v>16</v>
      </c>
      <c r="F2693">
        <v>22</v>
      </c>
      <c r="G2693" t="s">
        <v>21</v>
      </c>
      <c r="H2693" s="1">
        <v>45482</v>
      </c>
      <c r="I2693" s="1">
        <v>45504</v>
      </c>
      <c r="J2693" t="str">
        <f t="shared" si="42"/>
        <v>Jul-2024</v>
      </c>
    </row>
    <row r="2694" spans="1:10">
      <c r="A2694">
        <v>2693</v>
      </c>
      <c r="B2694">
        <v>19372</v>
      </c>
      <c r="C2694" t="s">
        <v>18</v>
      </c>
      <c r="D2694">
        <v>60363.89</v>
      </c>
      <c r="E2694" t="s">
        <v>16</v>
      </c>
      <c r="F2694">
        <v>2</v>
      </c>
      <c r="G2694" t="s">
        <v>20</v>
      </c>
      <c r="H2694" s="1">
        <v>45306</v>
      </c>
      <c r="I2694" s="1">
        <v>45308</v>
      </c>
      <c r="J2694" t="str">
        <f t="shared" si="42"/>
        <v>Jan-2024</v>
      </c>
    </row>
    <row r="2695" spans="1:10">
      <c r="A2695">
        <v>2694</v>
      </c>
      <c r="B2695">
        <v>15140</v>
      </c>
      <c r="C2695" t="s">
        <v>22</v>
      </c>
      <c r="D2695">
        <v>52384.53</v>
      </c>
      <c r="E2695" t="s">
        <v>19</v>
      </c>
      <c r="F2695">
        <v>42</v>
      </c>
      <c r="G2695" t="s">
        <v>20</v>
      </c>
      <c r="H2695" s="1">
        <v>45578</v>
      </c>
      <c r="I2695" s="1">
        <v>45620</v>
      </c>
      <c r="J2695" t="str">
        <f t="shared" si="42"/>
        <v>Oct-2024</v>
      </c>
    </row>
    <row r="2696" spans="1:10">
      <c r="A2696">
        <v>2695</v>
      </c>
      <c r="B2696">
        <v>12686</v>
      </c>
      <c r="C2696" t="s">
        <v>23</v>
      </c>
      <c r="D2696">
        <v>53467.12</v>
      </c>
      <c r="E2696" t="s">
        <v>16</v>
      </c>
      <c r="F2696">
        <v>26</v>
      </c>
      <c r="G2696" t="s">
        <v>20</v>
      </c>
      <c r="H2696" s="1">
        <v>45654</v>
      </c>
      <c r="I2696" s="1">
        <v>45680</v>
      </c>
      <c r="J2696" t="str">
        <f t="shared" si="42"/>
        <v>Dec-2024</v>
      </c>
    </row>
    <row r="2697" spans="1:10">
      <c r="A2697">
        <v>2696</v>
      </c>
      <c r="B2697">
        <v>10960</v>
      </c>
      <c r="C2697" t="s">
        <v>18</v>
      </c>
      <c r="D2697">
        <v>78847.740000000005</v>
      </c>
      <c r="E2697" t="s">
        <v>24</v>
      </c>
      <c r="G2697" t="s">
        <v>25</v>
      </c>
      <c r="H2697" s="1">
        <v>45301</v>
      </c>
      <c r="J2697" t="str">
        <f t="shared" si="42"/>
        <v>Jan-2024</v>
      </c>
    </row>
    <row r="2698" spans="1:10">
      <c r="A2698">
        <v>2697</v>
      </c>
      <c r="B2698">
        <v>18629</v>
      </c>
      <c r="C2698" t="s">
        <v>18</v>
      </c>
      <c r="D2698">
        <v>164531.41</v>
      </c>
      <c r="E2698" t="s">
        <v>19</v>
      </c>
      <c r="F2698">
        <v>39</v>
      </c>
      <c r="G2698" t="s">
        <v>20</v>
      </c>
      <c r="H2698" s="1">
        <v>45348</v>
      </c>
      <c r="I2698" s="1">
        <v>45387</v>
      </c>
      <c r="J2698" t="str">
        <f t="shared" si="42"/>
        <v>Feb-2024</v>
      </c>
    </row>
    <row r="2699" spans="1:10">
      <c r="A2699">
        <v>2698</v>
      </c>
      <c r="B2699">
        <v>10455</v>
      </c>
      <c r="C2699" t="s">
        <v>23</v>
      </c>
      <c r="D2699">
        <v>183007.44</v>
      </c>
      <c r="E2699" t="s">
        <v>19</v>
      </c>
      <c r="F2699">
        <v>6</v>
      </c>
      <c r="G2699" t="s">
        <v>20</v>
      </c>
      <c r="H2699" s="1">
        <v>45490</v>
      </c>
      <c r="I2699" s="1">
        <v>45496</v>
      </c>
      <c r="J2699" t="str">
        <f t="shared" si="42"/>
        <v>Jul-2024</v>
      </c>
    </row>
    <row r="2700" spans="1:10">
      <c r="A2700">
        <v>2699</v>
      </c>
      <c r="B2700">
        <v>16767</v>
      </c>
      <c r="C2700" t="s">
        <v>23</v>
      </c>
      <c r="D2700">
        <v>44431.94</v>
      </c>
      <c r="E2700" t="s">
        <v>16</v>
      </c>
      <c r="F2700">
        <v>32</v>
      </c>
      <c r="G2700" t="s">
        <v>20</v>
      </c>
      <c r="H2700" s="1">
        <v>45452</v>
      </c>
      <c r="I2700" s="1">
        <v>45484</v>
      </c>
      <c r="J2700" t="str">
        <f t="shared" si="42"/>
        <v>Jun-2024</v>
      </c>
    </row>
    <row r="2701" spans="1:10">
      <c r="A2701">
        <v>2700</v>
      </c>
      <c r="B2701">
        <v>13817</v>
      </c>
      <c r="C2701" t="s">
        <v>23</v>
      </c>
      <c r="D2701">
        <v>110875.24</v>
      </c>
      <c r="E2701" t="s">
        <v>16</v>
      </c>
      <c r="F2701">
        <v>2</v>
      </c>
      <c r="G2701" t="s">
        <v>25</v>
      </c>
      <c r="H2701" s="1">
        <v>45554</v>
      </c>
      <c r="I2701" s="1">
        <v>45556</v>
      </c>
      <c r="J2701" t="str">
        <f t="shared" si="42"/>
        <v>Sep-2024</v>
      </c>
    </row>
    <row r="2702" spans="1:10">
      <c r="A2702">
        <v>2701</v>
      </c>
      <c r="B2702">
        <v>19761</v>
      </c>
      <c r="C2702" t="s">
        <v>23</v>
      </c>
      <c r="D2702">
        <v>129195.3</v>
      </c>
      <c r="E2702" t="s">
        <v>16</v>
      </c>
      <c r="F2702">
        <v>31</v>
      </c>
      <c r="G2702" t="s">
        <v>21</v>
      </c>
      <c r="H2702" s="1">
        <v>45544</v>
      </c>
      <c r="I2702" s="1">
        <v>45575</v>
      </c>
      <c r="J2702" t="str">
        <f t="shared" si="42"/>
        <v>Sep-2024</v>
      </c>
    </row>
    <row r="2703" spans="1:10">
      <c r="A2703">
        <v>2702</v>
      </c>
      <c r="B2703">
        <v>19295</v>
      </c>
      <c r="C2703" t="s">
        <v>22</v>
      </c>
      <c r="D2703">
        <v>106756.36</v>
      </c>
      <c r="E2703" t="s">
        <v>16</v>
      </c>
      <c r="F2703">
        <v>19</v>
      </c>
      <c r="G2703" t="s">
        <v>17</v>
      </c>
      <c r="H2703" s="1">
        <v>45410</v>
      </c>
      <c r="I2703" s="1">
        <v>45429</v>
      </c>
      <c r="J2703" t="str">
        <f t="shared" si="42"/>
        <v>Apr-2024</v>
      </c>
    </row>
    <row r="2704" spans="1:10">
      <c r="A2704">
        <v>2703</v>
      </c>
      <c r="B2704">
        <v>19810</v>
      </c>
      <c r="C2704" t="s">
        <v>18</v>
      </c>
      <c r="D2704">
        <v>89644.9</v>
      </c>
      <c r="E2704" t="s">
        <v>16</v>
      </c>
      <c r="F2704">
        <v>9</v>
      </c>
      <c r="G2704" t="s">
        <v>20</v>
      </c>
      <c r="H2704" s="1">
        <v>45371</v>
      </c>
      <c r="I2704" s="1">
        <v>45380</v>
      </c>
      <c r="J2704" t="str">
        <f t="shared" si="42"/>
        <v>Mar-2024</v>
      </c>
    </row>
    <row r="2705" spans="1:10">
      <c r="A2705">
        <v>2704</v>
      </c>
      <c r="B2705">
        <v>11512</v>
      </c>
      <c r="C2705" t="s">
        <v>18</v>
      </c>
      <c r="D2705">
        <v>42435.22</v>
      </c>
      <c r="E2705" t="s">
        <v>16</v>
      </c>
      <c r="F2705">
        <v>27</v>
      </c>
      <c r="G2705" t="s">
        <v>21</v>
      </c>
      <c r="H2705" s="1">
        <v>45415</v>
      </c>
      <c r="I2705" s="1">
        <v>45442</v>
      </c>
      <c r="J2705" t="str">
        <f t="shared" si="42"/>
        <v>May-2024</v>
      </c>
    </row>
    <row r="2706" spans="1:10">
      <c r="A2706">
        <v>2705</v>
      </c>
      <c r="B2706">
        <v>14738</v>
      </c>
      <c r="C2706" t="s">
        <v>22</v>
      </c>
      <c r="D2706">
        <v>100202.78</v>
      </c>
      <c r="E2706" t="s">
        <v>16</v>
      </c>
      <c r="F2706">
        <v>41</v>
      </c>
      <c r="G2706" t="s">
        <v>20</v>
      </c>
      <c r="H2706" s="1">
        <v>45604</v>
      </c>
      <c r="I2706" s="1">
        <v>45645</v>
      </c>
      <c r="J2706" t="str">
        <f t="shared" si="42"/>
        <v>Nov-2024</v>
      </c>
    </row>
    <row r="2707" spans="1:10">
      <c r="A2707">
        <v>2706</v>
      </c>
      <c r="B2707">
        <v>10391</v>
      </c>
      <c r="C2707" t="s">
        <v>23</v>
      </c>
      <c r="D2707">
        <v>83236.89</v>
      </c>
      <c r="E2707" t="s">
        <v>16</v>
      </c>
      <c r="F2707">
        <v>16</v>
      </c>
      <c r="G2707" t="s">
        <v>25</v>
      </c>
      <c r="H2707" s="1">
        <v>45363</v>
      </c>
      <c r="I2707" s="1">
        <v>45379</v>
      </c>
      <c r="J2707" t="str">
        <f t="shared" si="42"/>
        <v>Mar-2024</v>
      </c>
    </row>
    <row r="2708" spans="1:10">
      <c r="A2708">
        <v>2707</v>
      </c>
      <c r="B2708">
        <v>12621</v>
      </c>
      <c r="C2708" t="s">
        <v>15</v>
      </c>
      <c r="D2708">
        <v>160134.85999999999</v>
      </c>
      <c r="E2708" t="s">
        <v>19</v>
      </c>
      <c r="F2708">
        <v>20</v>
      </c>
      <c r="G2708" t="s">
        <v>21</v>
      </c>
      <c r="H2708" s="1">
        <v>45459</v>
      </c>
      <c r="I2708" s="1">
        <v>45479</v>
      </c>
      <c r="J2708" t="str">
        <f t="shared" si="42"/>
        <v>Jun-2024</v>
      </c>
    </row>
    <row r="2709" spans="1:10">
      <c r="A2709">
        <v>2708</v>
      </c>
      <c r="B2709">
        <v>16176</v>
      </c>
      <c r="C2709" t="s">
        <v>23</v>
      </c>
      <c r="D2709">
        <v>153902.85</v>
      </c>
      <c r="E2709" t="s">
        <v>16</v>
      </c>
      <c r="F2709">
        <v>11</v>
      </c>
      <c r="G2709" t="s">
        <v>25</v>
      </c>
      <c r="H2709" s="1">
        <v>45575</v>
      </c>
      <c r="I2709" s="1">
        <v>45586</v>
      </c>
      <c r="J2709" t="str">
        <f t="shared" si="42"/>
        <v>Oct-2024</v>
      </c>
    </row>
    <row r="2710" spans="1:10">
      <c r="A2710">
        <v>2709</v>
      </c>
      <c r="B2710">
        <v>19112</v>
      </c>
      <c r="C2710" t="s">
        <v>15</v>
      </c>
      <c r="D2710">
        <v>31129.74</v>
      </c>
      <c r="E2710" t="s">
        <v>16</v>
      </c>
      <c r="F2710">
        <v>25</v>
      </c>
      <c r="G2710" t="s">
        <v>20</v>
      </c>
      <c r="H2710" s="1">
        <v>45327</v>
      </c>
      <c r="I2710" s="1">
        <v>45352</v>
      </c>
      <c r="J2710" t="str">
        <f t="shared" si="42"/>
        <v>Feb-2024</v>
      </c>
    </row>
    <row r="2711" spans="1:10">
      <c r="A2711">
        <v>2710</v>
      </c>
      <c r="B2711">
        <v>15719</v>
      </c>
      <c r="C2711" t="s">
        <v>23</v>
      </c>
      <c r="D2711">
        <v>22261.22</v>
      </c>
      <c r="E2711" t="s">
        <v>16</v>
      </c>
      <c r="F2711">
        <v>17</v>
      </c>
      <c r="G2711" t="s">
        <v>20</v>
      </c>
      <c r="H2711" s="1">
        <v>45603</v>
      </c>
      <c r="I2711" s="1">
        <v>45620</v>
      </c>
      <c r="J2711" t="str">
        <f t="shared" si="42"/>
        <v>Nov-2024</v>
      </c>
    </row>
    <row r="2712" spans="1:10">
      <c r="A2712">
        <v>2711</v>
      </c>
      <c r="B2712">
        <v>16041</v>
      </c>
      <c r="C2712" t="s">
        <v>22</v>
      </c>
      <c r="D2712">
        <v>182090.02</v>
      </c>
      <c r="E2712" t="s">
        <v>24</v>
      </c>
      <c r="G2712" t="s">
        <v>25</v>
      </c>
      <c r="H2712" s="1">
        <v>45466</v>
      </c>
      <c r="J2712" t="str">
        <f t="shared" si="42"/>
        <v>Jun-2024</v>
      </c>
    </row>
    <row r="2713" spans="1:10">
      <c r="A2713">
        <v>2712</v>
      </c>
      <c r="B2713">
        <v>13600</v>
      </c>
      <c r="C2713" t="s">
        <v>23</v>
      </c>
      <c r="D2713">
        <v>109424.14</v>
      </c>
      <c r="E2713" t="s">
        <v>16</v>
      </c>
      <c r="F2713">
        <v>32</v>
      </c>
      <c r="G2713" t="s">
        <v>17</v>
      </c>
      <c r="H2713" s="1">
        <v>45490</v>
      </c>
      <c r="I2713" s="1">
        <v>45522</v>
      </c>
      <c r="J2713" t="str">
        <f t="shared" si="42"/>
        <v>Jul-2024</v>
      </c>
    </row>
    <row r="2714" spans="1:10">
      <c r="A2714">
        <v>2713</v>
      </c>
      <c r="B2714">
        <v>15210</v>
      </c>
      <c r="C2714" t="s">
        <v>23</v>
      </c>
      <c r="D2714">
        <v>172271.18</v>
      </c>
      <c r="E2714" t="s">
        <v>16</v>
      </c>
      <c r="F2714">
        <v>17</v>
      </c>
      <c r="G2714" t="s">
        <v>25</v>
      </c>
      <c r="H2714" s="1">
        <v>45407</v>
      </c>
      <c r="I2714" s="1">
        <v>45424</v>
      </c>
      <c r="J2714" t="str">
        <f t="shared" si="42"/>
        <v>Apr-2024</v>
      </c>
    </row>
    <row r="2715" spans="1:10">
      <c r="A2715">
        <v>2714</v>
      </c>
      <c r="B2715">
        <v>14508</v>
      </c>
      <c r="C2715" t="s">
        <v>18</v>
      </c>
      <c r="D2715">
        <v>16339.47</v>
      </c>
      <c r="E2715" t="s">
        <v>16</v>
      </c>
      <c r="F2715">
        <v>17</v>
      </c>
      <c r="G2715" t="s">
        <v>20</v>
      </c>
      <c r="H2715" s="1">
        <v>45606</v>
      </c>
      <c r="I2715" s="1">
        <v>45623</v>
      </c>
      <c r="J2715" t="str">
        <f t="shared" si="42"/>
        <v>Nov-2024</v>
      </c>
    </row>
    <row r="2716" spans="1:10">
      <c r="A2716">
        <v>2715</v>
      </c>
      <c r="B2716">
        <v>16442</v>
      </c>
      <c r="C2716" t="s">
        <v>23</v>
      </c>
      <c r="D2716">
        <v>107670.55</v>
      </c>
      <c r="E2716" t="s">
        <v>24</v>
      </c>
      <c r="G2716" t="s">
        <v>25</v>
      </c>
      <c r="H2716" s="1">
        <v>45511</v>
      </c>
      <c r="J2716" t="str">
        <f t="shared" si="42"/>
        <v>Aug-2024</v>
      </c>
    </row>
    <row r="2717" spans="1:10">
      <c r="A2717">
        <v>2716</v>
      </c>
      <c r="B2717">
        <v>17654</v>
      </c>
      <c r="C2717" t="s">
        <v>18</v>
      </c>
      <c r="D2717">
        <v>110188.17</v>
      </c>
      <c r="E2717" t="s">
        <v>19</v>
      </c>
      <c r="F2717">
        <v>21</v>
      </c>
      <c r="G2717" t="s">
        <v>17</v>
      </c>
      <c r="H2717" s="1">
        <v>45357</v>
      </c>
      <c r="I2717" s="1">
        <v>45378</v>
      </c>
      <c r="J2717" t="str">
        <f t="shared" si="42"/>
        <v>Mar-2024</v>
      </c>
    </row>
    <row r="2718" spans="1:10">
      <c r="A2718">
        <v>2717</v>
      </c>
      <c r="B2718">
        <v>19980</v>
      </c>
      <c r="C2718" t="s">
        <v>23</v>
      </c>
      <c r="D2718">
        <v>172836.9</v>
      </c>
      <c r="E2718" t="s">
        <v>16</v>
      </c>
      <c r="F2718">
        <v>36</v>
      </c>
      <c r="G2718" t="s">
        <v>25</v>
      </c>
      <c r="H2718" s="1">
        <v>45556</v>
      </c>
      <c r="I2718" s="1">
        <v>45592</v>
      </c>
      <c r="J2718" t="str">
        <f t="shared" si="42"/>
        <v>Sep-2024</v>
      </c>
    </row>
    <row r="2719" spans="1:10">
      <c r="A2719">
        <v>2718</v>
      </c>
      <c r="B2719">
        <v>16216</v>
      </c>
      <c r="C2719" t="s">
        <v>18</v>
      </c>
      <c r="D2719">
        <v>24033.95</v>
      </c>
      <c r="E2719" t="s">
        <v>16</v>
      </c>
      <c r="F2719">
        <v>10</v>
      </c>
      <c r="G2719" t="s">
        <v>17</v>
      </c>
      <c r="H2719" s="1">
        <v>45425</v>
      </c>
      <c r="I2719" s="1">
        <v>45435</v>
      </c>
      <c r="J2719" t="str">
        <f t="shared" si="42"/>
        <v>May-2024</v>
      </c>
    </row>
    <row r="2720" spans="1:10">
      <c r="A2720">
        <v>2719</v>
      </c>
      <c r="B2720">
        <v>17885</v>
      </c>
      <c r="C2720" t="s">
        <v>23</v>
      </c>
      <c r="D2720">
        <v>51886.879999999997</v>
      </c>
      <c r="E2720" t="s">
        <v>16</v>
      </c>
      <c r="F2720">
        <v>41</v>
      </c>
      <c r="G2720" t="s">
        <v>17</v>
      </c>
      <c r="H2720" s="1">
        <v>45410</v>
      </c>
      <c r="I2720" s="1">
        <v>45451</v>
      </c>
      <c r="J2720" t="str">
        <f t="shared" si="42"/>
        <v>Apr-2024</v>
      </c>
    </row>
    <row r="2721" spans="1:10">
      <c r="A2721">
        <v>2720</v>
      </c>
      <c r="B2721">
        <v>10260</v>
      </c>
      <c r="C2721" t="s">
        <v>23</v>
      </c>
      <c r="D2721">
        <v>84274.97</v>
      </c>
      <c r="E2721" t="s">
        <v>16</v>
      </c>
      <c r="F2721">
        <v>11</v>
      </c>
      <c r="G2721" t="s">
        <v>25</v>
      </c>
      <c r="H2721" s="1">
        <v>45413</v>
      </c>
      <c r="I2721" s="1">
        <v>45424</v>
      </c>
      <c r="J2721" t="str">
        <f t="shared" si="42"/>
        <v>May-2024</v>
      </c>
    </row>
    <row r="2722" spans="1:10">
      <c r="A2722">
        <v>2721</v>
      </c>
      <c r="B2722">
        <v>16833</v>
      </c>
      <c r="C2722" t="s">
        <v>23</v>
      </c>
      <c r="D2722">
        <v>173839.09</v>
      </c>
      <c r="E2722" t="s">
        <v>16</v>
      </c>
      <c r="F2722">
        <v>19</v>
      </c>
      <c r="G2722" t="s">
        <v>25</v>
      </c>
      <c r="H2722" s="1">
        <v>45612</v>
      </c>
      <c r="I2722" s="1">
        <v>45631</v>
      </c>
      <c r="J2722" t="str">
        <f t="shared" si="42"/>
        <v>Nov-2024</v>
      </c>
    </row>
    <row r="2723" spans="1:10">
      <c r="A2723">
        <v>2722</v>
      </c>
      <c r="B2723">
        <v>19527</v>
      </c>
      <c r="C2723" t="s">
        <v>23</v>
      </c>
      <c r="D2723">
        <v>188082.25</v>
      </c>
      <c r="E2723" t="s">
        <v>19</v>
      </c>
      <c r="F2723">
        <v>16</v>
      </c>
      <c r="G2723" t="s">
        <v>21</v>
      </c>
      <c r="H2723" s="1">
        <v>45378</v>
      </c>
      <c r="I2723" s="1">
        <v>45394</v>
      </c>
      <c r="J2723" t="str">
        <f t="shared" si="42"/>
        <v>Mar-2024</v>
      </c>
    </row>
    <row r="2724" spans="1:10">
      <c r="A2724">
        <v>2723</v>
      </c>
      <c r="B2724">
        <v>15944</v>
      </c>
      <c r="C2724" t="s">
        <v>23</v>
      </c>
      <c r="D2724">
        <v>198581.3</v>
      </c>
      <c r="E2724" t="s">
        <v>24</v>
      </c>
      <c r="G2724" t="s">
        <v>20</v>
      </c>
      <c r="H2724" s="1">
        <v>45580</v>
      </c>
      <c r="J2724" t="str">
        <f t="shared" si="42"/>
        <v>Oct-2024</v>
      </c>
    </row>
    <row r="2725" spans="1:10">
      <c r="A2725">
        <v>2724</v>
      </c>
      <c r="B2725">
        <v>16134</v>
      </c>
      <c r="C2725" t="s">
        <v>23</v>
      </c>
      <c r="D2725">
        <v>192042.73</v>
      </c>
      <c r="E2725" t="s">
        <v>16</v>
      </c>
      <c r="F2725">
        <v>33</v>
      </c>
      <c r="G2725" t="s">
        <v>17</v>
      </c>
      <c r="H2725" s="1">
        <v>45428</v>
      </c>
      <c r="I2725" s="1">
        <v>45461</v>
      </c>
      <c r="J2725" t="str">
        <f t="shared" si="42"/>
        <v>May-2024</v>
      </c>
    </row>
    <row r="2726" spans="1:10">
      <c r="A2726">
        <v>2725</v>
      </c>
      <c r="B2726">
        <v>16875</v>
      </c>
      <c r="C2726" t="s">
        <v>23</v>
      </c>
      <c r="D2726">
        <v>6158.64</v>
      </c>
      <c r="E2726" t="s">
        <v>16</v>
      </c>
      <c r="F2726">
        <v>41</v>
      </c>
      <c r="G2726" t="s">
        <v>21</v>
      </c>
      <c r="H2726" s="1">
        <v>45344</v>
      </c>
      <c r="I2726" s="1">
        <v>45385</v>
      </c>
      <c r="J2726" t="str">
        <f t="shared" si="42"/>
        <v>Feb-2024</v>
      </c>
    </row>
    <row r="2727" spans="1:10">
      <c r="A2727">
        <v>2726</v>
      </c>
      <c r="B2727">
        <v>16828</v>
      </c>
      <c r="C2727" t="s">
        <v>23</v>
      </c>
      <c r="D2727">
        <v>14303.13</v>
      </c>
      <c r="E2727" t="s">
        <v>16</v>
      </c>
      <c r="F2727">
        <v>28</v>
      </c>
      <c r="G2727" t="s">
        <v>25</v>
      </c>
      <c r="H2727" s="1">
        <v>45496</v>
      </c>
      <c r="I2727" s="1">
        <v>45524</v>
      </c>
      <c r="J2727" t="str">
        <f t="shared" si="42"/>
        <v>Jul-2024</v>
      </c>
    </row>
    <row r="2728" spans="1:10">
      <c r="A2728">
        <v>2727</v>
      </c>
      <c r="B2728">
        <v>10334</v>
      </c>
      <c r="C2728" t="s">
        <v>18</v>
      </c>
      <c r="D2728">
        <v>33783.33</v>
      </c>
      <c r="E2728" t="s">
        <v>19</v>
      </c>
      <c r="F2728">
        <v>28</v>
      </c>
      <c r="G2728" t="s">
        <v>20</v>
      </c>
      <c r="H2728" s="1">
        <v>45639</v>
      </c>
      <c r="I2728" s="1">
        <v>45667</v>
      </c>
      <c r="J2728" t="str">
        <f t="shared" si="42"/>
        <v>Dec-2024</v>
      </c>
    </row>
    <row r="2729" spans="1:10">
      <c r="A2729">
        <v>2728</v>
      </c>
      <c r="B2729">
        <v>17669</v>
      </c>
      <c r="C2729" t="s">
        <v>15</v>
      </c>
      <c r="D2729">
        <v>73028.11</v>
      </c>
      <c r="E2729" t="s">
        <v>19</v>
      </c>
      <c r="F2729">
        <v>20</v>
      </c>
      <c r="G2729" t="s">
        <v>21</v>
      </c>
      <c r="H2729" s="1">
        <v>45342</v>
      </c>
      <c r="I2729" s="1">
        <v>45362</v>
      </c>
      <c r="J2729" t="str">
        <f t="shared" si="42"/>
        <v>Feb-2024</v>
      </c>
    </row>
    <row r="2730" spans="1:10">
      <c r="A2730">
        <v>2729</v>
      </c>
      <c r="B2730">
        <v>12779</v>
      </c>
      <c r="C2730" t="s">
        <v>23</v>
      </c>
      <c r="D2730">
        <v>166834.01999999999</v>
      </c>
      <c r="E2730" t="s">
        <v>16</v>
      </c>
      <c r="F2730">
        <v>11</v>
      </c>
      <c r="G2730" t="s">
        <v>17</v>
      </c>
      <c r="H2730" s="1">
        <v>45618</v>
      </c>
      <c r="I2730" s="1">
        <v>45629</v>
      </c>
      <c r="J2730" t="str">
        <f t="shared" si="42"/>
        <v>Nov-2024</v>
      </c>
    </row>
    <row r="2731" spans="1:10">
      <c r="A2731">
        <v>2730</v>
      </c>
      <c r="B2731">
        <v>18995</v>
      </c>
      <c r="C2731" t="s">
        <v>18</v>
      </c>
      <c r="D2731">
        <v>179067.96</v>
      </c>
      <c r="E2731" t="s">
        <v>16</v>
      </c>
      <c r="F2731">
        <v>7</v>
      </c>
      <c r="G2731" t="s">
        <v>21</v>
      </c>
      <c r="H2731" s="1">
        <v>45331</v>
      </c>
      <c r="I2731" s="1">
        <v>45338</v>
      </c>
      <c r="J2731" t="str">
        <f t="shared" si="42"/>
        <v>Feb-2024</v>
      </c>
    </row>
    <row r="2732" spans="1:10">
      <c r="A2732">
        <v>2731</v>
      </c>
      <c r="B2732">
        <v>17328</v>
      </c>
      <c r="C2732" t="s">
        <v>18</v>
      </c>
      <c r="D2732">
        <v>41432.71</v>
      </c>
      <c r="E2732" t="s">
        <v>16</v>
      </c>
      <c r="F2732">
        <v>25</v>
      </c>
      <c r="G2732" t="s">
        <v>17</v>
      </c>
      <c r="H2732" s="1">
        <v>45541</v>
      </c>
      <c r="I2732" s="1">
        <v>45566</v>
      </c>
      <c r="J2732" t="str">
        <f t="shared" si="42"/>
        <v>Sep-2024</v>
      </c>
    </row>
    <row r="2733" spans="1:10">
      <c r="A2733">
        <v>2732</v>
      </c>
      <c r="B2733">
        <v>12437</v>
      </c>
      <c r="C2733" t="s">
        <v>23</v>
      </c>
      <c r="D2733">
        <v>125834.51</v>
      </c>
      <c r="E2733" t="s">
        <v>16</v>
      </c>
      <c r="F2733">
        <v>10</v>
      </c>
      <c r="G2733" t="s">
        <v>25</v>
      </c>
      <c r="H2733" s="1">
        <v>45509</v>
      </c>
      <c r="I2733" s="1">
        <v>45519</v>
      </c>
      <c r="J2733" t="str">
        <f t="shared" si="42"/>
        <v>Aug-2024</v>
      </c>
    </row>
    <row r="2734" spans="1:10">
      <c r="A2734">
        <v>2733</v>
      </c>
      <c r="B2734">
        <v>12807</v>
      </c>
      <c r="C2734" t="s">
        <v>18</v>
      </c>
      <c r="D2734">
        <v>183885.59</v>
      </c>
      <c r="E2734" t="s">
        <v>19</v>
      </c>
      <c r="F2734">
        <v>28</v>
      </c>
      <c r="G2734" t="s">
        <v>20</v>
      </c>
      <c r="H2734" s="1">
        <v>45470</v>
      </c>
      <c r="I2734" s="1">
        <v>45498</v>
      </c>
      <c r="J2734" t="str">
        <f t="shared" si="42"/>
        <v>Jun-2024</v>
      </c>
    </row>
    <row r="2735" spans="1:10">
      <c r="A2735">
        <v>2734</v>
      </c>
      <c r="B2735">
        <v>15190</v>
      </c>
      <c r="C2735" t="s">
        <v>23</v>
      </c>
      <c r="D2735">
        <v>95427.69</v>
      </c>
      <c r="E2735" t="s">
        <v>16</v>
      </c>
      <c r="F2735">
        <v>8</v>
      </c>
      <c r="G2735" t="s">
        <v>20</v>
      </c>
      <c r="H2735" s="1">
        <v>45330</v>
      </c>
      <c r="I2735" s="1">
        <v>45338</v>
      </c>
      <c r="J2735" t="str">
        <f t="shared" si="42"/>
        <v>Feb-2024</v>
      </c>
    </row>
    <row r="2736" spans="1:10">
      <c r="A2736">
        <v>2735</v>
      </c>
      <c r="B2736">
        <v>19132</v>
      </c>
      <c r="C2736" t="s">
        <v>18</v>
      </c>
      <c r="D2736">
        <v>25191</v>
      </c>
      <c r="E2736" t="s">
        <v>19</v>
      </c>
      <c r="F2736">
        <v>7</v>
      </c>
      <c r="G2736" t="s">
        <v>20</v>
      </c>
      <c r="H2736" s="1">
        <v>45474</v>
      </c>
      <c r="I2736" s="1">
        <v>45481</v>
      </c>
      <c r="J2736" t="str">
        <f t="shared" si="42"/>
        <v>Jul-2024</v>
      </c>
    </row>
    <row r="2737" spans="1:10">
      <c r="A2737">
        <v>2736</v>
      </c>
      <c r="B2737">
        <v>13163</v>
      </c>
      <c r="C2737" t="s">
        <v>23</v>
      </c>
      <c r="D2737">
        <v>94273.66</v>
      </c>
      <c r="E2737" t="s">
        <v>16</v>
      </c>
      <c r="F2737">
        <v>34</v>
      </c>
      <c r="G2737" t="s">
        <v>25</v>
      </c>
      <c r="H2737" s="1">
        <v>45515</v>
      </c>
      <c r="I2737" s="1">
        <v>45549</v>
      </c>
      <c r="J2737" t="str">
        <f t="shared" si="42"/>
        <v>Aug-2024</v>
      </c>
    </row>
    <row r="2738" spans="1:10">
      <c r="A2738">
        <v>2737</v>
      </c>
      <c r="B2738">
        <v>19094</v>
      </c>
      <c r="C2738" t="s">
        <v>18</v>
      </c>
      <c r="D2738">
        <v>78280.009999999995</v>
      </c>
      <c r="E2738" t="s">
        <v>19</v>
      </c>
      <c r="F2738">
        <v>22</v>
      </c>
      <c r="G2738" t="s">
        <v>17</v>
      </c>
      <c r="H2738" s="1">
        <v>45455</v>
      </c>
      <c r="I2738" s="1">
        <v>45477</v>
      </c>
      <c r="J2738" t="str">
        <f t="shared" si="42"/>
        <v>Jun-2024</v>
      </c>
    </row>
    <row r="2739" spans="1:10">
      <c r="A2739">
        <v>2738</v>
      </c>
      <c r="B2739">
        <v>17488</v>
      </c>
      <c r="C2739" t="s">
        <v>18</v>
      </c>
      <c r="D2739">
        <v>117643.31</v>
      </c>
      <c r="E2739" t="s">
        <v>16</v>
      </c>
      <c r="F2739">
        <v>39</v>
      </c>
      <c r="G2739" t="s">
        <v>25</v>
      </c>
      <c r="H2739" s="1">
        <v>45525</v>
      </c>
      <c r="I2739" s="1">
        <v>45564</v>
      </c>
      <c r="J2739" t="str">
        <f t="shared" si="42"/>
        <v>Aug-2024</v>
      </c>
    </row>
    <row r="2740" spans="1:10">
      <c r="A2740">
        <v>2739</v>
      </c>
      <c r="B2740">
        <v>19460</v>
      </c>
      <c r="C2740" t="s">
        <v>23</v>
      </c>
      <c r="D2740">
        <v>90538.44</v>
      </c>
      <c r="E2740" t="s">
        <v>19</v>
      </c>
      <c r="F2740">
        <v>18</v>
      </c>
      <c r="G2740" t="s">
        <v>20</v>
      </c>
      <c r="H2740" s="1">
        <v>45484</v>
      </c>
      <c r="I2740" s="1">
        <v>45502</v>
      </c>
      <c r="J2740" t="str">
        <f t="shared" si="42"/>
        <v>Jul-2024</v>
      </c>
    </row>
    <row r="2741" spans="1:10">
      <c r="A2741">
        <v>2740</v>
      </c>
      <c r="B2741">
        <v>10023</v>
      </c>
      <c r="C2741" t="s">
        <v>23</v>
      </c>
      <c r="D2741">
        <v>8382.4599999999991</v>
      </c>
      <c r="E2741" t="s">
        <v>16</v>
      </c>
      <c r="F2741">
        <v>32</v>
      </c>
      <c r="G2741" t="s">
        <v>25</v>
      </c>
      <c r="H2741" s="1">
        <v>45376</v>
      </c>
      <c r="I2741" s="1">
        <v>45408</v>
      </c>
      <c r="J2741" t="str">
        <f t="shared" si="42"/>
        <v>Mar-2024</v>
      </c>
    </row>
    <row r="2742" spans="1:10">
      <c r="A2742">
        <v>2741</v>
      </c>
      <c r="B2742">
        <v>14652</v>
      </c>
      <c r="C2742" t="s">
        <v>22</v>
      </c>
      <c r="D2742">
        <v>198829.56</v>
      </c>
      <c r="E2742" t="s">
        <v>16</v>
      </c>
      <c r="F2742">
        <v>38</v>
      </c>
      <c r="G2742" t="s">
        <v>25</v>
      </c>
      <c r="H2742" s="1">
        <v>45534</v>
      </c>
      <c r="I2742" s="1">
        <v>45572</v>
      </c>
      <c r="J2742" t="str">
        <f t="shared" si="42"/>
        <v>Aug-2024</v>
      </c>
    </row>
    <row r="2743" spans="1:10">
      <c r="A2743">
        <v>2742</v>
      </c>
      <c r="B2743">
        <v>12748</v>
      </c>
      <c r="C2743" t="s">
        <v>23</v>
      </c>
      <c r="D2743">
        <v>110990.35</v>
      </c>
      <c r="E2743" t="s">
        <v>16</v>
      </c>
      <c r="F2743">
        <v>12</v>
      </c>
      <c r="G2743" t="s">
        <v>25</v>
      </c>
      <c r="H2743" s="1">
        <v>45464</v>
      </c>
      <c r="I2743" s="1">
        <v>45476</v>
      </c>
      <c r="J2743" t="str">
        <f t="shared" si="42"/>
        <v>Jun-2024</v>
      </c>
    </row>
    <row r="2744" spans="1:10">
      <c r="A2744">
        <v>2743</v>
      </c>
      <c r="B2744">
        <v>12450</v>
      </c>
      <c r="C2744" t="s">
        <v>18</v>
      </c>
      <c r="D2744">
        <v>97358</v>
      </c>
      <c r="E2744" t="s">
        <v>16</v>
      </c>
      <c r="F2744">
        <v>29</v>
      </c>
      <c r="G2744" t="s">
        <v>17</v>
      </c>
      <c r="H2744" s="1">
        <v>45328</v>
      </c>
      <c r="I2744" s="1">
        <v>45357</v>
      </c>
      <c r="J2744" t="str">
        <f t="shared" si="42"/>
        <v>Feb-2024</v>
      </c>
    </row>
    <row r="2745" spans="1:10">
      <c r="A2745">
        <v>2744</v>
      </c>
      <c r="B2745">
        <v>19588</v>
      </c>
      <c r="C2745" t="s">
        <v>22</v>
      </c>
      <c r="D2745">
        <v>191150.39</v>
      </c>
      <c r="E2745" t="s">
        <v>16</v>
      </c>
      <c r="F2745">
        <v>6</v>
      </c>
      <c r="G2745" t="s">
        <v>21</v>
      </c>
      <c r="H2745" s="1">
        <v>45378</v>
      </c>
      <c r="I2745" s="1">
        <v>45384</v>
      </c>
      <c r="J2745" t="str">
        <f t="shared" si="42"/>
        <v>Mar-2024</v>
      </c>
    </row>
    <row r="2746" spans="1:10">
      <c r="A2746">
        <v>2745</v>
      </c>
      <c r="B2746">
        <v>18095</v>
      </c>
      <c r="C2746" t="s">
        <v>18</v>
      </c>
      <c r="D2746">
        <v>35392.769999999997</v>
      </c>
      <c r="E2746" t="s">
        <v>16</v>
      </c>
      <c r="F2746">
        <v>13</v>
      </c>
      <c r="G2746" t="s">
        <v>21</v>
      </c>
      <c r="H2746" s="1">
        <v>45420</v>
      </c>
      <c r="I2746" s="1">
        <v>45433</v>
      </c>
      <c r="J2746" t="str">
        <f t="shared" si="42"/>
        <v>May-2024</v>
      </c>
    </row>
    <row r="2747" spans="1:10">
      <c r="A2747">
        <v>2746</v>
      </c>
      <c r="B2747">
        <v>13357</v>
      </c>
      <c r="C2747" t="s">
        <v>18</v>
      </c>
      <c r="D2747">
        <v>41901.33</v>
      </c>
      <c r="E2747" t="s">
        <v>24</v>
      </c>
      <c r="G2747" t="s">
        <v>25</v>
      </c>
      <c r="H2747" s="1">
        <v>45485</v>
      </c>
      <c r="J2747" t="str">
        <f t="shared" si="42"/>
        <v>Jul-2024</v>
      </c>
    </row>
    <row r="2748" spans="1:10">
      <c r="A2748">
        <v>2747</v>
      </c>
      <c r="B2748">
        <v>18095</v>
      </c>
      <c r="C2748" t="s">
        <v>18</v>
      </c>
      <c r="D2748">
        <v>162562.88</v>
      </c>
      <c r="E2748" t="s">
        <v>16</v>
      </c>
      <c r="F2748">
        <v>42</v>
      </c>
      <c r="G2748" t="s">
        <v>21</v>
      </c>
      <c r="H2748" s="1">
        <v>45610</v>
      </c>
      <c r="I2748" s="1">
        <v>45652</v>
      </c>
      <c r="J2748" t="str">
        <f t="shared" si="42"/>
        <v>Nov-2024</v>
      </c>
    </row>
    <row r="2749" spans="1:10">
      <c r="A2749">
        <v>2748</v>
      </c>
      <c r="B2749">
        <v>18083</v>
      </c>
      <c r="C2749" t="s">
        <v>15</v>
      </c>
      <c r="D2749">
        <v>55862.06</v>
      </c>
      <c r="E2749" t="s">
        <v>19</v>
      </c>
      <c r="F2749">
        <v>39</v>
      </c>
      <c r="G2749" t="s">
        <v>21</v>
      </c>
      <c r="H2749" s="1">
        <v>45334</v>
      </c>
      <c r="I2749" s="1">
        <v>45373</v>
      </c>
      <c r="J2749" t="str">
        <f t="shared" si="42"/>
        <v>Feb-2024</v>
      </c>
    </row>
    <row r="2750" spans="1:10">
      <c r="A2750">
        <v>2749</v>
      </c>
      <c r="B2750">
        <v>15972</v>
      </c>
      <c r="C2750" t="s">
        <v>23</v>
      </c>
      <c r="D2750">
        <v>160849.29</v>
      </c>
      <c r="E2750" t="s">
        <v>24</v>
      </c>
      <c r="G2750" t="s">
        <v>25</v>
      </c>
      <c r="H2750" s="1">
        <v>45647</v>
      </c>
      <c r="J2750" t="str">
        <f t="shared" si="42"/>
        <v>Dec-2024</v>
      </c>
    </row>
    <row r="2751" spans="1:10">
      <c r="A2751">
        <v>2750</v>
      </c>
      <c r="B2751">
        <v>19949</v>
      </c>
      <c r="C2751" t="s">
        <v>23</v>
      </c>
      <c r="D2751">
        <v>57949.03</v>
      </c>
      <c r="E2751" t="s">
        <v>16</v>
      </c>
      <c r="F2751">
        <v>27</v>
      </c>
      <c r="G2751" t="s">
        <v>25</v>
      </c>
      <c r="H2751" s="1">
        <v>45450</v>
      </c>
      <c r="I2751" s="1">
        <v>45477</v>
      </c>
      <c r="J2751" t="str">
        <f t="shared" si="42"/>
        <v>Jun-2024</v>
      </c>
    </row>
    <row r="2752" spans="1:10">
      <c r="A2752">
        <v>2751</v>
      </c>
      <c r="B2752">
        <v>18155</v>
      </c>
      <c r="C2752" t="s">
        <v>23</v>
      </c>
      <c r="D2752">
        <v>11471.59</v>
      </c>
      <c r="E2752" t="s">
        <v>16</v>
      </c>
      <c r="F2752">
        <v>3</v>
      </c>
      <c r="G2752" t="s">
        <v>20</v>
      </c>
      <c r="H2752" s="1">
        <v>45396</v>
      </c>
      <c r="I2752" s="1">
        <v>45399</v>
      </c>
      <c r="J2752" t="str">
        <f t="shared" si="42"/>
        <v>Apr-2024</v>
      </c>
    </row>
    <row r="2753" spans="1:10">
      <c r="A2753">
        <v>2752</v>
      </c>
      <c r="B2753">
        <v>17069</v>
      </c>
      <c r="C2753" t="s">
        <v>22</v>
      </c>
      <c r="D2753">
        <v>105817.87</v>
      </c>
      <c r="E2753" t="s">
        <v>16</v>
      </c>
      <c r="F2753">
        <v>13</v>
      </c>
      <c r="G2753" t="s">
        <v>21</v>
      </c>
      <c r="H2753" s="1">
        <v>45520</v>
      </c>
      <c r="I2753" s="1">
        <v>45533</v>
      </c>
      <c r="J2753" t="str">
        <f t="shared" si="42"/>
        <v>Aug-2024</v>
      </c>
    </row>
    <row r="2754" spans="1:10">
      <c r="A2754">
        <v>2753</v>
      </c>
      <c r="B2754">
        <v>15338</v>
      </c>
      <c r="C2754" t="s">
        <v>18</v>
      </c>
      <c r="D2754">
        <v>43353.85</v>
      </c>
      <c r="E2754" t="s">
        <v>16</v>
      </c>
      <c r="F2754">
        <v>41</v>
      </c>
      <c r="G2754" t="s">
        <v>17</v>
      </c>
      <c r="H2754" s="1">
        <v>45508</v>
      </c>
      <c r="I2754" s="1">
        <v>45549</v>
      </c>
      <c r="J2754" t="str">
        <f t="shared" si="42"/>
        <v>Aug-2024</v>
      </c>
    </row>
    <row r="2755" spans="1:10">
      <c r="A2755">
        <v>2754</v>
      </c>
      <c r="B2755">
        <v>12532</v>
      </c>
      <c r="C2755" t="s">
        <v>23</v>
      </c>
      <c r="D2755">
        <v>152780.03</v>
      </c>
      <c r="E2755" t="s">
        <v>16</v>
      </c>
      <c r="F2755">
        <v>3</v>
      </c>
      <c r="G2755" t="s">
        <v>25</v>
      </c>
      <c r="H2755" s="1">
        <v>45555</v>
      </c>
      <c r="I2755" s="1">
        <v>45558</v>
      </c>
      <c r="J2755" t="str">
        <f t="shared" ref="J2755:J2818" si="43">TEXT(H2755,"mmm-yyyy")</f>
        <v>Sep-2024</v>
      </c>
    </row>
    <row r="2756" spans="1:10">
      <c r="A2756">
        <v>2755</v>
      </c>
      <c r="B2756">
        <v>15337</v>
      </c>
      <c r="C2756" t="s">
        <v>15</v>
      </c>
      <c r="D2756">
        <v>130033.93</v>
      </c>
      <c r="E2756" t="s">
        <v>24</v>
      </c>
      <c r="G2756" t="s">
        <v>20</v>
      </c>
      <c r="H2756" s="1">
        <v>45340</v>
      </c>
      <c r="J2756" t="str">
        <f t="shared" si="43"/>
        <v>Feb-2024</v>
      </c>
    </row>
    <row r="2757" spans="1:10">
      <c r="A2757">
        <v>2756</v>
      </c>
      <c r="B2757">
        <v>13773</v>
      </c>
      <c r="C2757" t="s">
        <v>23</v>
      </c>
      <c r="D2757">
        <v>185102.52</v>
      </c>
      <c r="E2757" t="s">
        <v>16</v>
      </c>
      <c r="F2757">
        <v>17</v>
      </c>
      <c r="G2757" t="s">
        <v>17</v>
      </c>
      <c r="H2757" s="1">
        <v>45643</v>
      </c>
      <c r="I2757" s="1">
        <v>45660</v>
      </c>
      <c r="J2757" t="str">
        <f t="shared" si="43"/>
        <v>Dec-2024</v>
      </c>
    </row>
    <row r="2758" spans="1:10">
      <c r="A2758">
        <v>2757</v>
      </c>
      <c r="B2758">
        <v>16465</v>
      </c>
      <c r="C2758" t="s">
        <v>23</v>
      </c>
      <c r="D2758">
        <v>157682.73000000001</v>
      </c>
      <c r="E2758" t="s">
        <v>16</v>
      </c>
      <c r="F2758">
        <v>31</v>
      </c>
      <c r="G2758" t="s">
        <v>21</v>
      </c>
      <c r="H2758" s="1">
        <v>45414</v>
      </c>
      <c r="I2758" s="1">
        <v>45445</v>
      </c>
      <c r="J2758" t="str">
        <f t="shared" si="43"/>
        <v>May-2024</v>
      </c>
    </row>
    <row r="2759" spans="1:10">
      <c r="A2759">
        <v>2758</v>
      </c>
      <c r="B2759">
        <v>14661</v>
      </c>
      <c r="C2759" t="s">
        <v>18</v>
      </c>
      <c r="D2759">
        <v>40251.31</v>
      </c>
      <c r="E2759" t="s">
        <v>16</v>
      </c>
      <c r="F2759">
        <v>37</v>
      </c>
      <c r="G2759" t="s">
        <v>20</v>
      </c>
      <c r="H2759" s="1">
        <v>45594</v>
      </c>
      <c r="I2759" s="1">
        <v>45631</v>
      </c>
      <c r="J2759" t="str">
        <f t="shared" si="43"/>
        <v>Oct-2024</v>
      </c>
    </row>
    <row r="2760" spans="1:10">
      <c r="A2760">
        <v>2759</v>
      </c>
      <c r="B2760">
        <v>12057</v>
      </c>
      <c r="C2760" t="s">
        <v>23</v>
      </c>
      <c r="D2760">
        <v>161030.85999999999</v>
      </c>
      <c r="E2760" t="s">
        <v>19</v>
      </c>
      <c r="F2760">
        <v>5</v>
      </c>
      <c r="G2760" t="s">
        <v>25</v>
      </c>
      <c r="H2760" s="1">
        <v>45316</v>
      </c>
      <c r="I2760" s="1">
        <v>45321</v>
      </c>
      <c r="J2760" t="str">
        <f t="shared" si="43"/>
        <v>Jan-2024</v>
      </c>
    </row>
    <row r="2761" spans="1:10">
      <c r="A2761">
        <v>2760</v>
      </c>
      <c r="B2761">
        <v>10677</v>
      </c>
      <c r="C2761" t="s">
        <v>15</v>
      </c>
      <c r="D2761">
        <v>130138.72</v>
      </c>
      <c r="E2761" t="s">
        <v>16</v>
      </c>
      <c r="F2761">
        <v>12</v>
      </c>
      <c r="G2761" t="s">
        <v>17</v>
      </c>
      <c r="H2761" s="1">
        <v>45422</v>
      </c>
      <c r="I2761" s="1">
        <v>45434</v>
      </c>
      <c r="J2761" t="str">
        <f t="shared" si="43"/>
        <v>May-2024</v>
      </c>
    </row>
    <row r="2762" spans="1:10">
      <c r="A2762">
        <v>2761</v>
      </c>
      <c r="B2762">
        <v>12974</v>
      </c>
      <c r="C2762" t="s">
        <v>23</v>
      </c>
      <c r="D2762">
        <v>135445.57</v>
      </c>
      <c r="E2762" t="s">
        <v>16</v>
      </c>
      <c r="F2762">
        <v>25</v>
      </c>
      <c r="G2762" t="s">
        <v>25</v>
      </c>
      <c r="H2762" s="1">
        <v>45515</v>
      </c>
      <c r="I2762" s="1">
        <v>45540</v>
      </c>
      <c r="J2762" t="str">
        <f t="shared" si="43"/>
        <v>Aug-2024</v>
      </c>
    </row>
    <row r="2763" spans="1:10">
      <c r="A2763">
        <v>2762</v>
      </c>
      <c r="B2763">
        <v>18476</v>
      </c>
      <c r="C2763" t="s">
        <v>15</v>
      </c>
      <c r="D2763">
        <v>167291.26</v>
      </c>
      <c r="E2763" t="s">
        <v>16</v>
      </c>
      <c r="F2763">
        <v>19</v>
      </c>
      <c r="G2763" t="s">
        <v>21</v>
      </c>
      <c r="H2763" s="1">
        <v>45390</v>
      </c>
      <c r="I2763" s="1">
        <v>45409</v>
      </c>
      <c r="J2763" t="str">
        <f t="shared" si="43"/>
        <v>Apr-2024</v>
      </c>
    </row>
    <row r="2764" spans="1:10">
      <c r="A2764">
        <v>2763</v>
      </c>
      <c r="B2764">
        <v>15648</v>
      </c>
      <c r="C2764" t="s">
        <v>18</v>
      </c>
      <c r="D2764">
        <v>116895.69</v>
      </c>
      <c r="E2764" t="s">
        <v>16</v>
      </c>
      <c r="F2764">
        <v>28</v>
      </c>
      <c r="G2764" t="s">
        <v>17</v>
      </c>
      <c r="H2764" s="1">
        <v>45643</v>
      </c>
      <c r="I2764" s="1">
        <v>45671</v>
      </c>
      <c r="J2764" t="str">
        <f t="shared" si="43"/>
        <v>Dec-2024</v>
      </c>
    </row>
    <row r="2765" spans="1:10">
      <c r="A2765">
        <v>2764</v>
      </c>
      <c r="B2765">
        <v>16444</v>
      </c>
      <c r="C2765" t="s">
        <v>23</v>
      </c>
      <c r="D2765">
        <v>95870.69</v>
      </c>
      <c r="E2765" t="s">
        <v>24</v>
      </c>
      <c r="G2765" t="s">
        <v>21</v>
      </c>
      <c r="H2765" s="1">
        <v>45581</v>
      </c>
      <c r="J2765" t="str">
        <f t="shared" si="43"/>
        <v>Oct-2024</v>
      </c>
    </row>
    <row r="2766" spans="1:10">
      <c r="A2766">
        <v>2765</v>
      </c>
      <c r="B2766">
        <v>11840</v>
      </c>
      <c r="C2766" t="s">
        <v>22</v>
      </c>
      <c r="D2766">
        <v>129145</v>
      </c>
      <c r="E2766" t="s">
        <v>19</v>
      </c>
      <c r="F2766">
        <v>3</v>
      </c>
      <c r="G2766" t="s">
        <v>21</v>
      </c>
      <c r="H2766" s="1">
        <v>45488</v>
      </c>
      <c r="I2766" s="1">
        <v>45491</v>
      </c>
      <c r="J2766" t="str">
        <f t="shared" si="43"/>
        <v>Jul-2024</v>
      </c>
    </row>
    <row r="2767" spans="1:10">
      <c r="A2767">
        <v>2766</v>
      </c>
      <c r="B2767">
        <v>11878</v>
      </c>
      <c r="C2767" t="s">
        <v>18</v>
      </c>
      <c r="D2767">
        <v>63101.7</v>
      </c>
      <c r="E2767" t="s">
        <v>16</v>
      </c>
      <c r="F2767">
        <v>16</v>
      </c>
      <c r="G2767" t="s">
        <v>20</v>
      </c>
      <c r="H2767" s="1">
        <v>45400</v>
      </c>
      <c r="I2767" s="1">
        <v>45416</v>
      </c>
      <c r="J2767" t="str">
        <f t="shared" si="43"/>
        <v>Apr-2024</v>
      </c>
    </row>
    <row r="2768" spans="1:10">
      <c r="A2768">
        <v>2767</v>
      </c>
      <c r="B2768">
        <v>16289</v>
      </c>
      <c r="C2768" t="s">
        <v>23</v>
      </c>
      <c r="D2768">
        <v>40606.44</v>
      </c>
      <c r="E2768" t="s">
        <v>16</v>
      </c>
      <c r="F2768">
        <v>12</v>
      </c>
      <c r="G2768" t="s">
        <v>25</v>
      </c>
      <c r="H2768" s="1">
        <v>45639</v>
      </c>
      <c r="I2768" s="1">
        <v>45651</v>
      </c>
      <c r="J2768" t="str">
        <f t="shared" si="43"/>
        <v>Dec-2024</v>
      </c>
    </row>
    <row r="2769" spans="1:10">
      <c r="A2769">
        <v>2768</v>
      </c>
      <c r="B2769">
        <v>19802</v>
      </c>
      <c r="C2769" t="s">
        <v>23</v>
      </c>
      <c r="D2769">
        <v>125234.63</v>
      </c>
      <c r="E2769" t="s">
        <v>16</v>
      </c>
      <c r="F2769">
        <v>28</v>
      </c>
      <c r="G2769" t="s">
        <v>17</v>
      </c>
      <c r="H2769" s="1">
        <v>45511</v>
      </c>
      <c r="I2769" s="1">
        <v>45539</v>
      </c>
      <c r="J2769" t="str">
        <f t="shared" si="43"/>
        <v>Aug-2024</v>
      </c>
    </row>
    <row r="2770" spans="1:10">
      <c r="A2770">
        <v>2769</v>
      </c>
      <c r="B2770">
        <v>17219</v>
      </c>
      <c r="C2770" t="s">
        <v>15</v>
      </c>
      <c r="D2770">
        <v>50600.43</v>
      </c>
      <c r="E2770" t="s">
        <v>16</v>
      </c>
      <c r="F2770">
        <v>24</v>
      </c>
      <c r="G2770" t="s">
        <v>21</v>
      </c>
      <c r="H2770" s="1">
        <v>45555</v>
      </c>
      <c r="I2770" s="1">
        <v>45579</v>
      </c>
      <c r="J2770" t="str">
        <f t="shared" si="43"/>
        <v>Sep-2024</v>
      </c>
    </row>
    <row r="2771" spans="1:10">
      <c r="A2771">
        <v>2770</v>
      </c>
      <c r="B2771">
        <v>13314</v>
      </c>
      <c r="C2771" t="s">
        <v>23</v>
      </c>
      <c r="D2771">
        <v>20583.45</v>
      </c>
      <c r="E2771" t="s">
        <v>16</v>
      </c>
      <c r="F2771">
        <v>36</v>
      </c>
      <c r="G2771" t="s">
        <v>21</v>
      </c>
      <c r="H2771" s="1">
        <v>45499</v>
      </c>
      <c r="I2771" s="1">
        <v>45535</v>
      </c>
      <c r="J2771" t="str">
        <f t="shared" si="43"/>
        <v>Jul-2024</v>
      </c>
    </row>
    <row r="2772" spans="1:10">
      <c r="A2772">
        <v>2771</v>
      </c>
      <c r="B2772">
        <v>11378</v>
      </c>
      <c r="C2772" t="s">
        <v>23</v>
      </c>
      <c r="D2772">
        <v>5108.07</v>
      </c>
      <c r="E2772" t="s">
        <v>16</v>
      </c>
      <c r="F2772">
        <v>31</v>
      </c>
      <c r="G2772" t="s">
        <v>17</v>
      </c>
      <c r="H2772" s="1">
        <v>45610</v>
      </c>
      <c r="I2772" s="1">
        <v>45641</v>
      </c>
      <c r="J2772" t="str">
        <f t="shared" si="43"/>
        <v>Nov-2024</v>
      </c>
    </row>
    <row r="2773" spans="1:10">
      <c r="A2773">
        <v>2772</v>
      </c>
      <c r="B2773">
        <v>15340</v>
      </c>
      <c r="C2773" t="s">
        <v>23</v>
      </c>
      <c r="D2773">
        <v>123622.28</v>
      </c>
      <c r="E2773" t="s">
        <v>16</v>
      </c>
      <c r="F2773">
        <v>25</v>
      </c>
      <c r="G2773" t="s">
        <v>21</v>
      </c>
      <c r="H2773" s="1">
        <v>45373</v>
      </c>
      <c r="I2773" s="1">
        <v>45398</v>
      </c>
      <c r="J2773" t="str">
        <f t="shared" si="43"/>
        <v>Mar-2024</v>
      </c>
    </row>
    <row r="2774" spans="1:10">
      <c r="A2774">
        <v>2773</v>
      </c>
      <c r="B2774">
        <v>19907</v>
      </c>
      <c r="C2774" t="s">
        <v>23</v>
      </c>
      <c r="D2774">
        <v>75619.009999999995</v>
      </c>
      <c r="E2774" t="s">
        <v>24</v>
      </c>
      <c r="G2774" t="s">
        <v>20</v>
      </c>
      <c r="H2774" s="1">
        <v>45316</v>
      </c>
      <c r="J2774" t="str">
        <f t="shared" si="43"/>
        <v>Jan-2024</v>
      </c>
    </row>
    <row r="2775" spans="1:10">
      <c r="A2775">
        <v>2774</v>
      </c>
      <c r="B2775">
        <v>10452</v>
      </c>
      <c r="C2775" t="s">
        <v>18</v>
      </c>
      <c r="D2775">
        <v>151700.64000000001</v>
      </c>
      <c r="E2775" t="s">
        <v>16</v>
      </c>
      <c r="F2775">
        <v>30</v>
      </c>
      <c r="G2775" t="s">
        <v>20</v>
      </c>
      <c r="H2775" s="1">
        <v>45477</v>
      </c>
      <c r="I2775" s="1">
        <v>45507</v>
      </c>
      <c r="J2775" t="str">
        <f t="shared" si="43"/>
        <v>Jul-2024</v>
      </c>
    </row>
    <row r="2776" spans="1:10">
      <c r="A2776">
        <v>2775</v>
      </c>
      <c r="B2776">
        <v>18533</v>
      </c>
      <c r="C2776" t="s">
        <v>23</v>
      </c>
      <c r="D2776">
        <v>78159.399999999994</v>
      </c>
      <c r="E2776" t="s">
        <v>24</v>
      </c>
      <c r="G2776" t="s">
        <v>20</v>
      </c>
      <c r="H2776" s="1">
        <v>45299</v>
      </c>
      <c r="J2776" t="str">
        <f t="shared" si="43"/>
        <v>Jan-2024</v>
      </c>
    </row>
    <row r="2777" spans="1:10">
      <c r="A2777">
        <v>2776</v>
      </c>
      <c r="B2777">
        <v>10392</v>
      </c>
      <c r="C2777" t="s">
        <v>23</v>
      </c>
      <c r="D2777">
        <v>99770.67</v>
      </c>
      <c r="E2777" t="s">
        <v>16</v>
      </c>
      <c r="F2777">
        <v>24</v>
      </c>
      <c r="G2777" t="s">
        <v>20</v>
      </c>
      <c r="H2777" s="1">
        <v>45415</v>
      </c>
      <c r="I2777" s="1">
        <v>45439</v>
      </c>
      <c r="J2777" t="str">
        <f t="shared" si="43"/>
        <v>May-2024</v>
      </c>
    </row>
    <row r="2778" spans="1:10">
      <c r="A2778">
        <v>2777</v>
      </c>
      <c r="B2778">
        <v>15471</v>
      </c>
      <c r="C2778" t="s">
        <v>23</v>
      </c>
      <c r="D2778">
        <v>84381.57</v>
      </c>
      <c r="E2778" t="s">
        <v>16</v>
      </c>
      <c r="F2778">
        <v>13</v>
      </c>
      <c r="G2778" t="s">
        <v>21</v>
      </c>
      <c r="H2778" s="1">
        <v>45440</v>
      </c>
      <c r="I2778" s="1">
        <v>45453</v>
      </c>
      <c r="J2778" t="str">
        <f t="shared" si="43"/>
        <v>May-2024</v>
      </c>
    </row>
    <row r="2779" spans="1:10">
      <c r="A2779">
        <v>2778</v>
      </c>
      <c r="B2779">
        <v>11269</v>
      </c>
      <c r="C2779" t="s">
        <v>23</v>
      </c>
      <c r="D2779">
        <v>131862.07999999999</v>
      </c>
      <c r="E2779" t="s">
        <v>19</v>
      </c>
      <c r="F2779">
        <v>42</v>
      </c>
      <c r="G2779" t="s">
        <v>17</v>
      </c>
      <c r="H2779" s="1">
        <v>45389</v>
      </c>
      <c r="I2779" s="1">
        <v>45431</v>
      </c>
      <c r="J2779" t="str">
        <f t="shared" si="43"/>
        <v>Apr-2024</v>
      </c>
    </row>
    <row r="2780" spans="1:10">
      <c r="A2780">
        <v>2779</v>
      </c>
      <c r="B2780">
        <v>18137</v>
      </c>
      <c r="C2780" t="s">
        <v>22</v>
      </c>
      <c r="D2780">
        <v>74447.14</v>
      </c>
      <c r="E2780" t="s">
        <v>16</v>
      </c>
      <c r="F2780">
        <v>30</v>
      </c>
      <c r="G2780" t="s">
        <v>17</v>
      </c>
      <c r="H2780" s="1">
        <v>45507</v>
      </c>
      <c r="I2780" s="1">
        <v>45537</v>
      </c>
      <c r="J2780" t="str">
        <f t="shared" si="43"/>
        <v>Aug-2024</v>
      </c>
    </row>
    <row r="2781" spans="1:10">
      <c r="A2781">
        <v>2780</v>
      </c>
      <c r="B2781">
        <v>13050</v>
      </c>
      <c r="C2781" t="s">
        <v>23</v>
      </c>
      <c r="D2781">
        <v>192934.69</v>
      </c>
      <c r="E2781" t="s">
        <v>16</v>
      </c>
      <c r="F2781">
        <v>7</v>
      </c>
      <c r="G2781" t="s">
        <v>17</v>
      </c>
      <c r="H2781" s="1">
        <v>45392</v>
      </c>
      <c r="I2781" s="1">
        <v>45399</v>
      </c>
      <c r="J2781" t="str">
        <f t="shared" si="43"/>
        <v>Apr-2024</v>
      </c>
    </row>
    <row r="2782" spans="1:10">
      <c r="A2782">
        <v>2781</v>
      </c>
      <c r="B2782">
        <v>17280</v>
      </c>
      <c r="C2782" t="s">
        <v>22</v>
      </c>
      <c r="D2782">
        <v>187548.66</v>
      </c>
      <c r="E2782" t="s">
        <v>16</v>
      </c>
      <c r="F2782">
        <v>24</v>
      </c>
      <c r="G2782" t="s">
        <v>17</v>
      </c>
      <c r="H2782" s="1">
        <v>45509</v>
      </c>
      <c r="I2782" s="1">
        <v>45533</v>
      </c>
      <c r="J2782" t="str">
        <f t="shared" si="43"/>
        <v>Aug-2024</v>
      </c>
    </row>
    <row r="2783" spans="1:10">
      <c r="A2783">
        <v>2782</v>
      </c>
      <c r="B2783">
        <v>19162</v>
      </c>
      <c r="C2783" t="s">
        <v>23</v>
      </c>
      <c r="D2783">
        <v>170365.44</v>
      </c>
      <c r="E2783" t="s">
        <v>16</v>
      </c>
      <c r="F2783">
        <v>32</v>
      </c>
      <c r="G2783" t="s">
        <v>25</v>
      </c>
      <c r="H2783" s="1">
        <v>45550</v>
      </c>
      <c r="I2783" s="1">
        <v>45582</v>
      </c>
      <c r="J2783" t="str">
        <f t="shared" si="43"/>
        <v>Sep-2024</v>
      </c>
    </row>
    <row r="2784" spans="1:10">
      <c r="A2784">
        <v>2783</v>
      </c>
      <c r="B2784">
        <v>14794</v>
      </c>
      <c r="C2784" t="s">
        <v>23</v>
      </c>
      <c r="D2784">
        <v>184458.55</v>
      </c>
      <c r="E2784" t="s">
        <v>24</v>
      </c>
      <c r="G2784" t="s">
        <v>17</v>
      </c>
      <c r="H2784" s="1">
        <v>45647</v>
      </c>
      <c r="J2784" t="str">
        <f t="shared" si="43"/>
        <v>Dec-2024</v>
      </c>
    </row>
    <row r="2785" spans="1:10">
      <c r="A2785">
        <v>2784</v>
      </c>
      <c r="B2785">
        <v>17410</v>
      </c>
      <c r="C2785" t="s">
        <v>15</v>
      </c>
      <c r="D2785">
        <v>92582.24</v>
      </c>
      <c r="E2785" t="s">
        <v>19</v>
      </c>
      <c r="F2785">
        <v>25</v>
      </c>
      <c r="G2785" t="s">
        <v>25</v>
      </c>
      <c r="H2785" s="1">
        <v>45302</v>
      </c>
      <c r="I2785" s="1">
        <v>45327</v>
      </c>
      <c r="J2785" t="str">
        <f t="shared" si="43"/>
        <v>Jan-2024</v>
      </c>
    </row>
    <row r="2786" spans="1:10">
      <c r="A2786">
        <v>2785</v>
      </c>
      <c r="B2786">
        <v>10165</v>
      </c>
      <c r="C2786" t="s">
        <v>23</v>
      </c>
      <c r="D2786">
        <v>109603.93</v>
      </c>
      <c r="E2786" t="s">
        <v>16</v>
      </c>
      <c r="F2786">
        <v>9</v>
      </c>
      <c r="G2786" t="s">
        <v>25</v>
      </c>
      <c r="H2786" s="1">
        <v>45350</v>
      </c>
      <c r="I2786" s="1">
        <v>45359</v>
      </c>
      <c r="J2786" t="str">
        <f t="shared" si="43"/>
        <v>Feb-2024</v>
      </c>
    </row>
    <row r="2787" spans="1:10">
      <c r="A2787">
        <v>2786</v>
      </c>
      <c r="B2787">
        <v>18446</v>
      </c>
      <c r="C2787" t="s">
        <v>18</v>
      </c>
      <c r="D2787">
        <v>149708.06</v>
      </c>
      <c r="E2787" t="s">
        <v>16</v>
      </c>
      <c r="F2787">
        <v>10</v>
      </c>
      <c r="G2787" t="s">
        <v>20</v>
      </c>
      <c r="H2787" s="1">
        <v>45541</v>
      </c>
      <c r="I2787" s="1">
        <v>45551</v>
      </c>
      <c r="J2787" t="str">
        <f t="shared" si="43"/>
        <v>Sep-2024</v>
      </c>
    </row>
    <row r="2788" spans="1:10">
      <c r="A2788">
        <v>2787</v>
      </c>
      <c r="B2788">
        <v>18493</v>
      </c>
      <c r="C2788" t="s">
        <v>22</v>
      </c>
      <c r="D2788">
        <v>140748.46</v>
      </c>
      <c r="E2788" t="s">
        <v>16</v>
      </c>
      <c r="F2788">
        <v>23</v>
      </c>
      <c r="G2788" t="s">
        <v>25</v>
      </c>
      <c r="H2788" s="1">
        <v>45431</v>
      </c>
      <c r="I2788" s="1">
        <v>45454</v>
      </c>
      <c r="J2788" t="str">
        <f t="shared" si="43"/>
        <v>May-2024</v>
      </c>
    </row>
    <row r="2789" spans="1:10">
      <c r="A2789">
        <v>2788</v>
      </c>
      <c r="B2789">
        <v>16363</v>
      </c>
      <c r="C2789" t="s">
        <v>23</v>
      </c>
      <c r="D2789">
        <v>178682.33</v>
      </c>
      <c r="E2789" t="s">
        <v>16</v>
      </c>
      <c r="F2789">
        <v>5</v>
      </c>
      <c r="G2789" t="s">
        <v>21</v>
      </c>
      <c r="H2789" s="1">
        <v>45626</v>
      </c>
      <c r="I2789" s="1">
        <v>45631</v>
      </c>
      <c r="J2789" t="str">
        <f t="shared" si="43"/>
        <v>Nov-2024</v>
      </c>
    </row>
    <row r="2790" spans="1:10">
      <c r="A2790">
        <v>2789</v>
      </c>
      <c r="B2790">
        <v>18079</v>
      </c>
      <c r="C2790" t="s">
        <v>23</v>
      </c>
      <c r="D2790">
        <v>144684.54999999999</v>
      </c>
      <c r="E2790" t="s">
        <v>16</v>
      </c>
      <c r="F2790">
        <v>14</v>
      </c>
      <c r="G2790" t="s">
        <v>25</v>
      </c>
      <c r="H2790" s="1">
        <v>45329</v>
      </c>
      <c r="I2790" s="1">
        <v>45343</v>
      </c>
      <c r="J2790" t="str">
        <f t="shared" si="43"/>
        <v>Feb-2024</v>
      </c>
    </row>
    <row r="2791" spans="1:10">
      <c r="A2791">
        <v>2790</v>
      </c>
      <c r="B2791">
        <v>15030</v>
      </c>
      <c r="C2791" t="s">
        <v>18</v>
      </c>
      <c r="D2791">
        <v>199587.52</v>
      </c>
      <c r="E2791" t="s">
        <v>16</v>
      </c>
      <c r="F2791">
        <v>35</v>
      </c>
      <c r="G2791" t="s">
        <v>20</v>
      </c>
      <c r="H2791" s="1">
        <v>45413</v>
      </c>
      <c r="I2791" s="1">
        <v>45448</v>
      </c>
      <c r="J2791" t="str">
        <f t="shared" si="43"/>
        <v>May-2024</v>
      </c>
    </row>
    <row r="2792" spans="1:10">
      <c r="A2792">
        <v>2791</v>
      </c>
      <c r="B2792">
        <v>11505</v>
      </c>
      <c r="C2792" t="s">
        <v>23</v>
      </c>
      <c r="D2792">
        <v>72958.63</v>
      </c>
      <c r="E2792" t="s">
        <v>16</v>
      </c>
      <c r="F2792">
        <v>4</v>
      </c>
      <c r="G2792" t="s">
        <v>25</v>
      </c>
      <c r="H2792" s="1">
        <v>45356</v>
      </c>
      <c r="I2792" s="1">
        <v>45360</v>
      </c>
      <c r="J2792" t="str">
        <f t="shared" si="43"/>
        <v>Mar-2024</v>
      </c>
    </row>
    <row r="2793" spans="1:10">
      <c r="A2793">
        <v>2792</v>
      </c>
      <c r="B2793">
        <v>19448</v>
      </c>
      <c r="C2793" t="s">
        <v>23</v>
      </c>
      <c r="D2793">
        <v>167434.56</v>
      </c>
      <c r="E2793" t="s">
        <v>16</v>
      </c>
      <c r="F2793">
        <v>38</v>
      </c>
      <c r="G2793" t="s">
        <v>21</v>
      </c>
      <c r="H2793" s="1">
        <v>45437</v>
      </c>
      <c r="I2793" s="1">
        <v>45475</v>
      </c>
      <c r="J2793" t="str">
        <f t="shared" si="43"/>
        <v>May-2024</v>
      </c>
    </row>
    <row r="2794" spans="1:10">
      <c r="A2794">
        <v>2793</v>
      </c>
      <c r="B2794">
        <v>17409</v>
      </c>
      <c r="C2794" t="s">
        <v>23</v>
      </c>
      <c r="D2794">
        <v>141038.79</v>
      </c>
      <c r="E2794" t="s">
        <v>16</v>
      </c>
      <c r="F2794">
        <v>29</v>
      </c>
      <c r="G2794" t="s">
        <v>21</v>
      </c>
      <c r="H2794" s="1">
        <v>45593</v>
      </c>
      <c r="I2794" s="1">
        <v>45622</v>
      </c>
      <c r="J2794" t="str">
        <f t="shared" si="43"/>
        <v>Oct-2024</v>
      </c>
    </row>
    <row r="2795" spans="1:10">
      <c r="A2795">
        <v>2794</v>
      </c>
      <c r="B2795">
        <v>14340</v>
      </c>
      <c r="C2795" t="s">
        <v>23</v>
      </c>
      <c r="D2795">
        <v>139820.35999999999</v>
      </c>
      <c r="E2795" t="s">
        <v>16</v>
      </c>
      <c r="F2795">
        <v>27</v>
      </c>
      <c r="G2795" t="s">
        <v>21</v>
      </c>
      <c r="H2795" s="1">
        <v>45416</v>
      </c>
      <c r="I2795" s="1">
        <v>45443</v>
      </c>
      <c r="J2795" t="str">
        <f t="shared" si="43"/>
        <v>May-2024</v>
      </c>
    </row>
    <row r="2796" spans="1:10">
      <c r="A2796">
        <v>2795</v>
      </c>
      <c r="B2796">
        <v>10209</v>
      </c>
      <c r="C2796" t="s">
        <v>18</v>
      </c>
      <c r="D2796">
        <v>68537.94</v>
      </c>
      <c r="E2796" t="s">
        <v>16</v>
      </c>
      <c r="F2796">
        <v>35</v>
      </c>
      <c r="G2796" t="s">
        <v>20</v>
      </c>
      <c r="H2796" s="1">
        <v>45603</v>
      </c>
      <c r="I2796" s="1">
        <v>45638</v>
      </c>
      <c r="J2796" t="str">
        <f t="shared" si="43"/>
        <v>Nov-2024</v>
      </c>
    </row>
    <row r="2797" spans="1:10">
      <c r="A2797">
        <v>2796</v>
      </c>
      <c r="B2797">
        <v>13793</v>
      </c>
      <c r="C2797" t="s">
        <v>23</v>
      </c>
      <c r="D2797">
        <v>158192.35</v>
      </c>
      <c r="E2797" t="s">
        <v>24</v>
      </c>
      <c r="G2797" t="s">
        <v>20</v>
      </c>
      <c r="H2797" s="1">
        <v>45482</v>
      </c>
      <c r="J2797" t="str">
        <f t="shared" si="43"/>
        <v>Jul-2024</v>
      </c>
    </row>
    <row r="2798" spans="1:10">
      <c r="A2798">
        <v>2797</v>
      </c>
      <c r="B2798">
        <v>14521</v>
      </c>
      <c r="C2798" t="s">
        <v>23</v>
      </c>
      <c r="D2798">
        <v>180573.32</v>
      </c>
      <c r="E2798" t="s">
        <v>19</v>
      </c>
      <c r="F2798">
        <v>9</v>
      </c>
      <c r="G2798" t="s">
        <v>17</v>
      </c>
      <c r="H2798" s="1">
        <v>45554</v>
      </c>
      <c r="I2798" s="1">
        <v>45563</v>
      </c>
      <c r="J2798" t="str">
        <f t="shared" si="43"/>
        <v>Sep-2024</v>
      </c>
    </row>
    <row r="2799" spans="1:10">
      <c r="A2799">
        <v>2798</v>
      </c>
      <c r="B2799">
        <v>13047</v>
      </c>
      <c r="C2799" t="s">
        <v>18</v>
      </c>
      <c r="D2799">
        <v>47616.95</v>
      </c>
      <c r="E2799" t="s">
        <v>16</v>
      </c>
      <c r="F2799">
        <v>36</v>
      </c>
      <c r="G2799" t="s">
        <v>20</v>
      </c>
      <c r="H2799" s="1">
        <v>45652</v>
      </c>
      <c r="I2799" s="1">
        <v>45688</v>
      </c>
      <c r="J2799" t="str">
        <f t="shared" si="43"/>
        <v>Dec-2024</v>
      </c>
    </row>
    <row r="2800" spans="1:10">
      <c r="A2800">
        <v>2799</v>
      </c>
      <c r="B2800">
        <v>10980</v>
      </c>
      <c r="C2800" t="s">
        <v>23</v>
      </c>
      <c r="D2800">
        <v>126971.88</v>
      </c>
      <c r="E2800" t="s">
        <v>16</v>
      </c>
      <c r="F2800">
        <v>25</v>
      </c>
      <c r="G2800" t="s">
        <v>21</v>
      </c>
      <c r="H2800" s="1">
        <v>45587</v>
      </c>
      <c r="I2800" s="1">
        <v>45612</v>
      </c>
      <c r="J2800" t="str">
        <f t="shared" si="43"/>
        <v>Oct-2024</v>
      </c>
    </row>
    <row r="2801" spans="1:10">
      <c r="A2801">
        <v>2800</v>
      </c>
      <c r="B2801">
        <v>12119</v>
      </c>
      <c r="C2801" t="s">
        <v>23</v>
      </c>
      <c r="D2801">
        <v>81466.289999999994</v>
      </c>
      <c r="E2801" t="s">
        <v>19</v>
      </c>
      <c r="F2801">
        <v>38</v>
      </c>
      <c r="G2801" t="s">
        <v>21</v>
      </c>
      <c r="H2801" s="1">
        <v>45473</v>
      </c>
      <c r="I2801" s="1">
        <v>45511</v>
      </c>
      <c r="J2801" t="str">
        <f t="shared" si="43"/>
        <v>Jun-2024</v>
      </c>
    </row>
    <row r="2802" spans="1:10">
      <c r="A2802">
        <v>2801</v>
      </c>
      <c r="B2802">
        <v>13745</v>
      </c>
      <c r="C2802" t="s">
        <v>18</v>
      </c>
      <c r="D2802">
        <v>197961.88</v>
      </c>
      <c r="E2802" t="s">
        <v>24</v>
      </c>
      <c r="G2802" t="s">
        <v>20</v>
      </c>
      <c r="H2802" s="1">
        <v>45450</v>
      </c>
      <c r="J2802" t="str">
        <f t="shared" si="43"/>
        <v>Jun-2024</v>
      </c>
    </row>
    <row r="2803" spans="1:10">
      <c r="A2803">
        <v>2802</v>
      </c>
      <c r="B2803">
        <v>10177</v>
      </c>
      <c r="C2803" t="s">
        <v>23</v>
      </c>
      <c r="D2803">
        <v>98372.4</v>
      </c>
      <c r="E2803" t="s">
        <v>19</v>
      </c>
      <c r="F2803">
        <v>13</v>
      </c>
      <c r="G2803" t="s">
        <v>25</v>
      </c>
      <c r="H2803" s="1">
        <v>45644</v>
      </c>
      <c r="I2803" s="1">
        <v>45657</v>
      </c>
      <c r="J2803" t="str">
        <f t="shared" si="43"/>
        <v>Dec-2024</v>
      </c>
    </row>
    <row r="2804" spans="1:10">
      <c r="A2804">
        <v>2803</v>
      </c>
      <c r="B2804">
        <v>11546</v>
      </c>
      <c r="C2804" t="s">
        <v>18</v>
      </c>
      <c r="D2804">
        <v>49522.43</v>
      </c>
      <c r="E2804" t="s">
        <v>16</v>
      </c>
      <c r="F2804">
        <v>20</v>
      </c>
      <c r="G2804" t="s">
        <v>20</v>
      </c>
      <c r="H2804" s="1">
        <v>45599</v>
      </c>
      <c r="I2804" s="1">
        <v>45619</v>
      </c>
      <c r="J2804" t="str">
        <f t="shared" si="43"/>
        <v>Nov-2024</v>
      </c>
    </row>
    <row r="2805" spans="1:10">
      <c r="A2805">
        <v>2804</v>
      </c>
      <c r="B2805">
        <v>18490</v>
      </c>
      <c r="C2805" t="s">
        <v>15</v>
      </c>
      <c r="D2805">
        <v>79462.240000000005</v>
      </c>
      <c r="E2805" t="s">
        <v>24</v>
      </c>
      <c r="G2805" t="s">
        <v>20</v>
      </c>
      <c r="H2805" s="1">
        <v>45578</v>
      </c>
      <c r="J2805" t="str">
        <f t="shared" si="43"/>
        <v>Oct-2024</v>
      </c>
    </row>
    <row r="2806" spans="1:10">
      <c r="A2806">
        <v>2805</v>
      </c>
      <c r="B2806">
        <v>13566</v>
      </c>
      <c r="C2806" t="s">
        <v>23</v>
      </c>
      <c r="D2806">
        <v>132498.49</v>
      </c>
      <c r="E2806" t="s">
        <v>16</v>
      </c>
      <c r="F2806">
        <v>31</v>
      </c>
      <c r="G2806" t="s">
        <v>21</v>
      </c>
      <c r="H2806" s="1">
        <v>45453</v>
      </c>
      <c r="I2806" s="1">
        <v>45484</v>
      </c>
      <c r="J2806" t="str">
        <f t="shared" si="43"/>
        <v>Jun-2024</v>
      </c>
    </row>
    <row r="2807" spans="1:10">
      <c r="A2807">
        <v>2806</v>
      </c>
      <c r="B2807">
        <v>10274</v>
      </c>
      <c r="C2807" t="s">
        <v>18</v>
      </c>
      <c r="D2807">
        <v>19837.43</v>
      </c>
      <c r="E2807" t="s">
        <v>19</v>
      </c>
      <c r="F2807">
        <v>38</v>
      </c>
      <c r="G2807" t="s">
        <v>17</v>
      </c>
      <c r="H2807" s="1">
        <v>45554</v>
      </c>
      <c r="I2807" s="1">
        <v>45592</v>
      </c>
      <c r="J2807" t="str">
        <f t="shared" si="43"/>
        <v>Sep-2024</v>
      </c>
    </row>
    <row r="2808" spans="1:10">
      <c r="A2808">
        <v>2807</v>
      </c>
      <c r="B2808">
        <v>12995</v>
      </c>
      <c r="C2808" t="s">
        <v>23</v>
      </c>
      <c r="D2808">
        <v>122702.37</v>
      </c>
      <c r="E2808" t="s">
        <v>24</v>
      </c>
      <c r="G2808" t="s">
        <v>21</v>
      </c>
      <c r="H2808" s="1">
        <v>45508</v>
      </c>
      <c r="J2808" t="str">
        <f t="shared" si="43"/>
        <v>Aug-2024</v>
      </c>
    </row>
    <row r="2809" spans="1:10">
      <c r="A2809">
        <v>2808</v>
      </c>
      <c r="B2809">
        <v>10052</v>
      </c>
      <c r="C2809" t="s">
        <v>23</v>
      </c>
      <c r="D2809">
        <v>186588.83</v>
      </c>
      <c r="E2809" t="s">
        <v>16</v>
      </c>
      <c r="F2809">
        <v>20</v>
      </c>
      <c r="G2809" t="s">
        <v>17</v>
      </c>
      <c r="H2809" s="1">
        <v>45472</v>
      </c>
      <c r="I2809" s="1">
        <v>45492</v>
      </c>
      <c r="J2809" t="str">
        <f t="shared" si="43"/>
        <v>Jun-2024</v>
      </c>
    </row>
    <row r="2810" spans="1:10">
      <c r="A2810">
        <v>2809</v>
      </c>
      <c r="B2810">
        <v>17775</v>
      </c>
      <c r="C2810" t="s">
        <v>15</v>
      </c>
      <c r="D2810">
        <v>170820.74</v>
      </c>
      <c r="E2810" t="s">
        <v>24</v>
      </c>
      <c r="G2810" t="s">
        <v>21</v>
      </c>
      <c r="H2810" s="1">
        <v>45382</v>
      </c>
      <c r="J2810" t="str">
        <f t="shared" si="43"/>
        <v>Mar-2024</v>
      </c>
    </row>
    <row r="2811" spans="1:10">
      <c r="A2811">
        <v>2810</v>
      </c>
      <c r="B2811">
        <v>19615</v>
      </c>
      <c r="C2811" t="s">
        <v>15</v>
      </c>
      <c r="D2811">
        <v>18196.34</v>
      </c>
      <c r="E2811" t="s">
        <v>16</v>
      </c>
      <c r="F2811">
        <v>8</v>
      </c>
      <c r="G2811" t="s">
        <v>20</v>
      </c>
      <c r="H2811" s="1">
        <v>45308</v>
      </c>
      <c r="I2811" s="1">
        <v>45316</v>
      </c>
      <c r="J2811" t="str">
        <f t="shared" si="43"/>
        <v>Jan-2024</v>
      </c>
    </row>
    <row r="2812" spans="1:10">
      <c r="A2812">
        <v>2811</v>
      </c>
      <c r="B2812">
        <v>11627</v>
      </c>
      <c r="C2812" t="s">
        <v>23</v>
      </c>
      <c r="D2812">
        <v>198711.03</v>
      </c>
      <c r="E2812" t="s">
        <v>24</v>
      </c>
      <c r="G2812" t="s">
        <v>21</v>
      </c>
      <c r="H2812" s="1">
        <v>45416</v>
      </c>
      <c r="J2812" t="str">
        <f t="shared" si="43"/>
        <v>May-2024</v>
      </c>
    </row>
    <row r="2813" spans="1:10">
      <c r="A2813">
        <v>2812</v>
      </c>
      <c r="B2813">
        <v>16043</v>
      </c>
      <c r="C2813" t="s">
        <v>18</v>
      </c>
      <c r="D2813">
        <v>141251.75</v>
      </c>
      <c r="E2813" t="s">
        <v>16</v>
      </c>
      <c r="F2813">
        <v>29</v>
      </c>
      <c r="G2813" t="s">
        <v>21</v>
      </c>
      <c r="H2813" s="1">
        <v>45551</v>
      </c>
      <c r="I2813" s="1">
        <v>45580</v>
      </c>
      <c r="J2813" t="str">
        <f t="shared" si="43"/>
        <v>Sep-2024</v>
      </c>
    </row>
    <row r="2814" spans="1:10">
      <c r="A2814">
        <v>2813</v>
      </c>
      <c r="B2814">
        <v>17823</v>
      </c>
      <c r="C2814" t="s">
        <v>22</v>
      </c>
      <c r="D2814">
        <v>36644.76</v>
      </c>
      <c r="E2814" t="s">
        <v>24</v>
      </c>
      <c r="G2814" t="s">
        <v>21</v>
      </c>
      <c r="H2814" s="1">
        <v>45646</v>
      </c>
      <c r="J2814" t="str">
        <f t="shared" si="43"/>
        <v>Dec-2024</v>
      </c>
    </row>
    <row r="2815" spans="1:10">
      <c r="A2815">
        <v>2814</v>
      </c>
      <c r="B2815">
        <v>18680</v>
      </c>
      <c r="C2815" t="s">
        <v>22</v>
      </c>
      <c r="D2815">
        <v>7421.14</v>
      </c>
      <c r="E2815" t="s">
        <v>16</v>
      </c>
      <c r="F2815">
        <v>38</v>
      </c>
      <c r="G2815" t="s">
        <v>20</v>
      </c>
      <c r="H2815" s="1">
        <v>45505</v>
      </c>
      <c r="I2815" s="1">
        <v>45543</v>
      </c>
      <c r="J2815" t="str">
        <f t="shared" si="43"/>
        <v>Aug-2024</v>
      </c>
    </row>
    <row r="2816" spans="1:10">
      <c r="A2816">
        <v>2815</v>
      </c>
      <c r="B2816">
        <v>18608</v>
      </c>
      <c r="C2816" t="s">
        <v>18</v>
      </c>
      <c r="D2816">
        <v>38400.11</v>
      </c>
      <c r="E2816" t="s">
        <v>19</v>
      </c>
      <c r="F2816">
        <v>21</v>
      </c>
      <c r="G2816" t="s">
        <v>20</v>
      </c>
      <c r="H2816" s="1">
        <v>45530</v>
      </c>
      <c r="I2816" s="1">
        <v>45551</v>
      </c>
      <c r="J2816" t="str">
        <f t="shared" si="43"/>
        <v>Aug-2024</v>
      </c>
    </row>
    <row r="2817" spans="1:10">
      <c r="A2817">
        <v>2816</v>
      </c>
      <c r="B2817">
        <v>19112</v>
      </c>
      <c r="C2817" t="s">
        <v>23</v>
      </c>
      <c r="D2817">
        <v>168444.3</v>
      </c>
      <c r="E2817" t="s">
        <v>16</v>
      </c>
      <c r="F2817">
        <v>12</v>
      </c>
      <c r="G2817" t="s">
        <v>20</v>
      </c>
      <c r="H2817" s="1">
        <v>45471</v>
      </c>
      <c r="I2817" s="1">
        <v>45483</v>
      </c>
      <c r="J2817" t="str">
        <f t="shared" si="43"/>
        <v>Jun-2024</v>
      </c>
    </row>
    <row r="2818" spans="1:10">
      <c r="A2818">
        <v>2817</v>
      </c>
      <c r="B2818">
        <v>11553</v>
      </c>
      <c r="C2818" t="s">
        <v>23</v>
      </c>
      <c r="D2818">
        <v>9219.67</v>
      </c>
      <c r="E2818" t="s">
        <v>16</v>
      </c>
      <c r="F2818">
        <v>40</v>
      </c>
      <c r="G2818" t="s">
        <v>20</v>
      </c>
      <c r="H2818" s="1">
        <v>45463</v>
      </c>
      <c r="I2818" s="1">
        <v>45503</v>
      </c>
      <c r="J2818" t="str">
        <f t="shared" si="43"/>
        <v>Jun-2024</v>
      </c>
    </row>
    <row r="2819" spans="1:10">
      <c r="A2819">
        <v>2818</v>
      </c>
      <c r="B2819">
        <v>18857</v>
      </c>
      <c r="C2819" t="s">
        <v>22</v>
      </c>
      <c r="D2819">
        <v>50463.72</v>
      </c>
      <c r="E2819" t="s">
        <v>16</v>
      </c>
      <c r="F2819">
        <v>43</v>
      </c>
      <c r="G2819" t="s">
        <v>17</v>
      </c>
      <c r="H2819" s="1">
        <v>45434</v>
      </c>
      <c r="I2819" s="1">
        <v>45477</v>
      </c>
      <c r="J2819" t="str">
        <f t="shared" ref="J2819:J2882" si="44">TEXT(H2819,"mmm-yyyy")</f>
        <v>May-2024</v>
      </c>
    </row>
    <row r="2820" spans="1:10">
      <c r="A2820">
        <v>2819</v>
      </c>
      <c r="B2820">
        <v>12469</v>
      </c>
      <c r="C2820" t="s">
        <v>23</v>
      </c>
      <c r="D2820">
        <v>152674.59</v>
      </c>
      <c r="E2820" t="s">
        <v>19</v>
      </c>
      <c r="F2820">
        <v>24</v>
      </c>
      <c r="G2820" t="s">
        <v>17</v>
      </c>
      <c r="H2820" s="1">
        <v>45608</v>
      </c>
      <c r="I2820" s="1">
        <v>45632</v>
      </c>
      <c r="J2820" t="str">
        <f t="shared" si="44"/>
        <v>Nov-2024</v>
      </c>
    </row>
    <row r="2821" spans="1:10">
      <c r="A2821">
        <v>2820</v>
      </c>
      <c r="B2821">
        <v>11474</v>
      </c>
      <c r="C2821" t="s">
        <v>18</v>
      </c>
      <c r="D2821">
        <v>119291.55</v>
      </c>
      <c r="E2821" t="s">
        <v>16</v>
      </c>
      <c r="F2821">
        <v>21</v>
      </c>
      <c r="G2821" t="s">
        <v>25</v>
      </c>
      <c r="H2821" s="1">
        <v>45535</v>
      </c>
      <c r="I2821" s="1">
        <v>45556</v>
      </c>
      <c r="J2821" t="str">
        <f t="shared" si="44"/>
        <v>Aug-2024</v>
      </c>
    </row>
    <row r="2822" spans="1:10">
      <c r="A2822">
        <v>2821</v>
      </c>
      <c r="B2822">
        <v>16477</v>
      </c>
      <c r="C2822" t="s">
        <v>23</v>
      </c>
      <c r="D2822">
        <v>157633.46</v>
      </c>
      <c r="E2822" t="s">
        <v>16</v>
      </c>
      <c r="F2822">
        <v>21</v>
      </c>
      <c r="G2822" t="s">
        <v>20</v>
      </c>
      <c r="H2822" s="1">
        <v>45523</v>
      </c>
      <c r="I2822" s="1">
        <v>45544</v>
      </c>
      <c r="J2822" t="str">
        <f t="shared" si="44"/>
        <v>Aug-2024</v>
      </c>
    </row>
    <row r="2823" spans="1:10">
      <c r="A2823">
        <v>2822</v>
      </c>
      <c r="B2823">
        <v>10337</v>
      </c>
      <c r="C2823" t="s">
        <v>23</v>
      </c>
      <c r="D2823">
        <v>150499.35</v>
      </c>
      <c r="E2823" t="s">
        <v>16</v>
      </c>
      <c r="F2823">
        <v>12</v>
      </c>
      <c r="G2823" t="s">
        <v>17</v>
      </c>
      <c r="H2823" s="1">
        <v>45463</v>
      </c>
      <c r="I2823" s="1">
        <v>45475</v>
      </c>
      <c r="J2823" t="str">
        <f t="shared" si="44"/>
        <v>Jun-2024</v>
      </c>
    </row>
    <row r="2824" spans="1:10">
      <c r="A2824">
        <v>2823</v>
      </c>
      <c r="B2824">
        <v>16991</v>
      </c>
      <c r="C2824" t="s">
        <v>23</v>
      </c>
      <c r="D2824">
        <v>14867.27</v>
      </c>
      <c r="E2824" t="s">
        <v>24</v>
      </c>
      <c r="G2824" t="s">
        <v>21</v>
      </c>
      <c r="H2824" s="1">
        <v>45568</v>
      </c>
      <c r="J2824" t="str">
        <f t="shared" si="44"/>
        <v>Oct-2024</v>
      </c>
    </row>
    <row r="2825" spans="1:10">
      <c r="A2825">
        <v>2824</v>
      </c>
      <c r="B2825">
        <v>18460</v>
      </c>
      <c r="C2825" t="s">
        <v>22</v>
      </c>
      <c r="D2825">
        <v>179039.73</v>
      </c>
      <c r="E2825" t="s">
        <v>16</v>
      </c>
      <c r="F2825">
        <v>14</v>
      </c>
      <c r="G2825" t="s">
        <v>20</v>
      </c>
      <c r="H2825" s="1">
        <v>45368</v>
      </c>
      <c r="I2825" s="1">
        <v>45382</v>
      </c>
      <c r="J2825" t="str">
        <f t="shared" si="44"/>
        <v>Mar-2024</v>
      </c>
    </row>
    <row r="2826" spans="1:10">
      <c r="A2826">
        <v>2825</v>
      </c>
      <c r="B2826">
        <v>11087</v>
      </c>
      <c r="C2826" t="s">
        <v>23</v>
      </c>
      <c r="D2826">
        <v>49271.21</v>
      </c>
      <c r="E2826" t="s">
        <v>16</v>
      </c>
      <c r="F2826">
        <v>14</v>
      </c>
      <c r="G2826" t="s">
        <v>25</v>
      </c>
      <c r="H2826" s="1">
        <v>45594</v>
      </c>
      <c r="I2826" s="1">
        <v>45608</v>
      </c>
      <c r="J2826" t="str">
        <f t="shared" si="44"/>
        <v>Oct-2024</v>
      </c>
    </row>
    <row r="2827" spans="1:10">
      <c r="A2827">
        <v>2826</v>
      </c>
      <c r="B2827">
        <v>11293</v>
      </c>
      <c r="C2827" t="s">
        <v>18</v>
      </c>
      <c r="D2827">
        <v>112911.53</v>
      </c>
      <c r="E2827" t="s">
        <v>16</v>
      </c>
      <c r="F2827">
        <v>42</v>
      </c>
      <c r="G2827" t="s">
        <v>25</v>
      </c>
      <c r="H2827" s="1">
        <v>45622</v>
      </c>
      <c r="I2827" s="1">
        <v>45664</v>
      </c>
      <c r="J2827" t="str">
        <f t="shared" si="44"/>
        <v>Nov-2024</v>
      </c>
    </row>
    <row r="2828" spans="1:10">
      <c r="A2828">
        <v>2827</v>
      </c>
      <c r="B2828">
        <v>18848</v>
      </c>
      <c r="C2828" t="s">
        <v>23</v>
      </c>
      <c r="D2828">
        <v>130636.19</v>
      </c>
      <c r="E2828" t="s">
        <v>16</v>
      </c>
      <c r="F2828">
        <v>16</v>
      </c>
      <c r="G2828" t="s">
        <v>25</v>
      </c>
      <c r="H2828" s="1">
        <v>45340</v>
      </c>
      <c r="I2828" s="1">
        <v>45356</v>
      </c>
      <c r="J2828" t="str">
        <f t="shared" si="44"/>
        <v>Feb-2024</v>
      </c>
    </row>
    <row r="2829" spans="1:10">
      <c r="A2829">
        <v>2828</v>
      </c>
      <c r="B2829">
        <v>15964</v>
      </c>
      <c r="C2829" t="s">
        <v>23</v>
      </c>
      <c r="D2829">
        <v>37882.5</v>
      </c>
      <c r="E2829" t="s">
        <v>16</v>
      </c>
      <c r="F2829">
        <v>32</v>
      </c>
      <c r="G2829" t="s">
        <v>21</v>
      </c>
      <c r="H2829" s="1">
        <v>45539</v>
      </c>
      <c r="I2829" s="1">
        <v>45571</v>
      </c>
      <c r="J2829" t="str">
        <f t="shared" si="44"/>
        <v>Sep-2024</v>
      </c>
    </row>
    <row r="2830" spans="1:10">
      <c r="A2830">
        <v>2829</v>
      </c>
      <c r="B2830">
        <v>12828</v>
      </c>
      <c r="C2830" t="s">
        <v>23</v>
      </c>
      <c r="D2830">
        <v>195365.1</v>
      </c>
      <c r="E2830" t="s">
        <v>16</v>
      </c>
      <c r="F2830">
        <v>24</v>
      </c>
      <c r="G2830" t="s">
        <v>17</v>
      </c>
      <c r="H2830" s="1">
        <v>45574</v>
      </c>
      <c r="I2830" s="1">
        <v>45598</v>
      </c>
      <c r="J2830" t="str">
        <f t="shared" si="44"/>
        <v>Oct-2024</v>
      </c>
    </row>
    <row r="2831" spans="1:10">
      <c r="A2831">
        <v>2830</v>
      </c>
      <c r="B2831">
        <v>16472</v>
      </c>
      <c r="C2831" t="s">
        <v>18</v>
      </c>
      <c r="D2831">
        <v>100190.41</v>
      </c>
      <c r="E2831" t="s">
        <v>19</v>
      </c>
      <c r="F2831">
        <v>23</v>
      </c>
      <c r="G2831" t="s">
        <v>21</v>
      </c>
      <c r="H2831" s="1">
        <v>45578</v>
      </c>
      <c r="I2831" s="1">
        <v>45601</v>
      </c>
      <c r="J2831" t="str">
        <f t="shared" si="44"/>
        <v>Oct-2024</v>
      </c>
    </row>
    <row r="2832" spans="1:10">
      <c r="A2832">
        <v>2831</v>
      </c>
      <c r="B2832">
        <v>13973</v>
      </c>
      <c r="C2832" t="s">
        <v>23</v>
      </c>
      <c r="D2832">
        <v>16240.33</v>
      </c>
      <c r="E2832" t="s">
        <v>19</v>
      </c>
      <c r="F2832">
        <v>17</v>
      </c>
      <c r="G2832" t="s">
        <v>20</v>
      </c>
      <c r="H2832" s="1">
        <v>45323</v>
      </c>
      <c r="I2832" s="1">
        <v>45340</v>
      </c>
      <c r="J2832" t="str">
        <f t="shared" si="44"/>
        <v>Feb-2024</v>
      </c>
    </row>
    <row r="2833" spans="1:10">
      <c r="A2833">
        <v>2832</v>
      </c>
      <c r="B2833">
        <v>16661</v>
      </c>
      <c r="C2833" t="s">
        <v>23</v>
      </c>
      <c r="D2833">
        <v>187766.1</v>
      </c>
      <c r="E2833" t="s">
        <v>16</v>
      </c>
      <c r="F2833">
        <v>43</v>
      </c>
      <c r="G2833" t="s">
        <v>25</v>
      </c>
      <c r="H2833" s="1">
        <v>45449</v>
      </c>
      <c r="I2833" s="1">
        <v>45492</v>
      </c>
      <c r="J2833" t="str">
        <f t="shared" si="44"/>
        <v>Jun-2024</v>
      </c>
    </row>
    <row r="2834" spans="1:10">
      <c r="A2834">
        <v>2833</v>
      </c>
      <c r="B2834">
        <v>14957</v>
      </c>
      <c r="C2834" t="s">
        <v>23</v>
      </c>
      <c r="D2834">
        <v>119322.23</v>
      </c>
      <c r="E2834" t="s">
        <v>16</v>
      </c>
      <c r="F2834">
        <v>30</v>
      </c>
      <c r="G2834" t="s">
        <v>21</v>
      </c>
      <c r="H2834" s="1">
        <v>45309</v>
      </c>
      <c r="I2834" s="1">
        <v>45339</v>
      </c>
      <c r="J2834" t="str">
        <f t="shared" si="44"/>
        <v>Jan-2024</v>
      </c>
    </row>
    <row r="2835" spans="1:10">
      <c r="A2835">
        <v>2834</v>
      </c>
      <c r="B2835">
        <v>16564</v>
      </c>
      <c r="C2835" t="s">
        <v>23</v>
      </c>
      <c r="D2835">
        <v>141342.67000000001</v>
      </c>
      <c r="E2835" t="s">
        <v>16</v>
      </c>
      <c r="F2835">
        <v>21</v>
      </c>
      <c r="G2835" t="s">
        <v>21</v>
      </c>
      <c r="H2835" s="1">
        <v>45354</v>
      </c>
      <c r="I2835" s="1">
        <v>45375</v>
      </c>
      <c r="J2835" t="str">
        <f t="shared" si="44"/>
        <v>Mar-2024</v>
      </c>
    </row>
    <row r="2836" spans="1:10">
      <c r="A2836">
        <v>2835</v>
      </c>
      <c r="B2836">
        <v>11336</v>
      </c>
      <c r="C2836" t="s">
        <v>22</v>
      </c>
      <c r="D2836">
        <v>107409.28</v>
      </c>
      <c r="E2836" t="s">
        <v>16</v>
      </c>
      <c r="F2836">
        <v>29</v>
      </c>
      <c r="G2836" t="s">
        <v>17</v>
      </c>
      <c r="H2836" s="1">
        <v>45419</v>
      </c>
      <c r="I2836" s="1">
        <v>45448</v>
      </c>
      <c r="J2836" t="str">
        <f t="shared" si="44"/>
        <v>May-2024</v>
      </c>
    </row>
    <row r="2837" spans="1:10">
      <c r="A2837">
        <v>2836</v>
      </c>
      <c r="B2837">
        <v>11667</v>
      </c>
      <c r="C2837" t="s">
        <v>22</v>
      </c>
      <c r="D2837">
        <v>167773.9</v>
      </c>
      <c r="E2837" t="s">
        <v>19</v>
      </c>
      <c r="F2837">
        <v>28</v>
      </c>
      <c r="G2837" t="s">
        <v>17</v>
      </c>
      <c r="H2837" s="1">
        <v>45307</v>
      </c>
      <c r="I2837" s="1">
        <v>45335</v>
      </c>
      <c r="J2837" t="str">
        <f t="shared" si="44"/>
        <v>Jan-2024</v>
      </c>
    </row>
    <row r="2838" spans="1:10">
      <c r="A2838">
        <v>2837</v>
      </c>
      <c r="B2838">
        <v>11825</v>
      </c>
      <c r="C2838" t="s">
        <v>23</v>
      </c>
      <c r="D2838">
        <v>11461.03</v>
      </c>
      <c r="E2838" t="s">
        <v>16</v>
      </c>
      <c r="F2838">
        <v>30</v>
      </c>
      <c r="G2838" t="s">
        <v>25</v>
      </c>
      <c r="H2838" s="1">
        <v>45454</v>
      </c>
      <c r="I2838" s="1">
        <v>45484</v>
      </c>
      <c r="J2838" t="str">
        <f t="shared" si="44"/>
        <v>Jun-2024</v>
      </c>
    </row>
    <row r="2839" spans="1:10">
      <c r="A2839">
        <v>2838</v>
      </c>
      <c r="B2839">
        <v>11212</v>
      </c>
      <c r="C2839" t="s">
        <v>18</v>
      </c>
      <c r="D2839">
        <v>57333.78</v>
      </c>
      <c r="E2839" t="s">
        <v>16</v>
      </c>
      <c r="F2839">
        <v>6</v>
      </c>
      <c r="G2839" t="s">
        <v>21</v>
      </c>
      <c r="H2839" s="1">
        <v>45542</v>
      </c>
      <c r="I2839" s="1">
        <v>45548</v>
      </c>
      <c r="J2839" t="str">
        <f t="shared" si="44"/>
        <v>Sep-2024</v>
      </c>
    </row>
    <row r="2840" spans="1:10">
      <c r="A2840">
        <v>2839</v>
      </c>
      <c r="B2840">
        <v>12768</v>
      </c>
      <c r="C2840" t="s">
        <v>22</v>
      </c>
      <c r="D2840">
        <v>96581.43</v>
      </c>
      <c r="E2840" t="s">
        <v>16</v>
      </c>
      <c r="F2840">
        <v>43</v>
      </c>
      <c r="G2840" t="s">
        <v>21</v>
      </c>
      <c r="H2840" s="1">
        <v>45428</v>
      </c>
      <c r="I2840" s="1">
        <v>45471</v>
      </c>
      <c r="J2840" t="str">
        <f t="shared" si="44"/>
        <v>May-2024</v>
      </c>
    </row>
    <row r="2841" spans="1:10">
      <c r="A2841">
        <v>2840</v>
      </c>
      <c r="B2841">
        <v>15776</v>
      </c>
      <c r="C2841" t="s">
        <v>23</v>
      </c>
      <c r="D2841">
        <v>19937.71</v>
      </c>
      <c r="E2841" t="s">
        <v>19</v>
      </c>
      <c r="F2841">
        <v>39</v>
      </c>
      <c r="G2841" t="s">
        <v>17</v>
      </c>
      <c r="H2841" s="1">
        <v>45609</v>
      </c>
      <c r="I2841" s="1">
        <v>45648</v>
      </c>
      <c r="J2841" t="str">
        <f t="shared" si="44"/>
        <v>Nov-2024</v>
      </c>
    </row>
    <row r="2842" spans="1:10">
      <c r="A2842">
        <v>2841</v>
      </c>
      <c r="B2842">
        <v>10444</v>
      </c>
      <c r="C2842" t="s">
        <v>15</v>
      </c>
      <c r="D2842">
        <v>142651.79999999999</v>
      </c>
      <c r="E2842" t="s">
        <v>16</v>
      </c>
      <c r="F2842">
        <v>39</v>
      </c>
      <c r="G2842" t="s">
        <v>21</v>
      </c>
      <c r="H2842" s="1">
        <v>45586</v>
      </c>
      <c r="I2842" s="1">
        <v>45625</v>
      </c>
      <c r="J2842" t="str">
        <f t="shared" si="44"/>
        <v>Oct-2024</v>
      </c>
    </row>
    <row r="2843" spans="1:10">
      <c r="A2843">
        <v>2842</v>
      </c>
      <c r="B2843">
        <v>19589</v>
      </c>
      <c r="C2843" t="s">
        <v>22</v>
      </c>
      <c r="D2843">
        <v>81764.37</v>
      </c>
      <c r="E2843" t="s">
        <v>16</v>
      </c>
      <c r="F2843">
        <v>3</v>
      </c>
      <c r="G2843" t="s">
        <v>21</v>
      </c>
      <c r="H2843" s="1">
        <v>45470</v>
      </c>
      <c r="I2843" s="1">
        <v>45473</v>
      </c>
      <c r="J2843" t="str">
        <f t="shared" si="44"/>
        <v>Jun-2024</v>
      </c>
    </row>
    <row r="2844" spans="1:10">
      <c r="A2844">
        <v>2843</v>
      </c>
      <c r="B2844">
        <v>14381</v>
      </c>
      <c r="C2844" t="s">
        <v>23</v>
      </c>
      <c r="D2844">
        <v>58170.26</v>
      </c>
      <c r="E2844" t="s">
        <v>16</v>
      </c>
      <c r="F2844">
        <v>21</v>
      </c>
      <c r="G2844" t="s">
        <v>21</v>
      </c>
      <c r="H2844" s="1">
        <v>45520</v>
      </c>
      <c r="I2844" s="1">
        <v>45541</v>
      </c>
      <c r="J2844" t="str">
        <f t="shared" si="44"/>
        <v>Aug-2024</v>
      </c>
    </row>
    <row r="2845" spans="1:10">
      <c r="A2845">
        <v>2844</v>
      </c>
      <c r="B2845">
        <v>13676</v>
      </c>
      <c r="C2845" t="s">
        <v>23</v>
      </c>
      <c r="D2845">
        <v>5658.88</v>
      </c>
      <c r="E2845" t="s">
        <v>19</v>
      </c>
      <c r="F2845">
        <v>44</v>
      </c>
      <c r="G2845" t="s">
        <v>17</v>
      </c>
      <c r="H2845" s="1">
        <v>45471</v>
      </c>
      <c r="I2845" s="1">
        <v>45515</v>
      </c>
      <c r="J2845" t="str">
        <f t="shared" si="44"/>
        <v>Jun-2024</v>
      </c>
    </row>
    <row r="2846" spans="1:10">
      <c r="A2846">
        <v>2845</v>
      </c>
      <c r="B2846">
        <v>12310</v>
      </c>
      <c r="C2846" t="s">
        <v>22</v>
      </c>
      <c r="D2846">
        <v>145366.91</v>
      </c>
      <c r="E2846" t="s">
        <v>24</v>
      </c>
      <c r="G2846" t="s">
        <v>25</v>
      </c>
      <c r="H2846" s="1">
        <v>45363</v>
      </c>
      <c r="J2846" t="str">
        <f t="shared" si="44"/>
        <v>Mar-2024</v>
      </c>
    </row>
    <row r="2847" spans="1:10">
      <c r="A2847">
        <v>2846</v>
      </c>
      <c r="B2847">
        <v>14040</v>
      </c>
      <c r="C2847" t="s">
        <v>18</v>
      </c>
      <c r="D2847">
        <v>167592.82</v>
      </c>
      <c r="E2847" t="s">
        <v>16</v>
      </c>
      <c r="F2847">
        <v>27</v>
      </c>
      <c r="G2847" t="s">
        <v>20</v>
      </c>
      <c r="H2847" s="1">
        <v>45609</v>
      </c>
      <c r="I2847" s="1">
        <v>45636</v>
      </c>
      <c r="J2847" t="str">
        <f t="shared" si="44"/>
        <v>Nov-2024</v>
      </c>
    </row>
    <row r="2848" spans="1:10">
      <c r="A2848">
        <v>2847</v>
      </c>
      <c r="B2848">
        <v>17085</v>
      </c>
      <c r="C2848" t="s">
        <v>23</v>
      </c>
      <c r="D2848">
        <v>82032.899999999994</v>
      </c>
      <c r="E2848" t="s">
        <v>16</v>
      </c>
      <c r="F2848">
        <v>36</v>
      </c>
      <c r="G2848" t="s">
        <v>25</v>
      </c>
      <c r="H2848" s="1">
        <v>45374</v>
      </c>
      <c r="I2848" s="1">
        <v>45410</v>
      </c>
      <c r="J2848" t="str">
        <f t="shared" si="44"/>
        <v>Mar-2024</v>
      </c>
    </row>
    <row r="2849" spans="1:10">
      <c r="A2849">
        <v>2848</v>
      </c>
      <c r="B2849">
        <v>11827</v>
      </c>
      <c r="C2849" t="s">
        <v>23</v>
      </c>
      <c r="D2849">
        <v>115022.51</v>
      </c>
      <c r="E2849" t="s">
        <v>24</v>
      </c>
      <c r="G2849" t="s">
        <v>20</v>
      </c>
      <c r="H2849" s="1">
        <v>45427</v>
      </c>
      <c r="J2849" t="str">
        <f t="shared" si="44"/>
        <v>May-2024</v>
      </c>
    </row>
    <row r="2850" spans="1:10">
      <c r="A2850">
        <v>2849</v>
      </c>
      <c r="B2850">
        <v>16285</v>
      </c>
      <c r="C2850" t="s">
        <v>23</v>
      </c>
      <c r="D2850">
        <v>49398.89</v>
      </c>
      <c r="E2850" t="s">
        <v>16</v>
      </c>
      <c r="F2850">
        <v>29</v>
      </c>
      <c r="G2850" t="s">
        <v>21</v>
      </c>
      <c r="H2850" s="1">
        <v>45509</v>
      </c>
      <c r="I2850" s="1">
        <v>45538</v>
      </c>
      <c r="J2850" t="str">
        <f t="shared" si="44"/>
        <v>Aug-2024</v>
      </c>
    </row>
    <row r="2851" spans="1:10">
      <c r="A2851">
        <v>2850</v>
      </c>
      <c r="B2851">
        <v>13219</v>
      </c>
      <c r="C2851" t="s">
        <v>18</v>
      </c>
      <c r="D2851">
        <v>126328.54</v>
      </c>
      <c r="E2851" t="s">
        <v>16</v>
      </c>
      <c r="F2851">
        <v>42</v>
      </c>
      <c r="G2851" t="s">
        <v>25</v>
      </c>
      <c r="H2851" s="1">
        <v>45400</v>
      </c>
      <c r="I2851" s="1">
        <v>45442</v>
      </c>
      <c r="J2851" t="str">
        <f t="shared" si="44"/>
        <v>Apr-2024</v>
      </c>
    </row>
    <row r="2852" spans="1:10">
      <c r="A2852">
        <v>2851</v>
      </c>
      <c r="B2852">
        <v>15559</v>
      </c>
      <c r="C2852" t="s">
        <v>18</v>
      </c>
      <c r="D2852">
        <v>7366.8</v>
      </c>
      <c r="E2852" t="s">
        <v>16</v>
      </c>
      <c r="F2852">
        <v>16</v>
      </c>
      <c r="G2852" t="s">
        <v>20</v>
      </c>
      <c r="H2852" s="1">
        <v>45410</v>
      </c>
      <c r="I2852" s="1">
        <v>45426</v>
      </c>
      <c r="J2852" t="str">
        <f t="shared" si="44"/>
        <v>Apr-2024</v>
      </c>
    </row>
    <row r="2853" spans="1:10">
      <c r="A2853">
        <v>2852</v>
      </c>
      <c r="B2853">
        <v>16771</v>
      </c>
      <c r="C2853" t="s">
        <v>22</v>
      </c>
      <c r="D2853">
        <v>100285.56</v>
      </c>
      <c r="E2853" t="s">
        <v>16</v>
      </c>
      <c r="F2853">
        <v>9</v>
      </c>
      <c r="G2853" t="s">
        <v>17</v>
      </c>
      <c r="H2853" s="1">
        <v>45309</v>
      </c>
      <c r="I2853" s="1">
        <v>45318</v>
      </c>
      <c r="J2853" t="str">
        <f t="shared" si="44"/>
        <v>Jan-2024</v>
      </c>
    </row>
    <row r="2854" spans="1:10">
      <c r="A2854">
        <v>2853</v>
      </c>
      <c r="B2854">
        <v>14688</v>
      </c>
      <c r="C2854" t="s">
        <v>23</v>
      </c>
      <c r="D2854">
        <v>130620.07</v>
      </c>
      <c r="E2854" t="s">
        <v>16</v>
      </c>
      <c r="F2854">
        <v>12</v>
      </c>
      <c r="G2854" t="s">
        <v>17</v>
      </c>
      <c r="H2854" s="1">
        <v>45623</v>
      </c>
      <c r="I2854" s="1">
        <v>45635</v>
      </c>
      <c r="J2854" t="str">
        <f t="shared" si="44"/>
        <v>Nov-2024</v>
      </c>
    </row>
    <row r="2855" spans="1:10">
      <c r="A2855">
        <v>2854</v>
      </c>
      <c r="B2855">
        <v>14511</v>
      </c>
      <c r="C2855" t="s">
        <v>18</v>
      </c>
      <c r="D2855">
        <v>184047.4</v>
      </c>
      <c r="E2855" t="s">
        <v>19</v>
      </c>
      <c r="F2855">
        <v>30</v>
      </c>
      <c r="G2855" t="s">
        <v>25</v>
      </c>
      <c r="H2855" s="1">
        <v>45445</v>
      </c>
      <c r="I2855" s="1">
        <v>45475</v>
      </c>
      <c r="J2855" t="str">
        <f t="shared" si="44"/>
        <v>Jun-2024</v>
      </c>
    </row>
    <row r="2856" spans="1:10">
      <c r="A2856">
        <v>2855</v>
      </c>
      <c r="B2856">
        <v>12072</v>
      </c>
      <c r="C2856" t="s">
        <v>18</v>
      </c>
      <c r="D2856">
        <v>79360.479999999996</v>
      </c>
      <c r="E2856" t="s">
        <v>16</v>
      </c>
      <c r="F2856">
        <v>6</v>
      </c>
      <c r="G2856" t="s">
        <v>25</v>
      </c>
      <c r="H2856" s="1">
        <v>45302</v>
      </c>
      <c r="I2856" s="1">
        <v>45308</v>
      </c>
      <c r="J2856" t="str">
        <f t="shared" si="44"/>
        <v>Jan-2024</v>
      </c>
    </row>
    <row r="2857" spans="1:10">
      <c r="A2857">
        <v>2856</v>
      </c>
      <c r="B2857">
        <v>16770</v>
      </c>
      <c r="C2857" t="s">
        <v>23</v>
      </c>
      <c r="D2857">
        <v>154212.09</v>
      </c>
      <c r="E2857" t="s">
        <v>16</v>
      </c>
      <c r="F2857">
        <v>8</v>
      </c>
      <c r="G2857" t="s">
        <v>21</v>
      </c>
      <c r="H2857" s="1">
        <v>45429</v>
      </c>
      <c r="I2857" s="1">
        <v>45437</v>
      </c>
      <c r="J2857" t="str">
        <f t="shared" si="44"/>
        <v>May-2024</v>
      </c>
    </row>
    <row r="2858" spans="1:10">
      <c r="A2858">
        <v>2857</v>
      </c>
      <c r="B2858">
        <v>16328</v>
      </c>
      <c r="C2858" t="s">
        <v>23</v>
      </c>
      <c r="D2858">
        <v>121548.97</v>
      </c>
      <c r="E2858" t="s">
        <v>19</v>
      </c>
      <c r="F2858">
        <v>19</v>
      </c>
      <c r="G2858" t="s">
        <v>25</v>
      </c>
      <c r="H2858" s="1">
        <v>45353</v>
      </c>
      <c r="I2858" s="1">
        <v>45372</v>
      </c>
      <c r="J2858" t="str">
        <f t="shared" si="44"/>
        <v>Mar-2024</v>
      </c>
    </row>
    <row r="2859" spans="1:10">
      <c r="A2859">
        <v>2858</v>
      </c>
      <c r="B2859">
        <v>12330</v>
      </c>
      <c r="C2859" t="s">
        <v>22</v>
      </c>
      <c r="D2859">
        <v>185767.36</v>
      </c>
      <c r="E2859" t="s">
        <v>16</v>
      </c>
      <c r="F2859">
        <v>29</v>
      </c>
      <c r="G2859" t="s">
        <v>21</v>
      </c>
      <c r="H2859" s="1">
        <v>45362</v>
      </c>
      <c r="I2859" s="1">
        <v>45391</v>
      </c>
      <c r="J2859" t="str">
        <f t="shared" si="44"/>
        <v>Mar-2024</v>
      </c>
    </row>
    <row r="2860" spans="1:10">
      <c r="A2860">
        <v>2859</v>
      </c>
      <c r="B2860">
        <v>10685</v>
      </c>
      <c r="C2860" t="s">
        <v>15</v>
      </c>
      <c r="D2860">
        <v>82683.649999999994</v>
      </c>
      <c r="E2860" t="s">
        <v>16</v>
      </c>
      <c r="F2860">
        <v>13</v>
      </c>
      <c r="G2860" t="s">
        <v>21</v>
      </c>
      <c r="H2860" s="1">
        <v>45352</v>
      </c>
      <c r="I2860" s="1">
        <v>45365</v>
      </c>
      <c r="J2860" t="str">
        <f t="shared" si="44"/>
        <v>Mar-2024</v>
      </c>
    </row>
    <row r="2861" spans="1:10">
      <c r="A2861">
        <v>2860</v>
      </c>
      <c r="B2861">
        <v>14958</v>
      </c>
      <c r="C2861" t="s">
        <v>23</v>
      </c>
      <c r="D2861">
        <v>67223.59</v>
      </c>
      <c r="E2861" t="s">
        <v>16</v>
      </c>
      <c r="F2861">
        <v>13</v>
      </c>
      <c r="G2861" t="s">
        <v>17</v>
      </c>
      <c r="H2861" s="1">
        <v>45423</v>
      </c>
      <c r="I2861" s="1">
        <v>45436</v>
      </c>
      <c r="J2861" t="str">
        <f t="shared" si="44"/>
        <v>May-2024</v>
      </c>
    </row>
    <row r="2862" spans="1:10">
      <c r="A2862">
        <v>2861</v>
      </c>
      <c r="B2862">
        <v>10684</v>
      </c>
      <c r="C2862" t="s">
        <v>18</v>
      </c>
      <c r="D2862">
        <v>177992.69</v>
      </c>
      <c r="E2862" t="s">
        <v>19</v>
      </c>
      <c r="F2862">
        <v>37</v>
      </c>
      <c r="G2862" t="s">
        <v>17</v>
      </c>
      <c r="H2862" s="1">
        <v>45352</v>
      </c>
      <c r="I2862" s="1">
        <v>45389</v>
      </c>
      <c r="J2862" t="str">
        <f t="shared" si="44"/>
        <v>Mar-2024</v>
      </c>
    </row>
    <row r="2863" spans="1:10">
      <c r="A2863">
        <v>2862</v>
      </c>
      <c r="B2863">
        <v>18532</v>
      </c>
      <c r="C2863" t="s">
        <v>23</v>
      </c>
      <c r="D2863">
        <v>14602.66</v>
      </c>
      <c r="E2863" t="s">
        <v>19</v>
      </c>
      <c r="F2863">
        <v>30</v>
      </c>
      <c r="G2863" t="s">
        <v>20</v>
      </c>
      <c r="H2863" s="1">
        <v>45649</v>
      </c>
      <c r="I2863" s="1">
        <v>45679</v>
      </c>
      <c r="J2863" t="str">
        <f t="shared" si="44"/>
        <v>Dec-2024</v>
      </c>
    </row>
    <row r="2864" spans="1:10">
      <c r="A2864">
        <v>2863</v>
      </c>
      <c r="B2864">
        <v>10733</v>
      </c>
      <c r="C2864" t="s">
        <v>18</v>
      </c>
      <c r="D2864">
        <v>31595.15</v>
      </c>
      <c r="E2864" t="s">
        <v>24</v>
      </c>
      <c r="G2864" t="s">
        <v>17</v>
      </c>
      <c r="H2864" s="1">
        <v>45560</v>
      </c>
      <c r="J2864" t="str">
        <f t="shared" si="44"/>
        <v>Sep-2024</v>
      </c>
    </row>
    <row r="2865" spans="1:10">
      <c r="A2865">
        <v>2864</v>
      </c>
      <c r="B2865">
        <v>11496</v>
      </c>
      <c r="C2865" t="s">
        <v>18</v>
      </c>
      <c r="D2865">
        <v>21068.86</v>
      </c>
      <c r="E2865" t="s">
        <v>19</v>
      </c>
      <c r="F2865">
        <v>7</v>
      </c>
      <c r="G2865" t="s">
        <v>17</v>
      </c>
      <c r="H2865" s="1">
        <v>45303</v>
      </c>
      <c r="I2865" s="1">
        <v>45310</v>
      </c>
      <c r="J2865" t="str">
        <f t="shared" si="44"/>
        <v>Jan-2024</v>
      </c>
    </row>
    <row r="2866" spans="1:10">
      <c r="A2866">
        <v>2865</v>
      </c>
      <c r="B2866">
        <v>19323</v>
      </c>
      <c r="C2866" t="s">
        <v>18</v>
      </c>
      <c r="D2866">
        <v>169406.44</v>
      </c>
      <c r="E2866" t="s">
        <v>16</v>
      </c>
      <c r="F2866">
        <v>22</v>
      </c>
      <c r="G2866" t="s">
        <v>25</v>
      </c>
      <c r="H2866" s="1">
        <v>45326</v>
      </c>
      <c r="I2866" s="1">
        <v>45348</v>
      </c>
      <c r="J2866" t="str">
        <f t="shared" si="44"/>
        <v>Feb-2024</v>
      </c>
    </row>
    <row r="2867" spans="1:10">
      <c r="A2867">
        <v>2866</v>
      </c>
      <c r="B2867">
        <v>15450</v>
      </c>
      <c r="C2867" t="s">
        <v>22</v>
      </c>
      <c r="D2867">
        <v>7068.45</v>
      </c>
      <c r="E2867" t="s">
        <v>16</v>
      </c>
      <c r="F2867">
        <v>11</v>
      </c>
      <c r="G2867" t="s">
        <v>17</v>
      </c>
      <c r="H2867" s="1">
        <v>45342</v>
      </c>
      <c r="I2867" s="1">
        <v>45353</v>
      </c>
      <c r="J2867" t="str">
        <f t="shared" si="44"/>
        <v>Feb-2024</v>
      </c>
    </row>
    <row r="2868" spans="1:10">
      <c r="A2868">
        <v>2867</v>
      </c>
      <c r="B2868">
        <v>14635</v>
      </c>
      <c r="C2868" t="s">
        <v>18</v>
      </c>
      <c r="D2868">
        <v>173023.15</v>
      </c>
      <c r="E2868" t="s">
        <v>19</v>
      </c>
      <c r="F2868">
        <v>33</v>
      </c>
      <c r="G2868" t="s">
        <v>20</v>
      </c>
      <c r="H2868" s="1">
        <v>45334</v>
      </c>
      <c r="I2868" s="1">
        <v>45367</v>
      </c>
      <c r="J2868" t="str">
        <f t="shared" si="44"/>
        <v>Feb-2024</v>
      </c>
    </row>
    <row r="2869" spans="1:10">
      <c r="A2869">
        <v>2868</v>
      </c>
      <c r="B2869">
        <v>11732</v>
      </c>
      <c r="C2869" t="s">
        <v>23</v>
      </c>
      <c r="D2869">
        <v>92997.22</v>
      </c>
      <c r="E2869" t="s">
        <v>16</v>
      </c>
      <c r="F2869">
        <v>34</v>
      </c>
      <c r="G2869" t="s">
        <v>25</v>
      </c>
      <c r="H2869" s="1">
        <v>45519</v>
      </c>
      <c r="I2869" s="1">
        <v>45553</v>
      </c>
      <c r="J2869" t="str">
        <f t="shared" si="44"/>
        <v>Aug-2024</v>
      </c>
    </row>
    <row r="2870" spans="1:10">
      <c r="A2870">
        <v>2869</v>
      </c>
      <c r="B2870">
        <v>16527</v>
      </c>
      <c r="C2870" t="s">
        <v>18</v>
      </c>
      <c r="D2870">
        <v>5784.93</v>
      </c>
      <c r="E2870" t="s">
        <v>16</v>
      </c>
      <c r="F2870">
        <v>18</v>
      </c>
      <c r="G2870" t="s">
        <v>20</v>
      </c>
      <c r="H2870" s="1">
        <v>45402</v>
      </c>
      <c r="I2870" s="1">
        <v>45420</v>
      </c>
      <c r="J2870" t="str">
        <f t="shared" si="44"/>
        <v>Apr-2024</v>
      </c>
    </row>
    <row r="2871" spans="1:10">
      <c r="A2871">
        <v>2870</v>
      </c>
      <c r="B2871">
        <v>16725</v>
      </c>
      <c r="C2871" t="s">
        <v>23</v>
      </c>
      <c r="D2871">
        <v>83320.81</v>
      </c>
      <c r="E2871" t="s">
        <v>16</v>
      </c>
      <c r="F2871">
        <v>4</v>
      </c>
      <c r="G2871" t="s">
        <v>17</v>
      </c>
      <c r="H2871" s="1">
        <v>45613</v>
      </c>
      <c r="I2871" s="1">
        <v>45617</v>
      </c>
      <c r="J2871" t="str">
        <f t="shared" si="44"/>
        <v>Nov-2024</v>
      </c>
    </row>
    <row r="2872" spans="1:10">
      <c r="A2872">
        <v>2871</v>
      </c>
      <c r="B2872">
        <v>16303</v>
      </c>
      <c r="C2872" t="s">
        <v>23</v>
      </c>
      <c r="D2872">
        <v>41426.160000000003</v>
      </c>
      <c r="E2872" t="s">
        <v>16</v>
      </c>
      <c r="F2872">
        <v>44</v>
      </c>
      <c r="G2872" t="s">
        <v>20</v>
      </c>
      <c r="H2872" s="1">
        <v>45306</v>
      </c>
      <c r="I2872" s="1">
        <v>45350</v>
      </c>
      <c r="J2872" t="str">
        <f t="shared" si="44"/>
        <v>Jan-2024</v>
      </c>
    </row>
    <row r="2873" spans="1:10">
      <c r="A2873">
        <v>2872</v>
      </c>
      <c r="B2873">
        <v>18031</v>
      </c>
      <c r="C2873" t="s">
        <v>23</v>
      </c>
      <c r="D2873">
        <v>126758.1</v>
      </c>
      <c r="E2873" t="s">
        <v>24</v>
      </c>
      <c r="G2873" t="s">
        <v>25</v>
      </c>
      <c r="H2873" s="1">
        <v>45468</v>
      </c>
      <c r="J2873" t="str">
        <f t="shared" si="44"/>
        <v>Jun-2024</v>
      </c>
    </row>
    <row r="2874" spans="1:10">
      <c r="A2874">
        <v>2873</v>
      </c>
      <c r="B2874">
        <v>11419</v>
      </c>
      <c r="C2874" t="s">
        <v>23</v>
      </c>
      <c r="D2874">
        <v>137474.96</v>
      </c>
      <c r="E2874" t="s">
        <v>16</v>
      </c>
      <c r="F2874">
        <v>11</v>
      </c>
      <c r="G2874" t="s">
        <v>21</v>
      </c>
      <c r="H2874" s="1">
        <v>45453</v>
      </c>
      <c r="I2874" s="1">
        <v>45464</v>
      </c>
      <c r="J2874" t="str">
        <f t="shared" si="44"/>
        <v>Jun-2024</v>
      </c>
    </row>
    <row r="2875" spans="1:10">
      <c r="A2875">
        <v>2874</v>
      </c>
      <c r="B2875">
        <v>14710</v>
      </c>
      <c r="C2875" t="s">
        <v>18</v>
      </c>
      <c r="D2875">
        <v>100067.88</v>
      </c>
      <c r="E2875" t="s">
        <v>16</v>
      </c>
      <c r="F2875">
        <v>42</v>
      </c>
      <c r="G2875" t="s">
        <v>20</v>
      </c>
      <c r="H2875" s="1">
        <v>45330</v>
      </c>
      <c r="I2875" s="1">
        <v>45372</v>
      </c>
      <c r="J2875" t="str">
        <f t="shared" si="44"/>
        <v>Feb-2024</v>
      </c>
    </row>
    <row r="2876" spans="1:10">
      <c r="A2876">
        <v>2875</v>
      </c>
      <c r="B2876">
        <v>18679</v>
      </c>
      <c r="C2876" t="s">
        <v>23</v>
      </c>
      <c r="D2876">
        <v>12901.31</v>
      </c>
      <c r="E2876" t="s">
        <v>24</v>
      </c>
      <c r="G2876" t="s">
        <v>20</v>
      </c>
      <c r="H2876" s="1">
        <v>45317</v>
      </c>
      <c r="J2876" t="str">
        <f t="shared" si="44"/>
        <v>Jan-2024</v>
      </c>
    </row>
    <row r="2877" spans="1:10">
      <c r="A2877">
        <v>2876</v>
      </c>
      <c r="B2877">
        <v>11441</v>
      </c>
      <c r="C2877" t="s">
        <v>18</v>
      </c>
      <c r="D2877">
        <v>132945.12</v>
      </c>
      <c r="E2877" t="s">
        <v>16</v>
      </c>
      <c r="F2877">
        <v>44</v>
      </c>
      <c r="G2877" t="s">
        <v>25</v>
      </c>
      <c r="H2877" s="1">
        <v>45403</v>
      </c>
      <c r="I2877" s="1">
        <v>45447</v>
      </c>
      <c r="J2877" t="str">
        <f t="shared" si="44"/>
        <v>Apr-2024</v>
      </c>
    </row>
    <row r="2878" spans="1:10">
      <c r="A2878">
        <v>2877</v>
      </c>
      <c r="B2878">
        <v>12390</v>
      </c>
      <c r="C2878" t="s">
        <v>18</v>
      </c>
      <c r="D2878">
        <v>169197.56</v>
      </c>
      <c r="E2878" t="s">
        <v>16</v>
      </c>
      <c r="F2878">
        <v>9</v>
      </c>
      <c r="G2878" t="s">
        <v>25</v>
      </c>
      <c r="H2878" s="1">
        <v>45342</v>
      </c>
      <c r="I2878" s="1">
        <v>45351</v>
      </c>
      <c r="J2878" t="str">
        <f t="shared" si="44"/>
        <v>Feb-2024</v>
      </c>
    </row>
    <row r="2879" spans="1:10">
      <c r="A2879">
        <v>2878</v>
      </c>
      <c r="B2879">
        <v>11384</v>
      </c>
      <c r="C2879" t="s">
        <v>23</v>
      </c>
      <c r="D2879">
        <v>145463.23000000001</v>
      </c>
      <c r="E2879" t="s">
        <v>16</v>
      </c>
      <c r="F2879">
        <v>35</v>
      </c>
      <c r="G2879" t="s">
        <v>20</v>
      </c>
      <c r="H2879" s="1">
        <v>45389</v>
      </c>
      <c r="I2879" s="1">
        <v>45424</v>
      </c>
      <c r="J2879" t="str">
        <f t="shared" si="44"/>
        <v>Apr-2024</v>
      </c>
    </row>
    <row r="2880" spans="1:10">
      <c r="A2880">
        <v>2879</v>
      </c>
      <c r="B2880">
        <v>12156</v>
      </c>
      <c r="C2880" t="s">
        <v>15</v>
      </c>
      <c r="D2880">
        <v>166841.79</v>
      </c>
      <c r="E2880" t="s">
        <v>19</v>
      </c>
      <c r="F2880">
        <v>38</v>
      </c>
      <c r="G2880" t="s">
        <v>17</v>
      </c>
      <c r="H2880" s="1">
        <v>45461</v>
      </c>
      <c r="I2880" s="1">
        <v>45499</v>
      </c>
      <c r="J2880" t="str">
        <f t="shared" si="44"/>
        <v>Jun-2024</v>
      </c>
    </row>
    <row r="2881" spans="1:10">
      <c r="A2881">
        <v>2880</v>
      </c>
      <c r="B2881">
        <v>14396</v>
      </c>
      <c r="C2881" t="s">
        <v>23</v>
      </c>
      <c r="D2881">
        <v>44099.360000000001</v>
      </c>
      <c r="E2881" t="s">
        <v>19</v>
      </c>
      <c r="F2881">
        <v>42</v>
      </c>
      <c r="G2881" t="s">
        <v>20</v>
      </c>
      <c r="H2881" s="1">
        <v>45347</v>
      </c>
      <c r="I2881" s="1">
        <v>45389</v>
      </c>
      <c r="J2881" t="str">
        <f t="shared" si="44"/>
        <v>Feb-2024</v>
      </c>
    </row>
    <row r="2882" spans="1:10">
      <c r="A2882">
        <v>2881</v>
      </c>
      <c r="B2882">
        <v>11391</v>
      </c>
      <c r="C2882" t="s">
        <v>23</v>
      </c>
      <c r="D2882">
        <v>178333.15</v>
      </c>
      <c r="E2882" t="s">
        <v>19</v>
      </c>
      <c r="F2882">
        <v>34</v>
      </c>
      <c r="G2882" t="s">
        <v>25</v>
      </c>
      <c r="H2882" s="1">
        <v>45512</v>
      </c>
      <c r="I2882" s="1">
        <v>45546</v>
      </c>
      <c r="J2882" t="str">
        <f t="shared" si="44"/>
        <v>Aug-2024</v>
      </c>
    </row>
    <row r="2883" spans="1:10">
      <c r="A2883">
        <v>2882</v>
      </c>
      <c r="B2883">
        <v>17422</v>
      </c>
      <c r="C2883" t="s">
        <v>18</v>
      </c>
      <c r="D2883">
        <v>67827.72</v>
      </c>
      <c r="E2883" t="s">
        <v>19</v>
      </c>
      <c r="F2883">
        <v>11</v>
      </c>
      <c r="G2883" t="s">
        <v>21</v>
      </c>
      <c r="H2883" s="1">
        <v>45616</v>
      </c>
      <c r="I2883" s="1">
        <v>45627</v>
      </c>
      <c r="J2883" t="str">
        <f t="shared" ref="J2883:J2946" si="45">TEXT(H2883,"mmm-yyyy")</f>
        <v>Nov-2024</v>
      </c>
    </row>
    <row r="2884" spans="1:10">
      <c r="A2884">
        <v>2883</v>
      </c>
      <c r="B2884">
        <v>15435</v>
      </c>
      <c r="C2884" t="s">
        <v>23</v>
      </c>
      <c r="D2884">
        <v>7613.94</v>
      </c>
      <c r="E2884" t="s">
        <v>16</v>
      </c>
      <c r="F2884">
        <v>41</v>
      </c>
      <c r="G2884" t="s">
        <v>21</v>
      </c>
      <c r="H2884" s="1">
        <v>45437</v>
      </c>
      <c r="I2884" s="1">
        <v>45478</v>
      </c>
      <c r="J2884" t="str">
        <f t="shared" si="45"/>
        <v>May-2024</v>
      </c>
    </row>
    <row r="2885" spans="1:10">
      <c r="A2885">
        <v>2884</v>
      </c>
      <c r="B2885">
        <v>14800</v>
      </c>
      <c r="C2885" t="s">
        <v>23</v>
      </c>
      <c r="D2885">
        <v>169461.37</v>
      </c>
      <c r="E2885" t="s">
        <v>19</v>
      </c>
      <c r="F2885">
        <v>19</v>
      </c>
      <c r="G2885" t="s">
        <v>17</v>
      </c>
      <c r="H2885" s="1">
        <v>45551</v>
      </c>
      <c r="I2885" s="1">
        <v>45570</v>
      </c>
      <c r="J2885" t="str">
        <f t="shared" si="45"/>
        <v>Sep-2024</v>
      </c>
    </row>
    <row r="2886" spans="1:10">
      <c r="A2886">
        <v>2885</v>
      </c>
      <c r="B2886">
        <v>13142</v>
      </c>
      <c r="C2886" t="s">
        <v>18</v>
      </c>
      <c r="D2886">
        <v>188655.15</v>
      </c>
      <c r="E2886" t="s">
        <v>19</v>
      </c>
      <c r="F2886">
        <v>26</v>
      </c>
      <c r="G2886" t="s">
        <v>20</v>
      </c>
      <c r="H2886" s="1">
        <v>45420</v>
      </c>
      <c r="I2886" s="1">
        <v>45446</v>
      </c>
      <c r="J2886" t="str">
        <f t="shared" si="45"/>
        <v>May-2024</v>
      </c>
    </row>
    <row r="2887" spans="1:10">
      <c r="A2887">
        <v>2886</v>
      </c>
      <c r="B2887">
        <v>10268</v>
      </c>
      <c r="C2887" t="s">
        <v>18</v>
      </c>
      <c r="D2887">
        <v>132833.85</v>
      </c>
      <c r="E2887" t="s">
        <v>16</v>
      </c>
      <c r="F2887">
        <v>43</v>
      </c>
      <c r="G2887" t="s">
        <v>21</v>
      </c>
      <c r="H2887" s="1">
        <v>45341</v>
      </c>
      <c r="I2887" s="1">
        <v>45384</v>
      </c>
      <c r="J2887" t="str">
        <f t="shared" si="45"/>
        <v>Feb-2024</v>
      </c>
    </row>
    <row r="2888" spans="1:10">
      <c r="A2888">
        <v>2887</v>
      </c>
      <c r="B2888">
        <v>13917</v>
      </c>
      <c r="C2888" t="s">
        <v>23</v>
      </c>
      <c r="D2888">
        <v>50130.14</v>
      </c>
      <c r="E2888" t="s">
        <v>16</v>
      </c>
      <c r="F2888">
        <v>42</v>
      </c>
      <c r="G2888" t="s">
        <v>20</v>
      </c>
      <c r="H2888" s="1">
        <v>45631</v>
      </c>
      <c r="I2888" s="1">
        <v>45673</v>
      </c>
      <c r="J2888" t="str">
        <f t="shared" si="45"/>
        <v>Dec-2024</v>
      </c>
    </row>
    <row r="2889" spans="1:10">
      <c r="A2889">
        <v>2888</v>
      </c>
      <c r="B2889">
        <v>19716</v>
      </c>
      <c r="C2889" t="s">
        <v>22</v>
      </c>
      <c r="D2889">
        <v>54090.17</v>
      </c>
      <c r="E2889" t="s">
        <v>24</v>
      </c>
      <c r="G2889" t="s">
        <v>25</v>
      </c>
      <c r="H2889" s="1">
        <v>45617</v>
      </c>
      <c r="J2889" t="str">
        <f t="shared" si="45"/>
        <v>Nov-2024</v>
      </c>
    </row>
    <row r="2890" spans="1:10">
      <c r="A2890">
        <v>2889</v>
      </c>
      <c r="B2890">
        <v>18669</v>
      </c>
      <c r="C2890" t="s">
        <v>18</v>
      </c>
      <c r="D2890">
        <v>95985.61</v>
      </c>
      <c r="E2890" t="s">
        <v>19</v>
      </c>
      <c r="F2890">
        <v>3</v>
      </c>
      <c r="G2890" t="s">
        <v>21</v>
      </c>
      <c r="H2890" s="1">
        <v>45311</v>
      </c>
      <c r="I2890" s="1">
        <v>45314</v>
      </c>
      <c r="J2890" t="str">
        <f t="shared" si="45"/>
        <v>Jan-2024</v>
      </c>
    </row>
    <row r="2891" spans="1:10">
      <c r="A2891">
        <v>2890</v>
      </c>
      <c r="B2891">
        <v>14271</v>
      </c>
      <c r="C2891" t="s">
        <v>15</v>
      </c>
      <c r="D2891">
        <v>180077.06</v>
      </c>
      <c r="E2891" t="s">
        <v>19</v>
      </c>
      <c r="F2891">
        <v>20</v>
      </c>
      <c r="G2891" t="s">
        <v>17</v>
      </c>
      <c r="H2891" s="1">
        <v>45465</v>
      </c>
      <c r="I2891" s="1">
        <v>45485</v>
      </c>
      <c r="J2891" t="str">
        <f t="shared" si="45"/>
        <v>Jun-2024</v>
      </c>
    </row>
    <row r="2892" spans="1:10">
      <c r="A2892">
        <v>2891</v>
      </c>
      <c r="B2892">
        <v>10238</v>
      </c>
      <c r="C2892" t="s">
        <v>23</v>
      </c>
      <c r="D2892">
        <v>34171.54</v>
      </c>
      <c r="E2892" t="s">
        <v>19</v>
      </c>
      <c r="F2892">
        <v>11</v>
      </c>
      <c r="G2892" t="s">
        <v>25</v>
      </c>
      <c r="H2892" s="1">
        <v>45574</v>
      </c>
      <c r="I2892" s="1">
        <v>45585</v>
      </c>
      <c r="J2892" t="str">
        <f t="shared" si="45"/>
        <v>Oct-2024</v>
      </c>
    </row>
    <row r="2893" spans="1:10">
      <c r="A2893">
        <v>2892</v>
      </c>
      <c r="B2893">
        <v>18801</v>
      </c>
      <c r="C2893" t="s">
        <v>18</v>
      </c>
      <c r="D2893">
        <v>166064.87</v>
      </c>
      <c r="E2893" t="s">
        <v>16</v>
      </c>
      <c r="F2893">
        <v>4</v>
      </c>
      <c r="G2893" t="s">
        <v>17</v>
      </c>
      <c r="H2893" s="1">
        <v>45317</v>
      </c>
      <c r="I2893" s="1">
        <v>45321</v>
      </c>
      <c r="J2893" t="str">
        <f t="shared" si="45"/>
        <v>Jan-2024</v>
      </c>
    </row>
    <row r="2894" spans="1:10">
      <c r="A2894">
        <v>2893</v>
      </c>
      <c r="B2894">
        <v>17002</v>
      </c>
      <c r="C2894" t="s">
        <v>15</v>
      </c>
      <c r="D2894">
        <v>61804.05</v>
      </c>
      <c r="E2894" t="s">
        <v>16</v>
      </c>
      <c r="F2894">
        <v>20</v>
      </c>
      <c r="G2894" t="s">
        <v>25</v>
      </c>
      <c r="H2894" s="1">
        <v>45451</v>
      </c>
      <c r="I2894" s="1">
        <v>45471</v>
      </c>
      <c r="J2894" t="str">
        <f t="shared" si="45"/>
        <v>Jun-2024</v>
      </c>
    </row>
    <row r="2895" spans="1:10">
      <c r="A2895">
        <v>2894</v>
      </c>
      <c r="B2895">
        <v>17768</v>
      </c>
      <c r="C2895" t="s">
        <v>18</v>
      </c>
      <c r="D2895">
        <v>162674.29999999999</v>
      </c>
      <c r="E2895" t="s">
        <v>16</v>
      </c>
      <c r="F2895">
        <v>27</v>
      </c>
      <c r="G2895" t="s">
        <v>21</v>
      </c>
      <c r="H2895" s="1">
        <v>45301</v>
      </c>
      <c r="I2895" s="1">
        <v>45328</v>
      </c>
      <c r="J2895" t="str">
        <f t="shared" si="45"/>
        <v>Jan-2024</v>
      </c>
    </row>
    <row r="2896" spans="1:10">
      <c r="A2896">
        <v>2895</v>
      </c>
      <c r="B2896">
        <v>15883</v>
      </c>
      <c r="C2896" t="s">
        <v>18</v>
      </c>
      <c r="D2896">
        <v>184452.88</v>
      </c>
      <c r="E2896" t="s">
        <v>16</v>
      </c>
      <c r="F2896">
        <v>26</v>
      </c>
      <c r="G2896" t="s">
        <v>17</v>
      </c>
      <c r="H2896" s="1">
        <v>45373</v>
      </c>
      <c r="I2896" s="1">
        <v>45399</v>
      </c>
      <c r="J2896" t="str">
        <f t="shared" si="45"/>
        <v>Mar-2024</v>
      </c>
    </row>
    <row r="2897" spans="1:10">
      <c r="A2897">
        <v>2896</v>
      </c>
      <c r="B2897">
        <v>15785</v>
      </c>
      <c r="C2897" t="s">
        <v>23</v>
      </c>
      <c r="D2897">
        <v>88361.31</v>
      </c>
      <c r="E2897" t="s">
        <v>19</v>
      </c>
      <c r="F2897">
        <v>18</v>
      </c>
      <c r="G2897" t="s">
        <v>17</v>
      </c>
      <c r="H2897" s="1">
        <v>45547</v>
      </c>
      <c r="I2897" s="1">
        <v>45565</v>
      </c>
      <c r="J2897" t="str">
        <f t="shared" si="45"/>
        <v>Sep-2024</v>
      </c>
    </row>
    <row r="2898" spans="1:10">
      <c r="A2898">
        <v>2897</v>
      </c>
      <c r="B2898">
        <v>15093</v>
      </c>
      <c r="C2898" t="s">
        <v>23</v>
      </c>
      <c r="D2898">
        <v>76184.88</v>
      </c>
      <c r="E2898" t="s">
        <v>16</v>
      </c>
      <c r="F2898">
        <v>11</v>
      </c>
      <c r="G2898" t="s">
        <v>25</v>
      </c>
      <c r="H2898" s="1">
        <v>45396</v>
      </c>
      <c r="I2898" s="1">
        <v>45407</v>
      </c>
      <c r="J2898" t="str">
        <f t="shared" si="45"/>
        <v>Apr-2024</v>
      </c>
    </row>
    <row r="2899" spans="1:10">
      <c r="A2899">
        <v>2898</v>
      </c>
      <c r="B2899">
        <v>16438</v>
      </c>
      <c r="C2899" t="s">
        <v>23</v>
      </c>
      <c r="D2899">
        <v>161433.16</v>
      </c>
      <c r="E2899" t="s">
        <v>16</v>
      </c>
      <c r="F2899">
        <v>12</v>
      </c>
      <c r="G2899" t="s">
        <v>17</v>
      </c>
      <c r="H2899" s="1">
        <v>45431</v>
      </c>
      <c r="I2899" s="1">
        <v>45443</v>
      </c>
      <c r="J2899" t="str">
        <f t="shared" si="45"/>
        <v>May-2024</v>
      </c>
    </row>
    <row r="2900" spans="1:10">
      <c r="A2900">
        <v>2899</v>
      </c>
      <c r="B2900">
        <v>16174</v>
      </c>
      <c r="C2900" t="s">
        <v>23</v>
      </c>
      <c r="D2900">
        <v>108249.16</v>
      </c>
      <c r="E2900" t="s">
        <v>16</v>
      </c>
      <c r="F2900">
        <v>12</v>
      </c>
      <c r="G2900" t="s">
        <v>25</v>
      </c>
      <c r="H2900" s="1">
        <v>45493</v>
      </c>
      <c r="I2900" s="1">
        <v>45505</v>
      </c>
      <c r="J2900" t="str">
        <f t="shared" si="45"/>
        <v>Jul-2024</v>
      </c>
    </row>
    <row r="2901" spans="1:10">
      <c r="A2901">
        <v>2900</v>
      </c>
      <c r="B2901">
        <v>19346</v>
      </c>
      <c r="C2901" t="s">
        <v>15</v>
      </c>
      <c r="D2901">
        <v>138467.56</v>
      </c>
      <c r="E2901" t="s">
        <v>16</v>
      </c>
      <c r="F2901">
        <v>13</v>
      </c>
      <c r="G2901" t="s">
        <v>25</v>
      </c>
      <c r="H2901" s="1">
        <v>45635</v>
      </c>
      <c r="I2901" s="1">
        <v>45648</v>
      </c>
      <c r="J2901" t="str">
        <f t="shared" si="45"/>
        <v>Dec-2024</v>
      </c>
    </row>
    <row r="2902" spans="1:10">
      <c r="A2902">
        <v>2901</v>
      </c>
      <c r="B2902">
        <v>19943</v>
      </c>
      <c r="C2902" t="s">
        <v>23</v>
      </c>
      <c r="D2902">
        <v>126451.7</v>
      </c>
      <c r="E2902" t="s">
        <v>16</v>
      </c>
      <c r="F2902">
        <v>41</v>
      </c>
      <c r="G2902" t="s">
        <v>25</v>
      </c>
      <c r="H2902" s="1">
        <v>45315</v>
      </c>
      <c r="I2902" s="1">
        <v>45356</v>
      </c>
      <c r="J2902" t="str">
        <f t="shared" si="45"/>
        <v>Jan-2024</v>
      </c>
    </row>
    <row r="2903" spans="1:10">
      <c r="A2903">
        <v>2902</v>
      </c>
      <c r="B2903">
        <v>15445</v>
      </c>
      <c r="C2903" t="s">
        <v>22</v>
      </c>
      <c r="D2903">
        <v>34813.32</v>
      </c>
      <c r="E2903" t="s">
        <v>16</v>
      </c>
      <c r="F2903">
        <v>9</v>
      </c>
      <c r="G2903" t="s">
        <v>25</v>
      </c>
      <c r="H2903" s="1">
        <v>45337</v>
      </c>
      <c r="I2903" s="1">
        <v>45346</v>
      </c>
      <c r="J2903" t="str">
        <f t="shared" si="45"/>
        <v>Feb-2024</v>
      </c>
    </row>
    <row r="2904" spans="1:10">
      <c r="A2904">
        <v>2903</v>
      </c>
      <c r="B2904">
        <v>13338</v>
      </c>
      <c r="C2904" t="s">
        <v>22</v>
      </c>
      <c r="D2904">
        <v>169734.12</v>
      </c>
      <c r="E2904" t="s">
        <v>16</v>
      </c>
      <c r="F2904">
        <v>25</v>
      </c>
      <c r="G2904" t="s">
        <v>21</v>
      </c>
      <c r="H2904" s="1">
        <v>45508</v>
      </c>
      <c r="I2904" s="1">
        <v>45533</v>
      </c>
      <c r="J2904" t="str">
        <f t="shared" si="45"/>
        <v>Aug-2024</v>
      </c>
    </row>
    <row r="2905" spans="1:10">
      <c r="A2905">
        <v>2904</v>
      </c>
      <c r="B2905">
        <v>12333</v>
      </c>
      <c r="C2905" t="s">
        <v>23</v>
      </c>
      <c r="D2905">
        <v>43176.15</v>
      </c>
      <c r="E2905" t="s">
        <v>16</v>
      </c>
      <c r="F2905">
        <v>15</v>
      </c>
      <c r="G2905" t="s">
        <v>25</v>
      </c>
      <c r="H2905" s="1">
        <v>45346</v>
      </c>
      <c r="I2905" s="1">
        <v>45361</v>
      </c>
      <c r="J2905" t="str">
        <f t="shared" si="45"/>
        <v>Feb-2024</v>
      </c>
    </row>
    <row r="2906" spans="1:10">
      <c r="A2906">
        <v>2905</v>
      </c>
      <c r="B2906">
        <v>14386</v>
      </c>
      <c r="C2906" t="s">
        <v>23</v>
      </c>
      <c r="D2906">
        <v>186795.02</v>
      </c>
      <c r="E2906" t="s">
        <v>24</v>
      </c>
      <c r="G2906" t="s">
        <v>20</v>
      </c>
      <c r="H2906" s="1">
        <v>45369</v>
      </c>
      <c r="J2906" t="str">
        <f t="shared" si="45"/>
        <v>Mar-2024</v>
      </c>
    </row>
    <row r="2907" spans="1:10">
      <c r="A2907">
        <v>2906</v>
      </c>
      <c r="B2907">
        <v>14581</v>
      </c>
      <c r="C2907" t="s">
        <v>15</v>
      </c>
      <c r="D2907">
        <v>53861.4</v>
      </c>
      <c r="E2907" t="s">
        <v>16</v>
      </c>
      <c r="F2907">
        <v>37</v>
      </c>
      <c r="G2907" t="s">
        <v>17</v>
      </c>
      <c r="H2907" s="1">
        <v>45450</v>
      </c>
      <c r="I2907" s="1">
        <v>45487</v>
      </c>
      <c r="J2907" t="str">
        <f t="shared" si="45"/>
        <v>Jun-2024</v>
      </c>
    </row>
    <row r="2908" spans="1:10">
      <c r="A2908">
        <v>2907</v>
      </c>
      <c r="B2908">
        <v>16698</v>
      </c>
      <c r="C2908" t="s">
        <v>22</v>
      </c>
      <c r="D2908">
        <v>148106.79</v>
      </c>
      <c r="E2908" t="s">
        <v>16</v>
      </c>
      <c r="F2908">
        <v>18</v>
      </c>
      <c r="G2908" t="s">
        <v>20</v>
      </c>
      <c r="H2908" s="1">
        <v>45635</v>
      </c>
      <c r="I2908" s="1">
        <v>45653</v>
      </c>
      <c r="J2908" t="str">
        <f t="shared" si="45"/>
        <v>Dec-2024</v>
      </c>
    </row>
    <row r="2909" spans="1:10">
      <c r="A2909">
        <v>2908</v>
      </c>
      <c r="B2909">
        <v>18359</v>
      </c>
      <c r="C2909" t="s">
        <v>23</v>
      </c>
      <c r="D2909">
        <v>60507.8</v>
      </c>
      <c r="E2909" t="s">
        <v>16</v>
      </c>
      <c r="F2909">
        <v>6</v>
      </c>
      <c r="G2909" t="s">
        <v>21</v>
      </c>
      <c r="H2909" s="1">
        <v>45563</v>
      </c>
      <c r="I2909" s="1">
        <v>45569</v>
      </c>
      <c r="J2909" t="str">
        <f t="shared" si="45"/>
        <v>Sep-2024</v>
      </c>
    </row>
    <row r="2910" spans="1:10">
      <c r="A2910">
        <v>2909</v>
      </c>
      <c r="B2910">
        <v>13542</v>
      </c>
      <c r="C2910" t="s">
        <v>23</v>
      </c>
      <c r="D2910">
        <v>66968.149999999994</v>
      </c>
      <c r="E2910" t="s">
        <v>16</v>
      </c>
      <c r="F2910">
        <v>4</v>
      </c>
      <c r="G2910" t="s">
        <v>20</v>
      </c>
      <c r="H2910" s="1">
        <v>45439</v>
      </c>
      <c r="I2910" s="1">
        <v>45443</v>
      </c>
      <c r="J2910" t="str">
        <f t="shared" si="45"/>
        <v>May-2024</v>
      </c>
    </row>
    <row r="2911" spans="1:10">
      <c r="A2911">
        <v>2910</v>
      </c>
      <c r="B2911">
        <v>15886</v>
      </c>
      <c r="C2911" t="s">
        <v>18</v>
      </c>
      <c r="D2911">
        <v>65450.36</v>
      </c>
      <c r="E2911" t="s">
        <v>16</v>
      </c>
      <c r="F2911">
        <v>10</v>
      </c>
      <c r="G2911" t="s">
        <v>17</v>
      </c>
      <c r="H2911" s="1">
        <v>45329</v>
      </c>
      <c r="I2911" s="1">
        <v>45339</v>
      </c>
      <c r="J2911" t="str">
        <f t="shared" si="45"/>
        <v>Feb-2024</v>
      </c>
    </row>
    <row r="2912" spans="1:10">
      <c r="A2912">
        <v>2911</v>
      </c>
      <c r="B2912">
        <v>18054</v>
      </c>
      <c r="C2912" t="s">
        <v>18</v>
      </c>
      <c r="D2912">
        <v>150838.99</v>
      </c>
      <c r="E2912" t="s">
        <v>19</v>
      </c>
      <c r="F2912">
        <v>21</v>
      </c>
      <c r="G2912" t="s">
        <v>20</v>
      </c>
      <c r="H2912" s="1">
        <v>45402</v>
      </c>
      <c r="I2912" s="1">
        <v>45423</v>
      </c>
      <c r="J2912" t="str">
        <f t="shared" si="45"/>
        <v>Apr-2024</v>
      </c>
    </row>
    <row r="2913" spans="1:10">
      <c r="A2913">
        <v>2912</v>
      </c>
      <c r="B2913">
        <v>16914</v>
      </c>
      <c r="C2913" t="s">
        <v>23</v>
      </c>
      <c r="D2913">
        <v>113578.95</v>
      </c>
      <c r="E2913" t="s">
        <v>19</v>
      </c>
      <c r="F2913">
        <v>21</v>
      </c>
      <c r="G2913" t="s">
        <v>21</v>
      </c>
      <c r="H2913" s="1">
        <v>45306</v>
      </c>
      <c r="I2913" s="1">
        <v>45327</v>
      </c>
      <c r="J2913" t="str">
        <f t="shared" si="45"/>
        <v>Jan-2024</v>
      </c>
    </row>
    <row r="2914" spans="1:10">
      <c r="A2914">
        <v>2913</v>
      </c>
      <c r="B2914">
        <v>17513</v>
      </c>
      <c r="C2914" t="s">
        <v>18</v>
      </c>
      <c r="D2914">
        <v>177175.73</v>
      </c>
      <c r="E2914" t="s">
        <v>16</v>
      </c>
      <c r="F2914">
        <v>20</v>
      </c>
      <c r="G2914" t="s">
        <v>25</v>
      </c>
      <c r="H2914" s="1">
        <v>45369</v>
      </c>
      <c r="I2914" s="1">
        <v>45389</v>
      </c>
      <c r="J2914" t="str">
        <f t="shared" si="45"/>
        <v>Mar-2024</v>
      </c>
    </row>
    <row r="2915" spans="1:10">
      <c r="A2915">
        <v>2914</v>
      </c>
      <c r="B2915">
        <v>18269</v>
      </c>
      <c r="C2915" t="s">
        <v>23</v>
      </c>
      <c r="D2915">
        <v>64937.68</v>
      </c>
      <c r="E2915" t="s">
        <v>16</v>
      </c>
      <c r="F2915">
        <v>22</v>
      </c>
      <c r="G2915" t="s">
        <v>20</v>
      </c>
      <c r="H2915" s="1">
        <v>45367</v>
      </c>
      <c r="I2915" s="1">
        <v>45389</v>
      </c>
      <c r="J2915" t="str">
        <f t="shared" si="45"/>
        <v>Mar-2024</v>
      </c>
    </row>
    <row r="2916" spans="1:10">
      <c r="A2916">
        <v>2915</v>
      </c>
      <c r="B2916">
        <v>11108</v>
      </c>
      <c r="C2916" t="s">
        <v>23</v>
      </c>
      <c r="D2916">
        <v>139938.54</v>
      </c>
      <c r="E2916" t="s">
        <v>24</v>
      </c>
      <c r="G2916" t="s">
        <v>21</v>
      </c>
      <c r="H2916" s="1">
        <v>45619</v>
      </c>
      <c r="J2916" t="str">
        <f t="shared" si="45"/>
        <v>Nov-2024</v>
      </c>
    </row>
    <row r="2917" spans="1:10">
      <c r="A2917">
        <v>2916</v>
      </c>
      <c r="B2917">
        <v>19083</v>
      </c>
      <c r="C2917" t="s">
        <v>23</v>
      </c>
      <c r="D2917">
        <v>151824.98000000001</v>
      </c>
      <c r="E2917" t="s">
        <v>19</v>
      </c>
      <c r="F2917">
        <v>34</v>
      </c>
      <c r="G2917" t="s">
        <v>21</v>
      </c>
      <c r="H2917" s="1">
        <v>45566</v>
      </c>
      <c r="I2917" s="1">
        <v>45600</v>
      </c>
      <c r="J2917" t="str">
        <f t="shared" si="45"/>
        <v>Oct-2024</v>
      </c>
    </row>
    <row r="2918" spans="1:10">
      <c r="A2918">
        <v>2917</v>
      </c>
      <c r="B2918">
        <v>14756</v>
      </c>
      <c r="C2918" t="s">
        <v>23</v>
      </c>
      <c r="D2918">
        <v>34539.01</v>
      </c>
      <c r="E2918" t="s">
        <v>16</v>
      </c>
      <c r="F2918">
        <v>6</v>
      </c>
      <c r="G2918" t="s">
        <v>17</v>
      </c>
      <c r="H2918" s="1">
        <v>45488</v>
      </c>
      <c r="I2918" s="1">
        <v>45494</v>
      </c>
      <c r="J2918" t="str">
        <f t="shared" si="45"/>
        <v>Jul-2024</v>
      </c>
    </row>
    <row r="2919" spans="1:10">
      <c r="A2919">
        <v>2918</v>
      </c>
      <c r="B2919">
        <v>11224</v>
      </c>
      <c r="C2919" t="s">
        <v>23</v>
      </c>
      <c r="D2919">
        <v>83114.92</v>
      </c>
      <c r="E2919" t="s">
        <v>16</v>
      </c>
      <c r="F2919">
        <v>25</v>
      </c>
      <c r="G2919" t="s">
        <v>17</v>
      </c>
      <c r="H2919" s="1">
        <v>45510</v>
      </c>
      <c r="I2919" s="1">
        <v>45535</v>
      </c>
      <c r="J2919" t="str">
        <f t="shared" si="45"/>
        <v>Aug-2024</v>
      </c>
    </row>
    <row r="2920" spans="1:10">
      <c r="A2920">
        <v>2919</v>
      </c>
      <c r="B2920">
        <v>17528</v>
      </c>
      <c r="C2920" t="s">
        <v>23</v>
      </c>
      <c r="D2920">
        <v>99149.41</v>
      </c>
      <c r="E2920" t="s">
        <v>16</v>
      </c>
      <c r="F2920">
        <v>16</v>
      </c>
      <c r="G2920" t="s">
        <v>20</v>
      </c>
      <c r="H2920" s="1">
        <v>45354</v>
      </c>
      <c r="I2920" s="1">
        <v>45370</v>
      </c>
      <c r="J2920" t="str">
        <f t="shared" si="45"/>
        <v>Mar-2024</v>
      </c>
    </row>
    <row r="2921" spans="1:10">
      <c r="A2921">
        <v>2920</v>
      </c>
      <c r="B2921">
        <v>18756</v>
      </c>
      <c r="C2921" t="s">
        <v>23</v>
      </c>
      <c r="D2921">
        <v>74359.039999999994</v>
      </c>
      <c r="E2921" t="s">
        <v>16</v>
      </c>
      <c r="F2921">
        <v>27</v>
      </c>
      <c r="G2921" t="s">
        <v>25</v>
      </c>
      <c r="H2921" s="1">
        <v>45652</v>
      </c>
      <c r="I2921" s="1">
        <v>45679</v>
      </c>
      <c r="J2921" t="str">
        <f t="shared" si="45"/>
        <v>Dec-2024</v>
      </c>
    </row>
    <row r="2922" spans="1:10">
      <c r="A2922">
        <v>2921</v>
      </c>
      <c r="B2922">
        <v>12859</v>
      </c>
      <c r="C2922" t="s">
        <v>23</v>
      </c>
      <c r="D2922">
        <v>67811.960000000006</v>
      </c>
      <c r="E2922" t="s">
        <v>16</v>
      </c>
      <c r="F2922">
        <v>26</v>
      </c>
      <c r="G2922" t="s">
        <v>21</v>
      </c>
      <c r="H2922" s="1">
        <v>45323</v>
      </c>
      <c r="I2922" s="1">
        <v>45349</v>
      </c>
      <c r="J2922" t="str">
        <f t="shared" si="45"/>
        <v>Feb-2024</v>
      </c>
    </row>
    <row r="2923" spans="1:10">
      <c r="A2923">
        <v>2922</v>
      </c>
      <c r="B2923">
        <v>18493</v>
      </c>
      <c r="C2923" t="s">
        <v>23</v>
      </c>
      <c r="D2923">
        <v>138851.88</v>
      </c>
      <c r="E2923" t="s">
        <v>16</v>
      </c>
      <c r="F2923">
        <v>29</v>
      </c>
      <c r="G2923" t="s">
        <v>20</v>
      </c>
      <c r="H2923" s="1">
        <v>45524</v>
      </c>
      <c r="I2923" s="1">
        <v>45553</v>
      </c>
      <c r="J2923" t="str">
        <f t="shared" si="45"/>
        <v>Aug-2024</v>
      </c>
    </row>
    <row r="2924" spans="1:10">
      <c r="A2924">
        <v>2923</v>
      </c>
      <c r="B2924">
        <v>18300</v>
      </c>
      <c r="C2924" t="s">
        <v>22</v>
      </c>
      <c r="D2924">
        <v>47093.95</v>
      </c>
      <c r="E2924" t="s">
        <v>16</v>
      </c>
      <c r="F2924">
        <v>34</v>
      </c>
      <c r="G2924" t="s">
        <v>21</v>
      </c>
      <c r="H2924" s="1">
        <v>45401</v>
      </c>
      <c r="I2924" s="1">
        <v>45435</v>
      </c>
      <c r="J2924" t="str">
        <f t="shared" si="45"/>
        <v>Apr-2024</v>
      </c>
    </row>
    <row r="2925" spans="1:10">
      <c r="A2925">
        <v>2924</v>
      </c>
      <c r="B2925">
        <v>12412</v>
      </c>
      <c r="C2925" t="s">
        <v>23</v>
      </c>
      <c r="D2925">
        <v>143331.20000000001</v>
      </c>
      <c r="E2925" t="s">
        <v>16</v>
      </c>
      <c r="F2925">
        <v>19</v>
      </c>
      <c r="G2925" t="s">
        <v>21</v>
      </c>
      <c r="H2925" s="1">
        <v>45456</v>
      </c>
      <c r="I2925" s="1">
        <v>45475</v>
      </c>
      <c r="J2925" t="str">
        <f t="shared" si="45"/>
        <v>Jun-2024</v>
      </c>
    </row>
    <row r="2926" spans="1:10">
      <c r="A2926">
        <v>2925</v>
      </c>
      <c r="B2926">
        <v>12647</v>
      </c>
      <c r="C2926" t="s">
        <v>23</v>
      </c>
      <c r="D2926">
        <v>187333.62</v>
      </c>
      <c r="E2926" t="s">
        <v>19</v>
      </c>
      <c r="F2926">
        <v>19</v>
      </c>
      <c r="G2926" t="s">
        <v>25</v>
      </c>
      <c r="H2926" s="1">
        <v>45485</v>
      </c>
      <c r="I2926" s="1">
        <v>45504</v>
      </c>
      <c r="J2926" t="str">
        <f t="shared" si="45"/>
        <v>Jul-2024</v>
      </c>
    </row>
    <row r="2927" spans="1:10">
      <c r="A2927">
        <v>2926</v>
      </c>
      <c r="B2927">
        <v>13338</v>
      </c>
      <c r="C2927" t="s">
        <v>18</v>
      </c>
      <c r="D2927">
        <v>115213.52</v>
      </c>
      <c r="E2927" t="s">
        <v>19</v>
      </c>
      <c r="F2927">
        <v>39</v>
      </c>
      <c r="G2927" t="s">
        <v>25</v>
      </c>
      <c r="H2927" s="1">
        <v>45298</v>
      </c>
      <c r="I2927" s="1">
        <v>45337</v>
      </c>
      <c r="J2927" t="str">
        <f t="shared" si="45"/>
        <v>Jan-2024</v>
      </c>
    </row>
    <row r="2928" spans="1:10">
      <c r="A2928">
        <v>2927</v>
      </c>
      <c r="B2928">
        <v>15804</v>
      </c>
      <c r="C2928" t="s">
        <v>22</v>
      </c>
      <c r="D2928">
        <v>124229.68</v>
      </c>
      <c r="E2928" t="s">
        <v>16</v>
      </c>
      <c r="F2928">
        <v>34</v>
      </c>
      <c r="G2928" t="s">
        <v>20</v>
      </c>
      <c r="H2928" s="1">
        <v>45430</v>
      </c>
      <c r="I2928" s="1">
        <v>45464</v>
      </c>
      <c r="J2928" t="str">
        <f t="shared" si="45"/>
        <v>May-2024</v>
      </c>
    </row>
    <row r="2929" spans="1:10">
      <c r="A2929">
        <v>2928</v>
      </c>
      <c r="B2929">
        <v>17231</v>
      </c>
      <c r="C2929" t="s">
        <v>23</v>
      </c>
      <c r="D2929">
        <v>18441.88</v>
      </c>
      <c r="E2929" t="s">
        <v>19</v>
      </c>
      <c r="F2929">
        <v>28</v>
      </c>
      <c r="G2929" t="s">
        <v>25</v>
      </c>
      <c r="H2929" s="1">
        <v>45634</v>
      </c>
      <c r="I2929" s="1">
        <v>45662</v>
      </c>
      <c r="J2929" t="str">
        <f t="shared" si="45"/>
        <v>Dec-2024</v>
      </c>
    </row>
    <row r="2930" spans="1:10">
      <c r="A2930">
        <v>2929</v>
      </c>
      <c r="B2930">
        <v>14523</v>
      </c>
      <c r="C2930" t="s">
        <v>18</v>
      </c>
      <c r="D2930">
        <v>173573</v>
      </c>
      <c r="E2930" t="s">
        <v>16</v>
      </c>
      <c r="F2930">
        <v>16</v>
      </c>
      <c r="G2930" t="s">
        <v>25</v>
      </c>
      <c r="H2930" s="1">
        <v>45578</v>
      </c>
      <c r="I2930" s="1">
        <v>45594</v>
      </c>
      <c r="J2930" t="str">
        <f t="shared" si="45"/>
        <v>Oct-2024</v>
      </c>
    </row>
    <row r="2931" spans="1:10">
      <c r="A2931">
        <v>2930</v>
      </c>
      <c r="B2931">
        <v>13813</v>
      </c>
      <c r="C2931" t="s">
        <v>18</v>
      </c>
      <c r="D2931">
        <v>60662.32</v>
      </c>
      <c r="E2931" t="s">
        <v>19</v>
      </c>
      <c r="F2931">
        <v>14</v>
      </c>
      <c r="G2931" t="s">
        <v>20</v>
      </c>
      <c r="H2931" s="1">
        <v>45592</v>
      </c>
      <c r="I2931" s="1">
        <v>45606</v>
      </c>
      <c r="J2931" t="str">
        <f t="shared" si="45"/>
        <v>Oct-2024</v>
      </c>
    </row>
    <row r="2932" spans="1:10">
      <c r="A2932">
        <v>2931</v>
      </c>
      <c r="B2932">
        <v>13645</v>
      </c>
      <c r="C2932" t="s">
        <v>18</v>
      </c>
      <c r="D2932">
        <v>124934.98</v>
      </c>
      <c r="E2932" t="s">
        <v>16</v>
      </c>
      <c r="F2932">
        <v>35</v>
      </c>
      <c r="G2932" t="s">
        <v>25</v>
      </c>
      <c r="H2932" s="1">
        <v>45347</v>
      </c>
      <c r="I2932" s="1">
        <v>45382</v>
      </c>
      <c r="J2932" t="str">
        <f t="shared" si="45"/>
        <v>Feb-2024</v>
      </c>
    </row>
    <row r="2933" spans="1:10">
      <c r="A2933">
        <v>2932</v>
      </c>
      <c r="B2933">
        <v>13417</v>
      </c>
      <c r="C2933" t="s">
        <v>23</v>
      </c>
      <c r="D2933">
        <v>195926.87</v>
      </c>
      <c r="E2933" t="s">
        <v>16</v>
      </c>
      <c r="F2933">
        <v>5</v>
      </c>
      <c r="G2933" t="s">
        <v>17</v>
      </c>
      <c r="H2933" s="1">
        <v>45451</v>
      </c>
      <c r="I2933" s="1">
        <v>45456</v>
      </c>
      <c r="J2933" t="str">
        <f t="shared" si="45"/>
        <v>Jun-2024</v>
      </c>
    </row>
    <row r="2934" spans="1:10">
      <c r="A2934">
        <v>2933</v>
      </c>
      <c r="B2934">
        <v>10011</v>
      </c>
      <c r="C2934" t="s">
        <v>18</v>
      </c>
      <c r="D2934">
        <v>121123.01</v>
      </c>
      <c r="E2934" t="s">
        <v>16</v>
      </c>
      <c r="F2934">
        <v>36</v>
      </c>
      <c r="G2934" t="s">
        <v>21</v>
      </c>
      <c r="H2934" s="1">
        <v>45440</v>
      </c>
      <c r="I2934" s="1">
        <v>45476</v>
      </c>
      <c r="J2934" t="str">
        <f t="shared" si="45"/>
        <v>May-2024</v>
      </c>
    </row>
    <row r="2935" spans="1:10">
      <c r="A2935">
        <v>2934</v>
      </c>
      <c r="B2935">
        <v>16609</v>
      </c>
      <c r="C2935" t="s">
        <v>23</v>
      </c>
      <c r="D2935">
        <v>146318.35</v>
      </c>
      <c r="E2935" t="s">
        <v>16</v>
      </c>
      <c r="F2935">
        <v>20</v>
      </c>
      <c r="G2935" t="s">
        <v>21</v>
      </c>
      <c r="H2935" s="1">
        <v>45578</v>
      </c>
      <c r="I2935" s="1">
        <v>45598</v>
      </c>
      <c r="J2935" t="str">
        <f t="shared" si="45"/>
        <v>Oct-2024</v>
      </c>
    </row>
    <row r="2936" spans="1:10">
      <c r="A2936">
        <v>2935</v>
      </c>
      <c r="B2936">
        <v>13145</v>
      </c>
      <c r="C2936" t="s">
        <v>18</v>
      </c>
      <c r="D2936">
        <v>91837.33</v>
      </c>
      <c r="E2936" t="s">
        <v>24</v>
      </c>
      <c r="G2936" t="s">
        <v>21</v>
      </c>
      <c r="H2936" s="1">
        <v>45548</v>
      </c>
      <c r="J2936" t="str">
        <f t="shared" si="45"/>
        <v>Sep-2024</v>
      </c>
    </row>
    <row r="2937" spans="1:10">
      <c r="A2937">
        <v>2936</v>
      </c>
      <c r="B2937">
        <v>10874</v>
      </c>
      <c r="C2937" t="s">
        <v>18</v>
      </c>
      <c r="D2937">
        <v>16771.34</v>
      </c>
      <c r="E2937" t="s">
        <v>16</v>
      </c>
      <c r="F2937">
        <v>26</v>
      </c>
      <c r="G2937" t="s">
        <v>21</v>
      </c>
      <c r="H2937" s="1">
        <v>45430</v>
      </c>
      <c r="I2937" s="1">
        <v>45456</v>
      </c>
      <c r="J2937" t="str">
        <f t="shared" si="45"/>
        <v>May-2024</v>
      </c>
    </row>
    <row r="2938" spans="1:10">
      <c r="A2938">
        <v>2937</v>
      </c>
      <c r="B2938">
        <v>17303</v>
      </c>
      <c r="C2938" t="s">
        <v>23</v>
      </c>
      <c r="D2938">
        <v>160531.87</v>
      </c>
      <c r="E2938" t="s">
        <v>16</v>
      </c>
      <c r="F2938">
        <v>41</v>
      </c>
      <c r="G2938" t="s">
        <v>20</v>
      </c>
      <c r="H2938" s="1">
        <v>45640</v>
      </c>
      <c r="I2938" s="1">
        <v>45681</v>
      </c>
      <c r="J2938" t="str">
        <f t="shared" si="45"/>
        <v>Dec-2024</v>
      </c>
    </row>
    <row r="2939" spans="1:10">
      <c r="A2939">
        <v>2938</v>
      </c>
      <c r="B2939">
        <v>10883</v>
      </c>
      <c r="C2939" t="s">
        <v>15</v>
      </c>
      <c r="D2939">
        <v>11824.77</v>
      </c>
      <c r="E2939" t="s">
        <v>16</v>
      </c>
      <c r="F2939">
        <v>13</v>
      </c>
      <c r="G2939" t="s">
        <v>21</v>
      </c>
      <c r="H2939" s="1">
        <v>45615</v>
      </c>
      <c r="I2939" s="1">
        <v>45628</v>
      </c>
      <c r="J2939" t="str">
        <f t="shared" si="45"/>
        <v>Nov-2024</v>
      </c>
    </row>
    <row r="2940" spans="1:10">
      <c r="A2940">
        <v>2939</v>
      </c>
      <c r="B2940">
        <v>14650</v>
      </c>
      <c r="C2940" t="s">
        <v>23</v>
      </c>
      <c r="D2940">
        <v>141628.28</v>
      </c>
      <c r="E2940" t="s">
        <v>16</v>
      </c>
      <c r="F2940">
        <v>13</v>
      </c>
      <c r="G2940" t="s">
        <v>21</v>
      </c>
      <c r="H2940" s="1">
        <v>45583</v>
      </c>
      <c r="I2940" s="1">
        <v>45596</v>
      </c>
      <c r="J2940" t="str">
        <f t="shared" si="45"/>
        <v>Oct-2024</v>
      </c>
    </row>
    <row r="2941" spans="1:10">
      <c r="A2941">
        <v>2940</v>
      </c>
      <c r="B2941">
        <v>17710</v>
      </c>
      <c r="C2941" t="s">
        <v>15</v>
      </c>
      <c r="D2941">
        <v>9469.7099999999991</v>
      </c>
      <c r="E2941" t="s">
        <v>16</v>
      </c>
      <c r="F2941">
        <v>43</v>
      </c>
      <c r="G2941" t="s">
        <v>21</v>
      </c>
      <c r="H2941" s="1">
        <v>45626</v>
      </c>
      <c r="I2941" s="1">
        <v>45669</v>
      </c>
      <c r="J2941" t="str">
        <f t="shared" si="45"/>
        <v>Nov-2024</v>
      </c>
    </row>
    <row r="2942" spans="1:10">
      <c r="A2942">
        <v>2941</v>
      </c>
      <c r="B2942">
        <v>16797</v>
      </c>
      <c r="C2942" t="s">
        <v>23</v>
      </c>
      <c r="D2942">
        <v>173149.52</v>
      </c>
      <c r="E2942" t="s">
        <v>16</v>
      </c>
      <c r="F2942">
        <v>26</v>
      </c>
      <c r="G2942" t="s">
        <v>21</v>
      </c>
      <c r="H2942" s="1">
        <v>45478</v>
      </c>
      <c r="I2942" s="1">
        <v>45504</v>
      </c>
      <c r="J2942" t="str">
        <f t="shared" si="45"/>
        <v>Jul-2024</v>
      </c>
    </row>
    <row r="2943" spans="1:10">
      <c r="A2943">
        <v>2942</v>
      </c>
      <c r="B2943">
        <v>15439</v>
      </c>
      <c r="C2943" t="s">
        <v>23</v>
      </c>
      <c r="D2943">
        <v>35739.03</v>
      </c>
      <c r="E2943" t="s">
        <v>19</v>
      </c>
      <c r="F2943">
        <v>34</v>
      </c>
      <c r="G2943" t="s">
        <v>17</v>
      </c>
      <c r="H2943" s="1">
        <v>45614</v>
      </c>
      <c r="I2943" s="1">
        <v>45648</v>
      </c>
      <c r="J2943" t="str">
        <f t="shared" si="45"/>
        <v>Nov-2024</v>
      </c>
    </row>
    <row r="2944" spans="1:10">
      <c r="A2944">
        <v>2943</v>
      </c>
      <c r="B2944">
        <v>17008</v>
      </c>
      <c r="C2944" t="s">
        <v>23</v>
      </c>
      <c r="D2944">
        <v>105282.94</v>
      </c>
      <c r="E2944" t="s">
        <v>19</v>
      </c>
      <c r="F2944">
        <v>38</v>
      </c>
      <c r="G2944" t="s">
        <v>21</v>
      </c>
      <c r="H2944" s="1">
        <v>45475</v>
      </c>
      <c r="I2944" s="1">
        <v>45513</v>
      </c>
      <c r="J2944" t="str">
        <f t="shared" si="45"/>
        <v>Jul-2024</v>
      </c>
    </row>
    <row r="2945" spans="1:10">
      <c r="A2945">
        <v>2944</v>
      </c>
      <c r="B2945">
        <v>19771</v>
      </c>
      <c r="C2945" t="s">
        <v>22</v>
      </c>
      <c r="D2945">
        <v>121444.39</v>
      </c>
      <c r="E2945" t="s">
        <v>24</v>
      </c>
      <c r="G2945" t="s">
        <v>17</v>
      </c>
      <c r="H2945" s="1">
        <v>45598</v>
      </c>
      <c r="J2945" t="str">
        <f t="shared" si="45"/>
        <v>Nov-2024</v>
      </c>
    </row>
    <row r="2946" spans="1:10">
      <c r="A2946">
        <v>2945</v>
      </c>
      <c r="B2946">
        <v>18544</v>
      </c>
      <c r="C2946" t="s">
        <v>23</v>
      </c>
      <c r="D2946">
        <v>94221.35</v>
      </c>
      <c r="E2946" t="s">
        <v>16</v>
      </c>
      <c r="F2946">
        <v>44</v>
      </c>
      <c r="G2946" t="s">
        <v>20</v>
      </c>
      <c r="H2946" s="1">
        <v>45553</v>
      </c>
      <c r="I2946" s="1">
        <v>45597</v>
      </c>
      <c r="J2946" t="str">
        <f t="shared" si="45"/>
        <v>Sep-2024</v>
      </c>
    </row>
    <row r="2947" spans="1:10">
      <c r="A2947">
        <v>2946</v>
      </c>
      <c r="B2947">
        <v>18162</v>
      </c>
      <c r="C2947" t="s">
        <v>23</v>
      </c>
      <c r="D2947">
        <v>71448.88</v>
      </c>
      <c r="E2947" t="s">
        <v>19</v>
      </c>
      <c r="F2947">
        <v>10</v>
      </c>
      <c r="G2947" t="s">
        <v>25</v>
      </c>
      <c r="H2947" s="1">
        <v>45601</v>
      </c>
      <c r="I2947" s="1">
        <v>45611</v>
      </c>
      <c r="J2947" t="str">
        <f t="shared" ref="J2947:J3010" si="46">TEXT(H2947,"mmm-yyyy")</f>
        <v>Nov-2024</v>
      </c>
    </row>
    <row r="2948" spans="1:10">
      <c r="A2948">
        <v>2947</v>
      </c>
      <c r="B2948">
        <v>19698</v>
      </c>
      <c r="C2948" t="s">
        <v>23</v>
      </c>
      <c r="D2948">
        <v>96223.79</v>
      </c>
      <c r="E2948" t="s">
        <v>16</v>
      </c>
      <c r="F2948">
        <v>15</v>
      </c>
      <c r="G2948" t="s">
        <v>21</v>
      </c>
      <c r="H2948" s="1">
        <v>45635</v>
      </c>
      <c r="I2948" s="1">
        <v>45650</v>
      </c>
      <c r="J2948" t="str">
        <f t="shared" si="46"/>
        <v>Dec-2024</v>
      </c>
    </row>
    <row r="2949" spans="1:10">
      <c r="A2949">
        <v>2948</v>
      </c>
      <c r="B2949">
        <v>13487</v>
      </c>
      <c r="C2949" t="s">
        <v>18</v>
      </c>
      <c r="D2949">
        <v>65726.070000000007</v>
      </c>
      <c r="E2949" t="s">
        <v>16</v>
      </c>
      <c r="F2949">
        <v>4</v>
      </c>
      <c r="G2949" t="s">
        <v>25</v>
      </c>
      <c r="H2949" s="1">
        <v>45436</v>
      </c>
      <c r="I2949" s="1">
        <v>45440</v>
      </c>
      <c r="J2949" t="str">
        <f t="shared" si="46"/>
        <v>May-2024</v>
      </c>
    </row>
    <row r="2950" spans="1:10">
      <c r="A2950">
        <v>2949</v>
      </c>
      <c r="B2950">
        <v>17537</v>
      </c>
      <c r="C2950" t="s">
        <v>18</v>
      </c>
      <c r="D2950">
        <v>90433.86</v>
      </c>
      <c r="E2950" t="s">
        <v>16</v>
      </c>
      <c r="F2950">
        <v>6</v>
      </c>
      <c r="G2950" t="s">
        <v>25</v>
      </c>
      <c r="H2950" s="1">
        <v>45552</v>
      </c>
      <c r="I2950" s="1">
        <v>45558</v>
      </c>
      <c r="J2950" t="str">
        <f t="shared" si="46"/>
        <v>Sep-2024</v>
      </c>
    </row>
    <row r="2951" spans="1:10">
      <c r="A2951">
        <v>2950</v>
      </c>
      <c r="B2951">
        <v>12390</v>
      </c>
      <c r="C2951" t="s">
        <v>23</v>
      </c>
      <c r="D2951">
        <v>74988.03</v>
      </c>
      <c r="E2951" t="s">
        <v>24</v>
      </c>
      <c r="G2951" t="s">
        <v>20</v>
      </c>
      <c r="H2951" s="1">
        <v>45293</v>
      </c>
      <c r="J2951" t="str">
        <f t="shared" si="46"/>
        <v>Jan-2024</v>
      </c>
    </row>
    <row r="2952" spans="1:10">
      <c r="A2952">
        <v>2951</v>
      </c>
      <c r="B2952">
        <v>14030</v>
      </c>
      <c r="C2952" t="s">
        <v>23</v>
      </c>
      <c r="D2952">
        <v>115409.94</v>
      </c>
      <c r="E2952" t="s">
        <v>19</v>
      </c>
      <c r="F2952">
        <v>42</v>
      </c>
      <c r="G2952" t="s">
        <v>25</v>
      </c>
      <c r="H2952" s="1">
        <v>45605</v>
      </c>
      <c r="I2952" s="1">
        <v>45647</v>
      </c>
      <c r="J2952" t="str">
        <f t="shared" si="46"/>
        <v>Nov-2024</v>
      </c>
    </row>
    <row r="2953" spans="1:10">
      <c r="A2953">
        <v>2952</v>
      </c>
      <c r="B2953">
        <v>17492</v>
      </c>
      <c r="C2953" t="s">
        <v>23</v>
      </c>
      <c r="D2953">
        <v>51395.21</v>
      </c>
      <c r="E2953" t="s">
        <v>24</v>
      </c>
      <c r="G2953" t="s">
        <v>17</v>
      </c>
      <c r="H2953" s="1">
        <v>45303</v>
      </c>
      <c r="J2953" t="str">
        <f t="shared" si="46"/>
        <v>Jan-2024</v>
      </c>
    </row>
    <row r="2954" spans="1:10">
      <c r="A2954">
        <v>2953</v>
      </c>
      <c r="B2954">
        <v>13438</v>
      </c>
      <c r="C2954" t="s">
        <v>23</v>
      </c>
      <c r="D2954">
        <v>197788.03</v>
      </c>
      <c r="E2954" t="s">
        <v>19</v>
      </c>
      <c r="F2954">
        <v>39</v>
      </c>
      <c r="G2954" t="s">
        <v>25</v>
      </c>
      <c r="H2954" s="1">
        <v>45552</v>
      </c>
      <c r="I2954" s="1">
        <v>45591</v>
      </c>
      <c r="J2954" t="str">
        <f t="shared" si="46"/>
        <v>Sep-2024</v>
      </c>
    </row>
    <row r="2955" spans="1:10">
      <c r="A2955">
        <v>2954</v>
      </c>
      <c r="B2955">
        <v>12383</v>
      </c>
      <c r="C2955" t="s">
        <v>23</v>
      </c>
      <c r="D2955">
        <v>102669.64</v>
      </c>
      <c r="E2955" t="s">
        <v>24</v>
      </c>
      <c r="G2955" t="s">
        <v>25</v>
      </c>
      <c r="H2955" s="1">
        <v>45653</v>
      </c>
      <c r="J2955" t="str">
        <f t="shared" si="46"/>
        <v>Dec-2024</v>
      </c>
    </row>
    <row r="2956" spans="1:10">
      <c r="A2956">
        <v>2955</v>
      </c>
      <c r="B2956">
        <v>13367</v>
      </c>
      <c r="C2956" t="s">
        <v>18</v>
      </c>
      <c r="D2956">
        <v>42861.61</v>
      </c>
      <c r="E2956" t="s">
        <v>19</v>
      </c>
      <c r="F2956">
        <v>40</v>
      </c>
      <c r="G2956" t="s">
        <v>25</v>
      </c>
      <c r="H2956" s="1">
        <v>45460</v>
      </c>
      <c r="I2956" s="1">
        <v>45500</v>
      </c>
      <c r="J2956" t="str">
        <f t="shared" si="46"/>
        <v>Jun-2024</v>
      </c>
    </row>
    <row r="2957" spans="1:10">
      <c r="A2957">
        <v>2956</v>
      </c>
      <c r="B2957">
        <v>16167</v>
      </c>
      <c r="C2957" t="s">
        <v>23</v>
      </c>
      <c r="D2957">
        <v>98028.02</v>
      </c>
      <c r="E2957" t="s">
        <v>16</v>
      </c>
      <c r="F2957">
        <v>17</v>
      </c>
      <c r="G2957" t="s">
        <v>21</v>
      </c>
      <c r="H2957" s="1">
        <v>45439</v>
      </c>
      <c r="I2957" s="1">
        <v>45456</v>
      </c>
      <c r="J2957" t="str">
        <f t="shared" si="46"/>
        <v>May-2024</v>
      </c>
    </row>
    <row r="2958" spans="1:10">
      <c r="A2958">
        <v>2957</v>
      </c>
      <c r="B2958">
        <v>11465</v>
      </c>
      <c r="C2958" t="s">
        <v>23</v>
      </c>
      <c r="D2958">
        <v>173950.95</v>
      </c>
      <c r="E2958" t="s">
        <v>16</v>
      </c>
      <c r="F2958">
        <v>41</v>
      </c>
      <c r="G2958" t="s">
        <v>21</v>
      </c>
      <c r="H2958" s="1">
        <v>45491</v>
      </c>
      <c r="I2958" s="1">
        <v>45532</v>
      </c>
      <c r="J2958" t="str">
        <f t="shared" si="46"/>
        <v>Jul-2024</v>
      </c>
    </row>
    <row r="2959" spans="1:10">
      <c r="A2959">
        <v>2958</v>
      </c>
      <c r="B2959">
        <v>12151</v>
      </c>
      <c r="C2959" t="s">
        <v>23</v>
      </c>
      <c r="D2959">
        <v>9252.32</v>
      </c>
      <c r="E2959" t="s">
        <v>16</v>
      </c>
      <c r="F2959">
        <v>24</v>
      </c>
      <c r="G2959" t="s">
        <v>17</v>
      </c>
      <c r="H2959" s="1">
        <v>45603</v>
      </c>
      <c r="I2959" s="1">
        <v>45627</v>
      </c>
      <c r="J2959" t="str">
        <f t="shared" si="46"/>
        <v>Nov-2024</v>
      </c>
    </row>
    <row r="2960" spans="1:10">
      <c r="A2960">
        <v>2959</v>
      </c>
      <c r="B2960">
        <v>13483</v>
      </c>
      <c r="C2960" t="s">
        <v>22</v>
      </c>
      <c r="D2960">
        <v>137513.04999999999</v>
      </c>
      <c r="E2960" t="s">
        <v>16</v>
      </c>
      <c r="F2960">
        <v>30</v>
      </c>
      <c r="G2960" t="s">
        <v>17</v>
      </c>
      <c r="H2960" s="1">
        <v>45361</v>
      </c>
      <c r="I2960" s="1">
        <v>45391</v>
      </c>
      <c r="J2960" t="str">
        <f t="shared" si="46"/>
        <v>Mar-2024</v>
      </c>
    </row>
    <row r="2961" spans="1:10">
      <c r="A2961">
        <v>2960</v>
      </c>
      <c r="B2961">
        <v>10573</v>
      </c>
      <c r="C2961" t="s">
        <v>22</v>
      </c>
      <c r="D2961">
        <v>111853.72</v>
      </c>
      <c r="E2961" t="s">
        <v>16</v>
      </c>
      <c r="F2961">
        <v>11</v>
      </c>
      <c r="G2961" t="s">
        <v>21</v>
      </c>
      <c r="H2961" s="1">
        <v>45603</v>
      </c>
      <c r="I2961" s="1">
        <v>45614</v>
      </c>
      <c r="J2961" t="str">
        <f t="shared" si="46"/>
        <v>Nov-2024</v>
      </c>
    </row>
    <row r="2962" spans="1:10">
      <c r="A2962">
        <v>2961</v>
      </c>
      <c r="B2962">
        <v>10774</v>
      </c>
      <c r="C2962" t="s">
        <v>15</v>
      </c>
      <c r="D2962">
        <v>38063.81</v>
      </c>
      <c r="E2962" t="s">
        <v>16</v>
      </c>
      <c r="F2962">
        <v>6</v>
      </c>
      <c r="G2962" t="s">
        <v>17</v>
      </c>
      <c r="H2962" s="1">
        <v>45345</v>
      </c>
      <c r="I2962" s="1">
        <v>45351</v>
      </c>
      <c r="J2962" t="str">
        <f t="shared" si="46"/>
        <v>Feb-2024</v>
      </c>
    </row>
    <row r="2963" spans="1:10">
      <c r="A2963">
        <v>2962</v>
      </c>
      <c r="B2963">
        <v>17030</v>
      </c>
      <c r="C2963" t="s">
        <v>23</v>
      </c>
      <c r="D2963">
        <v>164407.91</v>
      </c>
      <c r="E2963" t="s">
        <v>16</v>
      </c>
      <c r="F2963">
        <v>12</v>
      </c>
      <c r="G2963" t="s">
        <v>21</v>
      </c>
      <c r="H2963" s="1">
        <v>45550</v>
      </c>
      <c r="I2963" s="1">
        <v>45562</v>
      </c>
      <c r="J2963" t="str">
        <f t="shared" si="46"/>
        <v>Sep-2024</v>
      </c>
    </row>
    <row r="2964" spans="1:10">
      <c r="A2964">
        <v>2963</v>
      </c>
      <c r="B2964">
        <v>14338</v>
      </c>
      <c r="C2964" t="s">
        <v>23</v>
      </c>
      <c r="D2964">
        <v>76932.5</v>
      </c>
      <c r="E2964" t="s">
        <v>24</v>
      </c>
      <c r="G2964" t="s">
        <v>20</v>
      </c>
      <c r="H2964" s="1">
        <v>45642</v>
      </c>
      <c r="J2964" t="str">
        <f t="shared" si="46"/>
        <v>Dec-2024</v>
      </c>
    </row>
    <row r="2965" spans="1:10">
      <c r="A2965">
        <v>2964</v>
      </c>
      <c r="B2965">
        <v>18021</v>
      </c>
      <c r="C2965" t="s">
        <v>23</v>
      </c>
      <c r="D2965">
        <v>62291.4</v>
      </c>
      <c r="E2965" t="s">
        <v>24</v>
      </c>
      <c r="G2965" t="s">
        <v>25</v>
      </c>
      <c r="H2965" s="1">
        <v>45319</v>
      </c>
      <c r="J2965" t="str">
        <f t="shared" si="46"/>
        <v>Jan-2024</v>
      </c>
    </row>
    <row r="2966" spans="1:10">
      <c r="A2966">
        <v>2965</v>
      </c>
      <c r="B2966">
        <v>13930</v>
      </c>
      <c r="C2966" t="s">
        <v>23</v>
      </c>
      <c r="D2966">
        <v>166484.41</v>
      </c>
      <c r="E2966" t="s">
        <v>16</v>
      </c>
      <c r="F2966">
        <v>35</v>
      </c>
      <c r="G2966" t="s">
        <v>25</v>
      </c>
      <c r="H2966" s="1">
        <v>45654</v>
      </c>
      <c r="I2966" s="1">
        <v>45689</v>
      </c>
      <c r="J2966" t="str">
        <f t="shared" si="46"/>
        <v>Dec-2024</v>
      </c>
    </row>
    <row r="2967" spans="1:10">
      <c r="A2967">
        <v>2966</v>
      </c>
      <c r="B2967">
        <v>14960</v>
      </c>
      <c r="C2967" t="s">
        <v>18</v>
      </c>
      <c r="D2967">
        <v>129512.38</v>
      </c>
      <c r="E2967" t="s">
        <v>16</v>
      </c>
      <c r="F2967">
        <v>15</v>
      </c>
      <c r="G2967" t="s">
        <v>17</v>
      </c>
      <c r="H2967" s="1">
        <v>45411</v>
      </c>
      <c r="I2967" s="1">
        <v>45426</v>
      </c>
      <c r="J2967" t="str">
        <f t="shared" si="46"/>
        <v>Apr-2024</v>
      </c>
    </row>
    <row r="2968" spans="1:10">
      <c r="A2968">
        <v>2967</v>
      </c>
      <c r="B2968">
        <v>12220</v>
      </c>
      <c r="C2968" t="s">
        <v>18</v>
      </c>
      <c r="D2968">
        <v>180160.52</v>
      </c>
      <c r="E2968" t="s">
        <v>16</v>
      </c>
      <c r="F2968">
        <v>42</v>
      </c>
      <c r="G2968" t="s">
        <v>21</v>
      </c>
      <c r="H2968" s="1">
        <v>45424</v>
      </c>
      <c r="I2968" s="1">
        <v>45466</v>
      </c>
      <c r="J2968" t="str">
        <f t="shared" si="46"/>
        <v>May-2024</v>
      </c>
    </row>
    <row r="2969" spans="1:10">
      <c r="A2969">
        <v>2968</v>
      </c>
      <c r="B2969">
        <v>11439</v>
      </c>
      <c r="C2969" t="s">
        <v>15</v>
      </c>
      <c r="D2969">
        <v>127827.32</v>
      </c>
      <c r="E2969" t="s">
        <v>16</v>
      </c>
      <c r="F2969">
        <v>43</v>
      </c>
      <c r="G2969" t="s">
        <v>21</v>
      </c>
      <c r="H2969" s="1">
        <v>45381</v>
      </c>
      <c r="I2969" s="1">
        <v>45424</v>
      </c>
      <c r="J2969" t="str">
        <f t="shared" si="46"/>
        <v>Mar-2024</v>
      </c>
    </row>
    <row r="2970" spans="1:10">
      <c r="A2970">
        <v>2969</v>
      </c>
      <c r="B2970">
        <v>16246</v>
      </c>
      <c r="C2970" t="s">
        <v>15</v>
      </c>
      <c r="D2970">
        <v>149459.44</v>
      </c>
      <c r="E2970" t="s">
        <v>19</v>
      </c>
      <c r="F2970">
        <v>11</v>
      </c>
      <c r="G2970" t="s">
        <v>17</v>
      </c>
      <c r="H2970" s="1">
        <v>45307</v>
      </c>
      <c r="I2970" s="1">
        <v>45318</v>
      </c>
      <c r="J2970" t="str">
        <f t="shared" si="46"/>
        <v>Jan-2024</v>
      </c>
    </row>
    <row r="2971" spans="1:10">
      <c r="A2971">
        <v>2970</v>
      </c>
      <c r="B2971">
        <v>17424</v>
      </c>
      <c r="C2971" t="s">
        <v>23</v>
      </c>
      <c r="D2971">
        <v>168106.95</v>
      </c>
      <c r="E2971" t="s">
        <v>16</v>
      </c>
      <c r="F2971">
        <v>43</v>
      </c>
      <c r="G2971" t="s">
        <v>21</v>
      </c>
      <c r="H2971" s="1">
        <v>45578</v>
      </c>
      <c r="I2971" s="1">
        <v>45621</v>
      </c>
      <c r="J2971" t="str">
        <f t="shared" si="46"/>
        <v>Oct-2024</v>
      </c>
    </row>
    <row r="2972" spans="1:10">
      <c r="A2972">
        <v>2971</v>
      </c>
      <c r="B2972">
        <v>18905</v>
      </c>
      <c r="C2972" t="s">
        <v>18</v>
      </c>
      <c r="D2972">
        <v>15674.23</v>
      </c>
      <c r="E2972" t="s">
        <v>16</v>
      </c>
      <c r="F2972">
        <v>12</v>
      </c>
      <c r="G2972" t="s">
        <v>20</v>
      </c>
      <c r="H2972" s="1">
        <v>45575</v>
      </c>
      <c r="I2972" s="1">
        <v>45587</v>
      </c>
      <c r="J2972" t="str">
        <f t="shared" si="46"/>
        <v>Oct-2024</v>
      </c>
    </row>
    <row r="2973" spans="1:10">
      <c r="A2973">
        <v>2972</v>
      </c>
      <c r="B2973">
        <v>16700</v>
      </c>
      <c r="C2973" t="s">
        <v>23</v>
      </c>
      <c r="D2973">
        <v>156329.54999999999</v>
      </c>
      <c r="E2973" t="s">
        <v>19</v>
      </c>
      <c r="F2973">
        <v>12</v>
      </c>
      <c r="G2973" t="s">
        <v>25</v>
      </c>
      <c r="H2973" s="1">
        <v>45521</v>
      </c>
      <c r="I2973" s="1">
        <v>45533</v>
      </c>
      <c r="J2973" t="str">
        <f t="shared" si="46"/>
        <v>Aug-2024</v>
      </c>
    </row>
    <row r="2974" spans="1:10">
      <c r="A2974">
        <v>2973</v>
      </c>
      <c r="B2974">
        <v>18767</v>
      </c>
      <c r="C2974" t="s">
        <v>23</v>
      </c>
      <c r="D2974">
        <v>124672.76</v>
      </c>
      <c r="E2974" t="s">
        <v>19</v>
      </c>
      <c r="F2974">
        <v>36</v>
      </c>
      <c r="G2974" t="s">
        <v>17</v>
      </c>
      <c r="H2974" s="1">
        <v>45428</v>
      </c>
      <c r="I2974" s="1">
        <v>45464</v>
      </c>
      <c r="J2974" t="str">
        <f t="shared" si="46"/>
        <v>May-2024</v>
      </c>
    </row>
    <row r="2975" spans="1:10">
      <c r="A2975">
        <v>2974</v>
      </c>
      <c r="B2975">
        <v>16339</v>
      </c>
      <c r="C2975" t="s">
        <v>18</v>
      </c>
      <c r="D2975">
        <v>18554.02</v>
      </c>
      <c r="E2975" t="s">
        <v>16</v>
      </c>
      <c r="F2975">
        <v>20</v>
      </c>
      <c r="G2975" t="s">
        <v>17</v>
      </c>
      <c r="H2975" s="1">
        <v>45586</v>
      </c>
      <c r="I2975" s="1">
        <v>45606</v>
      </c>
      <c r="J2975" t="str">
        <f t="shared" si="46"/>
        <v>Oct-2024</v>
      </c>
    </row>
    <row r="2976" spans="1:10">
      <c r="A2976">
        <v>2975</v>
      </c>
      <c r="B2976">
        <v>15084</v>
      </c>
      <c r="C2976" t="s">
        <v>23</v>
      </c>
      <c r="D2976">
        <v>104172.69</v>
      </c>
      <c r="E2976" t="s">
        <v>19</v>
      </c>
      <c r="F2976">
        <v>25</v>
      </c>
      <c r="G2976" t="s">
        <v>21</v>
      </c>
      <c r="H2976" s="1">
        <v>45518</v>
      </c>
      <c r="I2976" s="1">
        <v>45543</v>
      </c>
      <c r="J2976" t="str">
        <f t="shared" si="46"/>
        <v>Aug-2024</v>
      </c>
    </row>
    <row r="2977" spans="1:10">
      <c r="A2977">
        <v>2976</v>
      </c>
      <c r="B2977">
        <v>15510</v>
      </c>
      <c r="C2977" t="s">
        <v>23</v>
      </c>
      <c r="D2977">
        <v>21079.33</v>
      </c>
      <c r="E2977" t="s">
        <v>16</v>
      </c>
      <c r="F2977">
        <v>2</v>
      </c>
      <c r="G2977" t="s">
        <v>17</v>
      </c>
      <c r="H2977" s="1">
        <v>45318</v>
      </c>
      <c r="I2977" s="1">
        <v>45320</v>
      </c>
      <c r="J2977" t="str">
        <f t="shared" si="46"/>
        <v>Jan-2024</v>
      </c>
    </row>
    <row r="2978" spans="1:10">
      <c r="A2978">
        <v>2977</v>
      </c>
      <c r="B2978">
        <v>10069</v>
      </c>
      <c r="C2978" t="s">
        <v>23</v>
      </c>
      <c r="D2978">
        <v>148509.70000000001</v>
      </c>
      <c r="E2978" t="s">
        <v>16</v>
      </c>
      <c r="F2978">
        <v>13</v>
      </c>
      <c r="G2978" t="s">
        <v>20</v>
      </c>
      <c r="H2978" s="1">
        <v>45623</v>
      </c>
      <c r="I2978" s="1">
        <v>45636</v>
      </c>
      <c r="J2978" t="str">
        <f t="shared" si="46"/>
        <v>Nov-2024</v>
      </c>
    </row>
    <row r="2979" spans="1:10">
      <c r="A2979">
        <v>2978</v>
      </c>
      <c r="B2979">
        <v>19109</v>
      </c>
      <c r="C2979" t="s">
        <v>18</v>
      </c>
      <c r="D2979">
        <v>111567.83</v>
      </c>
      <c r="E2979" t="s">
        <v>16</v>
      </c>
      <c r="F2979">
        <v>15</v>
      </c>
      <c r="G2979" t="s">
        <v>21</v>
      </c>
      <c r="H2979" s="1">
        <v>45408</v>
      </c>
      <c r="I2979" s="1">
        <v>45423</v>
      </c>
      <c r="J2979" t="str">
        <f t="shared" si="46"/>
        <v>Apr-2024</v>
      </c>
    </row>
    <row r="2980" spans="1:10">
      <c r="A2980">
        <v>2979</v>
      </c>
      <c r="B2980">
        <v>18934</v>
      </c>
      <c r="C2980" t="s">
        <v>18</v>
      </c>
      <c r="D2980">
        <v>190946.84</v>
      </c>
      <c r="E2980" t="s">
        <v>16</v>
      </c>
      <c r="F2980">
        <v>4</v>
      </c>
      <c r="G2980" t="s">
        <v>21</v>
      </c>
      <c r="H2980" s="1">
        <v>45380</v>
      </c>
      <c r="I2980" s="1">
        <v>45384</v>
      </c>
      <c r="J2980" t="str">
        <f t="shared" si="46"/>
        <v>Mar-2024</v>
      </c>
    </row>
    <row r="2981" spans="1:10">
      <c r="A2981">
        <v>2980</v>
      </c>
      <c r="B2981">
        <v>16728</v>
      </c>
      <c r="C2981" t="s">
        <v>23</v>
      </c>
      <c r="D2981">
        <v>40711.4</v>
      </c>
      <c r="E2981" t="s">
        <v>16</v>
      </c>
      <c r="F2981">
        <v>33</v>
      </c>
      <c r="G2981" t="s">
        <v>21</v>
      </c>
      <c r="H2981" s="1">
        <v>45398</v>
      </c>
      <c r="I2981" s="1">
        <v>45431</v>
      </c>
      <c r="J2981" t="str">
        <f t="shared" si="46"/>
        <v>Apr-2024</v>
      </c>
    </row>
    <row r="2982" spans="1:10">
      <c r="A2982">
        <v>2981</v>
      </c>
      <c r="B2982">
        <v>14150</v>
      </c>
      <c r="C2982" t="s">
        <v>15</v>
      </c>
      <c r="D2982">
        <v>123176.52</v>
      </c>
      <c r="E2982" t="s">
        <v>16</v>
      </c>
      <c r="F2982">
        <v>17</v>
      </c>
      <c r="G2982" t="s">
        <v>21</v>
      </c>
      <c r="H2982" s="1">
        <v>45512</v>
      </c>
      <c r="I2982" s="1">
        <v>45529</v>
      </c>
      <c r="J2982" t="str">
        <f t="shared" si="46"/>
        <v>Aug-2024</v>
      </c>
    </row>
    <row r="2983" spans="1:10">
      <c r="A2983">
        <v>2982</v>
      </c>
      <c r="B2983">
        <v>12533</v>
      </c>
      <c r="C2983" t="s">
        <v>23</v>
      </c>
      <c r="D2983">
        <v>46258.52</v>
      </c>
      <c r="E2983" t="s">
        <v>16</v>
      </c>
      <c r="F2983">
        <v>39</v>
      </c>
      <c r="G2983" t="s">
        <v>20</v>
      </c>
      <c r="H2983" s="1">
        <v>45514</v>
      </c>
      <c r="I2983" s="1">
        <v>45553</v>
      </c>
      <c r="J2983" t="str">
        <f t="shared" si="46"/>
        <v>Aug-2024</v>
      </c>
    </row>
    <row r="2984" spans="1:10">
      <c r="A2984">
        <v>2983</v>
      </c>
      <c r="B2984">
        <v>17410</v>
      </c>
      <c r="C2984" t="s">
        <v>23</v>
      </c>
      <c r="D2984">
        <v>124742.67</v>
      </c>
      <c r="E2984" t="s">
        <v>19</v>
      </c>
      <c r="F2984">
        <v>11</v>
      </c>
      <c r="G2984" t="s">
        <v>21</v>
      </c>
      <c r="H2984" s="1">
        <v>45413</v>
      </c>
      <c r="I2984" s="1">
        <v>45424</v>
      </c>
      <c r="J2984" t="str">
        <f t="shared" si="46"/>
        <v>May-2024</v>
      </c>
    </row>
    <row r="2985" spans="1:10">
      <c r="A2985">
        <v>2984</v>
      </c>
      <c r="B2985">
        <v>19568</v>
      </c>
      <c r="C2985" t="s">
        <v>18</v>
      </c>
      <c r="D2985">
        <v>145916.69</v>
      </c>
      <c r="E2985" t="s">
        <v>16</v>
      </c>
      <c r="F2985">
        <v>18</v>
      </c>
      <c r="G2985" t="s">
        <v>17</v>
      </c>
      <c r="H2985" s="1">
        <v>45645</v>
      </c>
      <c r="I2985" s="1">
        <v>45663</v>
      </c>
      <c r="J2985" t="str">
        <f t="shared" si="46"/>
        <v>Dec-2024</v>
      </c>
    </row>
    <row r="2986" spans="1:10">
      <c r="A2986">
        <v>2985</v>
      </c>
      <c r="B2986">
        <v>18601</v>
      </c>
      <c r="C2986" t="s">
        <v>18</v>
      </c>
      <c r="D2986">
        <v>145849.34</v>
      </c>
      <c r="E2986" t="s">
        <v>16</v>
      </c>
      <c r="F2986">
        <v>41</v>
      </c>
      <c r="G2986" t="s">
        <v>20</v>
      </c>
      <c r="H2986" s="1">
        <v>45324</v>
      </c>
      <c r="I2986" s="1">
        <v>45365</v>
      </c>
      <c r="J2986" t="str">
        <f t="shared" si="46"/>
        <v>Feb-2024</v>
      </c>
    </row>
    <row r="2987" spans="1:10">
      <c r="A2987">
        <v>2986</v>
      </c>
      <c r="B2987">
        <v>13007</v>
      </c>
      <c r="C2987" t="s">
        <v>22</v>
      </c>
      <c r="D2987">
        <v>163939.43</v>
      </c>
      <c r="E2987" t="s">
        <v>19</v>
      </c>
      <c r="F2987">
        <v>5</v>
      </c>
      <c r="G2987" t="s">
        <v>25</v>
      </c>
      <c r="H2987" s="1">
        <v>45382</v>
      </c>
      <c r="I2987" s="1">
        <v>45387</v>
      </c>
      <c r="J2987" t="str">
        <f t="shared" si="46"/>
        <v>Mar-2024</v>
      </c>
    </row>
    <row r="2988" spans="1:10">
      <c r="A2988">
        <v>2987</v>
      </c>
      <c r="B2988">
        <v>18143</v>
      </c>
      <c r="C2988" t="s">
        <v>23</v>
      </c>
      <c r="D2988">
        <v>171442.29</v>
      </c>
      <c r="E2988" t="s">
        <v>16</v>
      </c>
      <c r="F2988">
        <v>16</v>
      </c>
      <c r="G2988" t="s">
        <v>25</v>
      </c>
      <c r="H2988" s="1">
        <v>45475</v>
      </c>
      <c r="I2988" s="1">
        <v>45491</v>
      </c>
      <c r="J2988" t="str">
        <f t="shared" si="46"/>
        <v>Jul-2024</v>
      </c>
    </row>
    <row r="2989" spans="1:10">
      <c r="A2989">
        <v>2988</v>
      </c>
      <c r="B2989">
        <v>16870</v>
      </c>
      <c r="C2989" t="s">
        <v>18</v>
      </c>
      <c r="D2989">
        <v>20067.990000000002</v>
      </c>
      <c r="E2989" t="s">
        <v>24</v>
      </c>
      <c r="G2989" t="s">
        <v>17</v>
      </c>
      <c r="H2989" s="1">
        <v>45549</v>
      </c>
      <c r="J2989" t="str">
        <f t="shared" si="46"/>
        <v>Sep-2024</v>
      </c>
    </row>
    <row r="2990" spans="1:10">
      <c r="A2990">
        <v>2989</v>
      </c>
      <c r="B2990">
        <v>15134</v>
      </c>
      <c r="C2990" t="s">
        <v>18</v>
      </c>
      <c r="D2990">
        <v>71937.100000000006</v>
      </c>
      <c r="E2990" t="s">
        <v>16</v>
      </c>
      <c r="F2990">
        <v>40</v>
      </c>
      <c r="G2990" t="s">
        <v>17</v>
      </c>
      <c r="H2990" s="1">
        <v>45304</v>
      </c>
      <c r="I2990" s="1">
        <v>45344</v>
      </c>
      <c r="J2990" t="str">
        <f t="shared" si="46"/>
        <v>Jan-2024</v>
      </c>
    </row>
    <row r="2991" spans="1:10">
      <c r="A2991">
        <v>2990</v>
      </c>
      <c r="B2991">
        <v>14242</v>
      </c>
      <c r="C2991" t="s">
        <v>22</v>
      </c>
      <c r="D2991">
        <v>138988.89000000001</v>
      </c>
      <c r="E2991" t="s">
        <v>16</v>
      </c>
      <c r="F2991">
        <v>11</v>
      </c>
      <c r="G2991" t="s">
        <v>20</v>
      </c>
      <c r="H2991" s="1">
        <v>45315</v>
      </c>
      <c r="I2991" s="1">
        <v>45326</v>
      </c>
      <c r="J2991" t="str">
        <f t="shared" si="46"/>
        <v>Jan-2024</v>
      </c>
    </row>
    <row r="2992" spans="1:10">
      <c r="A2992">
        <v>2991</v>
      </c>
      <c r="B2992">
        <v>15609</v>
      </c>
      <c r="C2992" t="s">
        <v>23</v>
      </c>
      <c r="D2992">
        <v>102224.33</v>
      </c>
      <c r="E2992" t="s">
        <v>16</v>
      </c>
      <c r="F2992">
        <v>8</v>
      </c>
      <c r="G2992" t="s">
        <v>25</v>
      </c>
      <c r="H2992" s="1">
        <v>45616</v>
      </c>
      <c r="I2992" s="1">
        <v>45624</v>
      </c>
      <c r="J2992" t="str">
        <f t="shared" si="46"/>
        <v>Nov-2024</v>
      </c>
    </row>
    <row r="2993" spans="1:10">
      <c r="A2993">
        <v>2992</v>
      </c>
      <c r="B2993">
        <v>19871</v>
      </c>
      <c r="C2993" t="s">
        <v>18</v>
      </c>
      <c r="D2993">
        <v>42181.81</v>
      </c>
      <c r="E2993" t="s">
        <v>16</v>
      </c>
      <c r="F2993">
        <v>34</v>
      </c>
      <c r="G2993" t="s">
        <v>25</v>
      </c>
      <c r="H2993" s="1">
        <v>45325</v>
      </c>
      <c r="I2993" s="1">
        <v>45359</v>
      </c>
      <c r="J2993" t="str">
        <f t="shared" si="46"/>
        <v>Feb-2024</v>
      </c>
    </row>
    <row r="2994" spans="1:10">
      <c r="A2994">
        <v>2993</v>
      </c>
      <c r="B2994">
        <v>17778</v>
      </c>
      <c r="C2994" t="s">
        <v>18</v>
      </c>
      <c r="D2994">
        <v>112778.37</v>
      </c>
      <c r="E2994" t="s">
        <v>16</v>
      </c>
      <c r="F2994">
        <v>18</v>
      </c>
      <c r="G2994" t="s">
        <v>25</v>
      </c>
      <c r="H2994" s="1">
        <v>45538</v>
      </c>
      <c r="I2994" s="1">
        <v>45556</v>
      </c>
      <c r="J2994" t="str">
        <f t="shared" si="46"/>
        <v>Sep-2024</v>
      </c>
    </row>
    <row r="2995" spans="1:10">
      <c r="A2995">
        <v>2994</v>
      </c>
      <c r="B2995">
        <v>19906</v>
      </c>
      <c r="C2995" t="s">
        <v>23</v>
      </c>
      <c r="D2995">
        <v>84449.95</v>
      </c>
      <c r="E2995" t="s">
        <v>16</v>
      </c>
      <c r="F2995">
        <v>13</v>
      </c>
      <c r="G2995" t="s">
        <v>25</v>
      </c>
      <c r="H2995" s="1">
        <v>45634</v>
      </c>
      <c r="I2995" s="1">
        <v>45647</v>
      </c>
      <c r="J2995" t="str">
        <f t="shared" si="46"/>
        <v>Dec-2024</v>
      </c>
    </row>
    <row r="2996" spans="1:10">
      <c r="A2996">
        <v>2995</v>
      </c>
      <c r="B2996">
        <v>11197</v>
      </c>
      <c r="C2996" t="s">
        <v>23</v>
      </c>
      <c r="D2996">
        <v>81057.460000000006</v>
      </c>
      <c r="E2996" t="s">
        <v>16</v>
      </c>
      <c r="F2996">
        <v>18</v>
      </c>
      <c r="G2996" t="s">
        <v>25</v>
      </c>
      <c r="H2996" s="1">
        <v>45310</v>
      </c>
      <c r="I2996" s="1">
        <v>45328</v>
      </c>
      <c r="J2996" t="str">
        <f t="shared" si="46"/>
        <v>Jan-2024</v>
      </c>
    </row>
    <row r="2997" spans="1:10">
      <c r="A2997">
        <v>2996</v>
      </c>
      <c r="B2997">
        <v>12337</v>
      </c>
      <c r="C2997" t="s">
        <v>23</v>
      </c>
      <c r="D2997">
        <v>162901.97</v>
      </c>
      <c r="E2997" t="s">
        <v>16</v>
      </c>
      <c r="F2997">
        <v>17</v>
      </c>
      <c r="G2997" t="s">
        <v>21</v>
      </c>
      <c r="H2997" s="1">
        <v>45321</v>
      </c>
      <c r="I2997" s="1">
        <v>45338</v>
      </c>
      <c r="J2997" t="str">
        <f t="shared" si="46"/>
        <v>Jan-2024</v>
      </c>
    </row>
    <row r="2998" spans="1:10">
      <c r="A2998">
        <v>2997</v>
      </c>
      <c r="B2998">
        <v>18086</v>
      </c>
      <c r="C2998" t="s">
        <v>18</v>
      </c>
      <c r="D2998">
        <v>84481.68</v>
      </c>
      <c r="E2998" t="s">
        <v>16</v>
      </c>
      <c r="F2998">
        <v>15</v>
      </c>
      <c r="G2998" t="s">
        <v>17</v>
      </c>
      <c r="H2998" s="1">
        <v>45340</v>
      </c>
      <c r="I2998" s="1">
        <v>45355</v>
      </c>
      <c r="J2998" t="str">
        <f t="shared" si="46"/>
        <v>Feb-2024</v>
      </c>
    </row>
    <row r="2999" spans="1:10">
      <c r="A2999">
        <v>2998</v>
      </c>
      <c r="B2999">
        <v>13193</v>
      </c>
      <c r="C2999" t="s">
        <v>15</v>
      </c>
      <c r="D2999">
        <v>10158.629999999999</v>
      </c>
      <c r="E2999" t="s">
        <v>16</v>
      </c>
      <c r="F2999">
        <v>4</v>
      </c>
      <c r="G2999" t="s">
        <v>21</v>
      </c>
      <c r="H2999" s="1">
        <v>45471</v>
      </c>
      <c r="I2999" s="1">
        <v>45475</v>
      </c>
      <c r="J2999" t="str">
        <f t="shared" si="46"/>
        <v>Jun-2024</v>
      </c>
    </row>
    <row r="3000" spans="1:10">
      <c r="A3000">
        <v>2999</v>
      </c>
      <c r="B3000">
        <v>18218</v>
      </c>
      <c r="C3000" t="s">
        <v>18</v>
      </c>
      <c r="D3000">
        <v>16322.35</v>
      </c>
      <c r="E3000" t="s">
        <v>16</v>
      </c>
      <c r="F3000">
        <v>31</v>
      </c>
      <c r="G3000" t="s">
        <v>25</v>
      </c>
      <c r="H3000" s="1">
        <v>45517</v>
      </c>
      <c r="I3000" s="1">
        <v>45548</v>
      </c>
      <c r="J3000" t="str">
        <f t="shared" si="46"/>
        <v>Aug-2024</v>
      </c>
    </row>
    <row r="3001" spans="1:10">
      <c r="A3001">
        <v>3000</v>
      </c>
      <c r="B3001">
        <v>15220</v>
      </c>
      <c r="C3001" t="s">
        <v>18</v>
      </c>
      <c r="D3001">
        <v>171967.59</v>
      </c>
      <c r="E3001" t="s">
        <v>16</v>
      </c>
      <c r="F3001">
        <v>42</v>
      </c>
      <c r="G3001" t="s">
        <v>20</v>
      </c>
      <c r="H3001" s="1">
        <v>45369</v>
      </c>
      <c r="I3001" s="1">
        <v>45411</v>
      </c>
      <c r="J3001" t="str">
        <f t="shared" si="46"/>
        <v>Mar-2024</v>
      </c>
    </row>
    <row r="3002" spans="1:10">
      <c r="A3002">
        <v>3001</v>
      </c>
      <c r="B3002">
        <v>12973</v>
      </c>
      <c r="C3002" t="s">
        <v>18</v>
      </c>
      <c r="D3002">
        <v>192317.16</v>
      </c>
      <c r="E3002" t="s">
        <v>16</v>
      </c>
      <c r="F3002">
        <v>36</v>
      </c>
      <c r="G3002" t="s">
        <v>20</v>
      </c>
      <c r="H3002" s="1">
        <v>45498</v>
      </c>
      <c r="I3002" s="1">
        <v>45534</v>
      </c>
      <c r="J3002" t="str">
        <f t="shared" si="46"/>
        <v>Jul-2024</v>
      </c>
    </row>
    <row r="3003" spans="1:10">
      <c r="A3003">
        <v>3002</v>
      </c>
      <c r="B3003">
        <v>16531</v>
      </c>
      <c r="C3003" t="s">
        <v>23</v>
      </c>
      <c r="D3003">
        <v>139239.82</v>
      </c>
      <c r="E3003" t="s">
        <v>16</v>
      </c>
      <c r="F3003">
        <v>27</v>
      </c>
      <c r="G3003" t="s">
        <v>25</v>
      </c>
      <c r="H3003" s="1">
        <v>45326</v>
      </c>
      <c r="I3003" s="1">
        <v>45353</v>
      </c>
      <c r="J3003" t="str">
        <f t="shared" si="46"/>
        <v>Feb-2024</v>
      </c>
    </row>
    <row r="3004" spans="1:10">
      <c r="A3004">
        <v>3003</v>
      </c>
      <c r="B3004">
        <v>13165</v>
      </c>
      <c r="C3004" t="s">
        <v>23</v>
      </c>
      <c r="D3004">
        <v>76051.820000000007</v>
      </c>
      <c r="E3004" t="s">
        <v>19</v>
      </c>
      <c r="F3004">
        <v>13</v>
      </c>
      <c r="G3004" t="s">
        <v>25</v>
      </c>
      <c r="H3004" s="1">
        <v>45541</v>
      </c>
      <c r="I3004" s="1">
        <v>45554</v>
      </c>
      <c r="J3004" t="str">
        <f t="shared" si="46"/>
        <v>Sep-2024</v>
      </c>
    </row>
    <row r="3005" spans="1:10">
      <c r="A3005">
        <v>3004</v>
      </c>
      <c r="B3005">
        <v>11090</v>
      </c>
      <c r="C3005" t="s">
        <v>23</v>
      </c>
      <c r="D3005">
        <v>188027.06</v>
      </c>
      <c r="E3005" t="s">
        <v>16</v>
      </c>
      <c r="F3005">
        <v>32</v>
      </c>
      <c r="G3005" t="s">
        <v>20</v>
      </c>
      <c r="H3005" s="1">
        <v>45362</v>
      </c>
      <c r="I3005" s="1">
        <v>45394</v>
      </c>
      <c r="J3005" t="str">
        <f t="shared" si="46"/>
        <v>Mar-2024</v>
      </c>
    </row>
    <row r="3006" spans="1:10">
      <c r="A3006">
        <v>3005</v>
      </c>
      <c r="B3006">
        <v>18441</v>
      </c>
      <c r="C3006" t="s">
        <v>23</v>
      </c>
      <c r="D3006">
        <v>134246.6</v>
      </c>
      <c r="E3006" t="s">
        <v>19</v>
      </c>
      <c r="F3006">
        <v>18</v>
      </c>
      <c r="G3006" t="s">
        <v>21</v>
      </c>
      <c r="H3006" s="1">
        <v>45655</v>
      </c>
      <c r="I3006" s="1">
        <v>45673</v>
      </c>
      <c r="J3006" t="str">
        <f t="shared" si="46"/>
        <v>Dec-2024</v>
      </c>
    </row>
    <row r="3007" spans="1:10">
      <c r="A3007">
        <v>3006</v>
      </c>
      <c r="B3007">
        <v>10141</v>
      </c>
      <c r="C3007" t="s">
        <v>23</v>
      </c>
      <c r="D3007">
        <v>169645.04</v>
      </c>
      <c r="E3007" t="s">
        <v>16</v>
      </c>
      <c r="F3007">
        <v>38</v>
      </c>
      <c r="G3007" t="s">
        <v>21</v>
      </c>
      <c r="H3007" s="1">
        <v>45601</v>
      </c>
      <c r="I3007" s="1">
        <v>45639</v>
      </c>
      <c r="J3007" t="str">
        <f t="shared" si="46"/>
        <v>Nov-2024</v>
      </c>
    </row>
    <row r="3008" spans="1:10">
      <c r="A3008">
        <v>3007</v>
      </c>
      <c r="B3008">
        <v>10266</v>
      </c>
      <c r="C3008" t="s">
        <v>18</v>
      </c>
      <c r="D3008">
        <v>154341.20000000001</v>
      </c>
      <c r="E3008" t="s">
        <v>16</v>
      </c>
      <c r="F3008">
        <v>9</v>
      </c>
      <c r="G3008" t="s">
        <v>25</v>
      </c>
      <c r="H3008" s="1">
        <v>45570</v>
      </c>
      <c r="I3008" s="1">
        <v>45579</v>
      </c>
      <c r="J3008" t="str">
        <f t="shared" si="46"/>
        <v>Oct-2024</v>
      </c>
    </row>
    <row r="3009" spans="1:10">
      <c r="A3009">
        <v>3008</v>
      </c>
      <c r="B3009">
        <v>17719</v>
      </c>
      <c r="C3009" t="s">
        <v>23</v>
      </c>
      <c r="D3009">
        <v>78932.17</v>
      </c>
      <c r="E3009" t="s">
        <v>16</v>
      </c>
      <c r="F3009">
        <v>20</v>
      </c>
      <c r="G3009" t="s">
        <v>21</v>
      </c>
      <c r="H3009" s="1">
        <v>45443</v>
      </c>
      <c r="I3009" s="1">
        <v>45463</v>
      </c>
      <c r="J3009" t="str">
        <f t="shared" si="46"/>
        <v>May-2024</v>
      </c>
    </row>
    <row r="3010" spans="1:10">
      <c r="A3010">
        <v>3009</v>
      </c>
      <c r="B3010">
        <v>14310</v>
      </c>
      <c r="C3010" t="s">
        <v>23</v>
      </c>
      <c r="D3010">
        <v>98346.93</v>
      </c>
      <c r="E3010" t="s">
        <v>19</v>
      </c>
      <c r="F3010">
        <v>27</v>
      </c>
      <c r="G3010" t="s">
        <v>20</v>
      </c>
      <c r="H3010" s="1">
        <v>45518</v>
      </c>
      <c r="I3010" s="1">
        <v>45545</v>
      </c>
      <c r="J3010" t="str">
        <f t="shared" si="46"/>
        <v>Aug-2024</v>
      </c>
    </row>
    <row r="3011" spans="1:10">
      <c r="A3011">
        <v>3010</v>
      </c>
      <c r="B3011">
        <v>18680</v>
      </c>
      <c r="C3011" t="s">
        <v>23</v>
      </c>
      <c r="D3011">
        <v>41295.769999999997</v>
      </c>
      <c r="E3011" t="s">
        <v>16</v>
      </c>
      <c r="F3011">
        <v>5</v>
      </c>
      <c r="G3011" t="s">
        <v>21</v>
      </c>
      <c r="H3011" s="1">
        <v>45534</v>
      </c>
      <c r="I3011" s="1">
        <v>45539</v>
      </c>
      <c r="J3011" t="str">
        <f t="shared" ref="J3011:J3074" si="47">TEXT(H3011,"mmm-yyyy")</f>
        <v>Aug-2024</v>
      </c>
    </row>
    <row r="3012" spans="1:10">
      <c r="A3012">
        <v>3011</v>
      </c>
      <c r="B3012">
        <v>18687</v>
      </c>
      <c r="C3012" t="s">
        <v>23</v>
      </c>
      <c r="D3012">
        <v>61942.75</v>
      </c>
      <c r="E3012" t="s">
        <v>16</v>
      </c>
      <c r="F3012">
        <v>16</v>
      </c>
      <c r="G3012" t="s">
        <v>25</v>
      </c>
      <c r="H3012" s="1">
        <v>45301</v>
      </c>
      <c r="I3012" s="1">
        <v>45317</v>
      </c>
      <c r="J3012" t="str">
        <f t="shared" si="47"/>
        <v>Jan-2024</v>
      </c>
    </row>
    <row r="3013" spans="1:10">
      <c r="A3013">
        <v>3012</v>
      </c>
      <c r="B3013">
        <v>10479</v>
      </c>
      <c r="C3013" t="s">
        <v>22</v>
      </c>
      <c r="D3013">
        <v>156734.5</v>
      </c>
      <c r="E3013" t="s">
        <v>16</v>
      </c>
      <c r="F3013">
        <v>15</v>
      </c>
      <c r="G3013" t="s">
        <v>20</v>
      </c>
      <c r="H3013" s="1">
        <v>45608</v>
      </c>
      <c r="I3013" s="1">
        <v>45623</v>
      </c>
      <c r="J3013" t="str">
        <f t="shared" si="47"/>
        <v>Nov-2024</v>
      </c>
    </row>
    <row r="3014" spans="1:10">
      <c r="A3014">
        <v>3013</v>
      </c>
      <c r="B3014">
        <v>12690</v>
      </c>
      <c r="C3014" t="s">
        <v>15</v>
      </c>
      <c r="D3014">
        <v>179325.79</v>
      </c>
      <c r="E3014" t="s">
        <v>16</v>
      </c>
      <c r="F3014">
        <v>31</v>
      </c>
      <c r="G3014" t="s">
        <v>21</v>
      </c>
      <c r="H3014" s="1">
        <v>45339</v>
      </c>
      <c r="I3014" s="1">
        <v>45370</v>
      </c>
      <c r="J3014" t="str">
        <f t="shared" si="47"/>
        <v>Feb-2024</v>
      </c>
    </row>
    <row r="3015" spans="1:10">
      <c r="A3015">
        <v>3014</v>
      </c>
      <c r="B3015">
        <v>15999</v>
      </c>
      <c r="C3015" t="s">
        <v>18</v>
      </c>
      <c r="D3015">
        <v>146269.78</v>
      </c>
      <c r="E3015" t="s">
        <v>16</v>
      </c>
      <c r="F3015">
        <v>43</v>
      </c>
      <c r="G3015" t="s">
        <v>17</v>
      </c>
      <c r="H3015" s="1">
        <v>45403</v>
      </c>
      <c r="I3015" s="1">
        <v>45446</v>
      </c>
      <c r="J3015" t="str">
        <f t="shared" si="47"/>
        <v>Apr-2024</v>
      </c>
    </row>
    <row r="3016" spans="1:10">
      <c r="A3016">
        <v>3015</v>
      </c>
      <c r="B3016">
        <v>14936</v>
      </c>
      <c r="C3016" t="s">
        <v>23</v>
      </c>
      <c r="D3016">
        <v>95708.87</v>
      </c>
      <c r="E3016" t="s">
        <v>16</v>
      </c>
      <c r="F3016">
        <v>25</v>
      </c>
      <c r="G3016" t="s">
        <v>20</v>
      </c>
      <c r="H3016" s="1">
        <v>45495</v>
      </c>
      <c r="I3016" s="1">
        <v>45520</v>
      </c>
      <c r="J3016" t="str">
        <f t="shared" si="47"/>
        <v>Jul-2024</v>
      </c>
    </row>
    <row r="3017" spans="1:10">
      <c r="A3017">
        <v>3016</v>
      </c>
      <c r="B3017">
        <v>12427</v>
      </c>
      <c r="C3017" t="s">
        <v>18</v>
      </c>
      <c r="D3017">
        <v>21869.31</v>
      </c>
      <c r="E3017" t="s">
        <v>16</v>
      </c>
      <c r="F3017">
        <v>44</v>
      </c>
      <c r="G3017" t="s">
        <v>20</v>
      </c>
      <c r="H3017" s="1">
        <v>45448</v>
      </c>
      <c r="I3017" s="1">
        <v>45492</v>
      </c>
      <c r="J3017" t="str">
        <f t="shared" si="47"/>
        <v>Jun-2024</v>
      </c>
    </row>
    <row r="3018" spans="1:10">
      <c r="A3018">
        <v>3017</v>
      </c>
      <c r="B3018">
        <v>19035</v>
      </c>
      <c r="C3018" t="s">
        <v>15</v>
      </c>
      <c r="D3018">
        <v>16104.85</v>
      </c>
      <c r="E3018" t="s">
        <v>16</v>
      </c>
      <c r="F3018">
        <v>35</v>
      </c>
      <c r="G3018" t="s">
        <v>17</v>
      </c>
      <c r="H3018" s="1">
        <v>45634</v>
      </c>
      <c r="I3018" s="1">
        <v>45669</v>
      </c>
      <c r="J3018" t="str">
        <f t="shared" si="47"/>
        <v>Dec-2024</v>
      </c>
    </row>
    <row r="3019" spans="1:10">
      <c r="A3019">
        <v>3018</v>
      </c>
      <c r="B3019">
        <v>18064</v>
      </c>
      <c r="C3019" t="s">
        <v>18</v>
      </c>
      <c r="D3019">
        <v>77993.490000000005</v>
      </c>
      <c r="E3019" t="s">
        <v>16</v>
      </c>
      <c r="F3019">
        <v>20</v>
      </c>
      <c r="G3019" t="s">
        <v>17</v>
      </c>
      <c r="H3019" s="1">
        <v>45317</v>
      </c>
      <c r="I3019" s="1">
        <v>45337</v>
      </c>
      <c r="J3019" t="str">
        <f t="shared" si="47"/>
        <v>Jan-2024</v>
      </c>
    </row>
    <row r="3020" spans="1:10">
      <c r="A3020">
        <v>3019</v>
      </c>
      <c r="B3020">
        <v>13215</v>
      </c>
      <c r="C3020" t="s">
        <v>23</v>
      </c>
      <c r="D3020">
        <v>95445.24</v>
      </c>
      <c r="E3020" t="s">
        <v>19</v>
      </c>
      <c r="F3020">
        <v>4</v>
      </c>
      <c r="G3020" t="s">
        <v>20</v>
      </c>
      <c r="H3020" s="1">
        <v>45599</v>
      </c>
      <c r="I3020" s="1">
        <v>45603</v>
      </c>
      <c r="J3020" t="str">
        <f t="shared" si="47"/>
        <v>Nov-2024</v>
      </c>
    </row>
    <row r="3021" spans="1:10">
      <c r="A3021">
        <v>3020</v>
      </c>
      <c r="B3021">
        <v>15981</v>
      </c>
      <c r="C3021" t="s">
        <v>18</v>
      </c>
      <c r="D3021">
        <v>123778.52</v>
      </c>
      <c r="E3021" t="s">
        <v>19</v>
      </c>
      <c r="F3021">
        <v>5</v>
      </c>
      <c r="G3021" t="s">
        <v>17</v>
      </c>
      <c r="H3021" s="1">
        <v>45457</v>
      </c>
      <c r="I3021" s="1">
        <v>45462</v>
      </c>
      <c r="J3021" t="str">
        <f t="shared" si="47"/>
        <v>Jun-2024</v>
      </c>
    </row>
    <row r="3022" spans="1:10">
      <c r="A3022">
        <v>3021</v>
      </c>
      <c r="B3022">
        <v>13911</v>
      </c>
      <c r="C3022" t="s">
        <v>15</v>
      </c>
      <c r="D3022">
        <v>6265.46</v>
      </c>
      <c r="E3022" t="s">
        <v>16</v>
      </c>
      <c r="F3022">
        <v>12</v>
      </c>
      <c r="G3022" t="s">
        <v>25</v>
      </c>
      <c r="H3022" s="1">
        <v>45540</v>
      </c>
      <c r="I3022" s="1">
        <v>45552</v>
      </c>
      <c r="J3022" t="str">
        <f t="shared" si="47"/>
        <v>Sep-2024</v>
      </c>
    </row>
    <row r="3023" spans="1:10">
      <c r="A3023">
        <v>3022</v>
      </c>
      <c r="B3023">
        <v>14077</v>
      </c>
      <c r="C3023" t="s">
        <v>18</v>
      </c>
      <c r="D3023">
        <v>197995.96</v>
      </c>
      <c r="E3023" t="s">
        <v>16</v>
      </c>
      <c r="F3023">
        <v>14</v>
      </c>
      <c r="G3023" t="s">
        <v>25</v>
      </c>
      <c r="H3023" s="1">
        <v>45553</v>
      </c>
      <c r="I3023" s="1">
        <v>45567</v>
      </c>
      <c r="J3023" t="str">
        <f t="shared" si="47"/>
        <v>Sep-2024</v>
      </c>
    </row>
    <row r="3024" spans="1:10">
      <c r="A3024">
        <v>3023</v>
      </c>
      <c r="B3024">
        <v>12349</v>
      </c>
      <c r="C3024" t="s">
        <v>18</v>
      </c>
      <c r="D3024">
        <v>75968.08</v>
      </c>
      <c r="E3024" t="s">
        <v>19</v>
      </c>
      <c r="F3024">
        <v>19</v>
      </c>
      <c r="G3024" t="s">
        <v>25</v>
      </c>
      <c r="H3024" s="1">
        <v>45555</v>
      </c>
      <c r="I3024" s="1">
        <v>45574</v>
      </c>
      <c r="J3024" t="str">
        <f t="shared" si="47"/>
        <v>Sep-2024</v>
      </c>
    </row>
    <row r="3025" spans="1:10">
      <c r="A3025">
        <v>3024</v>
      </c>
      <c r="B3025">
        <v>10649</v>
      </c>
      <c r="C3025" t="s">
        <v>23</v>
      </c>
      <c r="D3025">
        <v>170378.46</v>
      </c>
      <c r="E3025" t="s">
        <v>16</v>
      </c>
      <c r="F3025">
        <v>20</v>
      </c>
      <c r="G3025" t="s">
        <v>20</v>
      </c>
      <c r="H3025" s="1">
        <v>45308</v>
      </c>
      <c r="I3025" s="1">
        <v>45328</v>
      </c>
      <c r="J3025" t="str">
        <f t="shared" si="47"/>
        <v>Jan-2024</v>
      </c>
    </row>
    <row r="3026" spans="1:10">
      <c r="A3026">
        <v>3025</v>
      </c>
      <c r="B3026">
        <v>15536</v>
      </c>
      <c r="C3026" t="s">
        <v>18</v>
      </c>
      <c r="D3026">
        <v>109318.51</v>
      </c>
      <c r="E3026" t="s">
        <v>16</v>
      </c>
      <c r="F3026">
        <v>34</v>
      </c>
      <c r="G3026" t="s">
        <v>17</v>
      </c>
      <c r="H3026" s="1">
        <v>45367</v>
      </c>
      <c r="I3026" s="1">
        <v>45401</v>
      </c>
      <c r="J3026" t="str">
        <f t="shared" si="47"/>
        <v>Mar-2024</v>
      </c>
    </row>
    <row r="3027" spans="1:10">
      <c r="A3027">
        <v>3026</v>
      </c>
      <c r="B3027">
        <v>12856</v>
      </c>
      <c r="C3027" t="s">
        <v>23</v>
      </c>
      <c r="D3027">
        <v>30435.69</v>
      </c>
      <c r="E3027" t="s">
        <v>19</v>
      </c>
      <c r="F3027">
        <v>39</v>
      </c>
      <c r="G3027" t="s">
        <v>17</v>
      </c>
      <c r="H3027" s="1">
        <v>45545</v>
      </c>
      <c r="I3027" s="1">
        <v>45584</v>
      </c>
      <c r="J3027" t="str">
        <f t="shared" si="47"/>
        <v>Sep-2024</v>
      </c>
    </row>
    <row r="3028" spans="1:10">
      <c r="A3028">
        <v>3027</v>
      </c>
      <c r="B3028">
        <v>15578</v>
      </c>
      <c r="C3028" t="s">
        <v>18</v>
      </c>
      <c r="D3028">
        <v>160525.28</v>
      </c>
      <c r="E3028" t="s">
        <v>16</v>
      </c>
      <c r="F3028">
        <v>4</v>
      </c>
      <c r="G3028" t="s">
        <v>21</v>
      </c>
      <c r="H3028" s="1">
        <v>45497</v>
      </c>
      <c r="I3028" s="1">
        <v>45501</v>
      </c>
      <c r="J3028" t="str">
        <f t="shared" si="47"/>
        <v>Jul-2024</v>
      </c>
    </row>
    <row r="3029" spans="1:10">
      <c r="A3029">
        <v>3028</v>
      </c>
      <c r="B3029">
        <v>11725</v>
      </c>
      <c r="C3029" t="s">
        <v>23</v>
      </c>
      <c r="D3029">
        <v>143416.28</v>
      </c>
      <c r="E3029" t="s">
        <v>16</v>
      </c>
      <c r="F3029">
        <v>36</v>
      </c>
      <c r="G3029" t="s">
        <v>21</v>
      </c>
      <c r="H3029" s="1">
        <v>45325</v>
      </c>
      <c r="I3029" s="1">
        <v>45361</v>
      </c>
      <c r="J3029" t="str">
        <f t="shared" si="47"/>
        <v>Feb-2024</v>
      </c>
    </row>
    <row r="3030" spans="1:10">
      <c r="A3030">
        <v>3029</v>
      </c>
      <c r="B3030">
        <v>18116</v>
      </c>
      <c r="C3030" t="s">
        <v>23</v>
      </c>
      <c r="D3030">
        <v>107850.04</v>
      </c>
      <c r="E3030" t="s">
        <v>19</v>
      </c>
      <c r="F3030">
        <v>2</v>
      </c>
      <c r="G3030" t="s">
        <v>17</v>
      </c>
      <c r="H3030" s="1">
        <v>45438</v>
      </c>
      <c r="I3030" s="1">
        <v>45440</v>
      </c>
      <c r="J3030" t="str">
        <f t="shared" si="47"/>
        <v>May-2024</v>
      </c>
    </row>
    <row r="3031" spans="1:10">
      <c r="A3031">
        <v>3030</v>
      </c>
      <c r="B3031">
        <v>11354</v>
      </c>
      <c r="C3031" t="s">
        <v>23</v>
      </c>
      <c r="D3031">
        <v>105337.85</v>
      </c>
      <c r="E3031" t="s">
        <v>16</v>
      </c>
      <c r="F3031">
        <v>36</v>
      </c>
      <c r="G3031" t="s">
        <v>17</v>
      </c>
      <c r="H3031" s="1">
        <v>45617</v>
      </c>
      <c r="I3031" s="1">
        <v>45653</v>
      </c>
      <c r="J3031" t="str">
        <f t="shared" si="47"/>
        <v>Nov-2024</v>
      </c>
    </row>
    <row r="3032" spans="1:10">
      <c r="A3032">
        <v>3031</v>
      </c>
      <c r="B3032">
        <v>11293</v>
      </c>
      <c r="C3032" t="s">
        <v>18</v>
      </c>
      <c r="D3032">
        <v>22058.52</v>
      </c>
      <c r="E3032" t="s">
        <v>19</v>
      </c>
      <c r="F3032">
        <v>37</v>
      </c>
      <c r="G3032" t="s">
        <v>17</v>
      </c>
      <c r="H3032" s="1">
        <v>45629</v>
      </c>
      <c r="I3032" s="1">
        <v>45666</v>
      </c>
      <c r="J3032" t="str">
        <f t="shared" si="47"/>
        <v>Dec-2024</v>
      </c>
    </row>
    <row r="3033" spans="1:10">
      <c r="A3033">
        <v>3032</v>
      </c>
      <c r="B3033">
        <v>13258</v>
      </c>
      <c r="C3033" t="s">
        <v>23</v>
      </c>
      <c r="D3033">
        <v>132890.54</v>
      </c>
      <c r="E3033" t="s">
        <v>19</v>
      </c>
      <c r="F3033">
        <v>39</v>
      </c>
      <c r="G3033" t="s">
        <v>20</v>
      </c>
      <c r="H3033" s="1">
        <v>45519</v>
      </c>
      <c r="I3033" s="1">
        <v>45558</v>
      </c>
      <c r="J3033" t="str">
        <f t="shared" si="47"/>
        <v>Aug-2024</v>
      </c>
    </row>
    <row r="3034" spans="1:10">
      <c r="A3034">
        <v>3033</v>
      </c>
      <c r="B3034">
        <v>12713</v>
      </c>
      <c r="C3034" t="s">
        <v>18</v>
      </c>
      <c r="D3034">
        <v>182692.81</v>
      </c>
      <c r="E3034" t="s">
        <v>24</v>
      </c>
      <c r="G3034" t="s">
        <v>17</v>
      </c>
      <c r="H3034" s="1">
        <v>45409</v>
      </c>
      <c r="J3034" t="str">
        <f t="shared" si="47"/>
        <v>Apr-2024</v>
      </c>
    </row>
    <row r="3035" spans="1:10">
      <c r="A3035">
        <v>3034</v>
      </c>
      <c r="B3035">
        <v>18595</v>
      </c>
      <c r="C3035" t="s">
        <v>18</v>
      </c>
      <c r="D3035">
        <v>23182.76</v>
      </c>
      <c r="E3035" t="s">
        <v>16</v>
      </c>
      <c r="F3035">
        <v>26</v>
      </c>
      <c r="G3035" t="s">
        <v>21</v>
      </c>
      <c r="H3035" s="1">
        <v>45456</v>
      </c>
      <c r="I3035" s="1">
        <v>45482</v>
      </c>
      <c r="J3035" t="str">
        <f t="shared" si="47"/>
        <v>Jun-2024</v>
      </c>
    </row>
    <row r="3036" spans="1:10">
      <c r="A3036">
        <v>3035</v>
      </c>
      <c r="B3036">
        <v>14032</v>
      </c>
      <c r="C3036" t="s">
        <v>23</v>
      </c>
      <c r="D3036">
        <v>56384.73</v>
      </c>
      <c r="E3036" t="s">
        <v>16</v>
      </c>
      <c r="F3036">
        <v>41</v>
      </c>
      <c r="G3036" t="s">
        <v>20</v>
      </c>
      <c r="H3036" s="1">
        <v>45329</v>
      </c>
      <c r="I3036" s="1">
        <v>45370</v>
      </c>
      <c r="J3036" t="str">
        <f t="shared" si="47"/>
        <v>Feb-2024</v>
      </c>
    </row>
    <row r="3037" spans="1:10">
      <c r="A3037">
        <v>3036</v>
      </c>
      <c r="B3037">
        <v>11546</v>
      </c>
      <c r="C3037" t="s">
        <v>23</v>
      </c>
      <c r="D3037">
        <v>180950.05</v>
      </c>
      <c r="E3037" t="s">
        <v>16</v>
      </c>
      <c r="F3037">
        <v>14</v>
      </c>
      <c r="G3037" t="s">
        <v>17</v>
      </c>
      <c r="H3037" s="1">
        <v>45649</v>
      </c>
      <c r="I3037" s="1">
        <v>45663</v>
      </c>
      <c r="J3037" t="str">
        <f t="shared" si="47"/>
        <v>Dec-2024</v>
      </c>
    </row>
    <row r="3038" spans="1:10">
      <c r="A3038">
        <v>3037</v>
      </c>
      <c r="B3038">
        <v>12606</v>
      </c>
      <c r="C3038" t="s">
        <v>23</v>
      </c>
      <c r="D3038">
        <v>60447.06</v>
      </c>
      <c r="E3038" t="s">
        <v>16</v>
      </c>
      <c r="F3038">
        <v>5</v>
      </c>
      <c r="G3038" t="s">
        <v>21</v>
      </c>
      <c r="H3038" s="1">
        <v>45587</v>
      </c>
      <c r="I3038" s="1">
        <v>45592</v>
      </c>
      <c r="J3038" t="str">
        <f t="shared" si="47"/>
        <v>Oct-2024</v>
      </c>
    </row>
    <row r="3039" spans="1:10">
      <c r="A3039">
        <v>3038</v>
      </c>
      <c r="B3039">
        <v>12825</v>
      </c>
      <c r="C3039" t="s">
        <v>15</v>
      </c>
      <c r="D3039">
        <v>132519.01999999999</v>
      </c>
      <c r="E3039" t="s">
        <v>16</v>
      </c>
      <c r="F3039">
        <v>7</v>
      </c>
      <c r="G3039" t="s">
        <v>20</v>
      </c>
      <c r="H3039" s="1">
        <v>45428</v>
      </c>
      <c r="I3039" s="1">
        <v>45435</v>
      </c>
      <c r="J3039" t="str">
        <f t="shared" si="47"/>
        <v>May-2024</v>
      </c>
    </row>
    <row r="3040" spans="1:10">
      <c r="A3040">
        <v>3039</v>
      </c>
      <c r="B3040">
        <v>14206</v>
      </c>
      <c r="C3040" t="s">
        <v>18</v>
      </c>
      <c r="D3040">
        <v>109289.54</v>
      </c>
      <c r="E3040" t="s">
        <v>16</v>
      </c>
      <c r="F3040">
        <v>12</v>
      </c>
      <c r="G3040" t="s">
        <v>17</v>
      </c>
      <c r="H3040" s="1">
        <v>45600</v>
      </c>
      <c r="I3040" s="1">
        <v>45612</v>
      </c>
      <c r="J3040" t="str">
        <f t="shared" si="47"/>
        <v>Nov-2024</v>
      </c>
    </row>
    <row r="3041" spans="1:10">
      <c r="A3041">
        <v>3040</v>
      </c>
      <c r="B3041">
        <v>19004</v>
      </c>
      <c r="C3041" t="s">
        <v>23</v>
      </c>
      <c r="D3041">
        <v>121283.88</v>
      </c>
      <c r="E3041" t="s">
        <v>16</v>
      </c>
      <c r="F3041">
        <v>2</v>
      </c>
      <c r="G3041" t="s">
        <v>17</v>
      </c>
      <c r="H3041" s="1">
        <v>45537</v>
      </c>
      <c r="I3041" s="1">
        <v>45539</v>
      </c>
      <c r="J3041" t="str">
        <f t="shared" si="47"/>
        <v>Sep-2024</v>
      </c>
    </row>
    <row r="3042" spans="1:10">
      <c r="A3042">
        <v>3041</v>
      </c>
      <c r="B3042">
        <v>13374</v>
      </c>
      <c r="C3042" t="s">
        <v>23</v>
      </c>
      <c r="D3042">
        <v>86078.84</v>
      </c>
      <c r="E3042" t="s">
        <v>16</v>
      </c>
      <c r="F3042">
        <v>9</v>
      </c>
      <c r="G3042" t="s">
        <v>17</v>
      </c>
      <c r="H3042" s="1">
        <v>45489</v>
      </c>
      <c r="I3042" s="1">
        <v>45498</v>
      </c>
      <c r="J3042" t="str">
        <f t="shared" si="47"/>
        <v>Jul-2024</v>
      </c>
    </row>
    <row r="3043" spans="1:10">
      <c r="A3043">
        <v>3042</v>
      </c>
      <c r="B3043">
        <v>19121</v>
      </c>
      <c r="C3043" t="s">
        <v>18</v>
      </c>
      <c r="D3043">
        <v>63498.34</v>
      </c>
      <c r="E3043" t="s">
        <v>16</v>
      </c>
      <c r="F3043">
        <v>35</v>
      </c>
      <c r="G3043" t="s">
        <v>20</v>
      </c>
      <c r="H3043" s="1">
        <v>45357</v>
      </c>
      <c r="I3043" s="1">
        <v>45392</v>
      </c>
      <c r="J3043" t="str">
        <f t="shared" si="47"/>
        <v>Mar-2024</v>
      </c>
    </row>
    <row r="3044" spans="1:10">
      <c r="A3044">
        <v>3043</v>
      </c>
      <c r="B3044">
        <v>17640</v>
      </c>
      <c r="C3044" t="s">
        <v>15</v>
      </c>
      <c r="D3044">
        <v>14464.02</v>
      </c>
      <c r="E3044" t="s">
        <v>19</v>
      </c>
      <c r="F3044">
        <v>41</v>
      </c>
      <c r="G3044" t="s">
        <v>21</v>
      </c>
      <c r="H3044" s="1">
        <v>45371</v>
      </c>
      <c r="I3044" s="1">
        <v>45412</v>
      </c>
      <c r="J3044" t="str">
        <f t="shared" si="47"/>
        <v>Mar-2024</v>
      </c>
    </row>
    <row r="3045" spans="1:10">
      <c r="A3045">
        <v>3044</v>
      </c>
      <c r="B3045">
        <v>16934</v>
      </c>
      <c r="C3045" t="s">
        <v>15</v>
      </c>
      <c r="D3045">
        <v>150134.78</v>
      </c>
      <c r="E3045" t="s">
        <v>19</v>
      </c>
      <c r="F3045">
        <v>10</v>
      </c>
      <c r="G3045" t="s">
        <v>21</v>
      </c>
      <c r="H3045" s="1">
        <v>45343</v>
      </c>
      <c r="I3045" s="1">
        <v>45353</v>
      </c>
      <c r="J3045" t="str">
        <f t="shared" si="47"/>
        <v>Feb-2024</v>
      </c>
    </row>
    <row r="3046" spans="1:10">
      <c r="A3046">
        <v>3045</v>
      </c>
      <c r="B3046">
        <v>16078</v>
      </c>
      <c r="C3046" t="s">
        <v>18</v>
      </c>
      <c r="D3046">
        <v>150488.23000000001</v>
      </c>
      <c r="E3046" t="s">
        <v>24</v>
      </c>
      <c r="G3046" t="s">
        <v>25</v>
      </c>
      <c r="H3046" s="1">
        <v>45420</v>
      </c>
      <c r="J3046" t="str">
        <f t="shared" si="47"/>
        <v>May-2024</v>
      </c>
    </row>
    <row r="3047" spans="1:10">
      <c r="A3047">
        <v>3046</v>
      </c>
      <c r="B3047">
        <v>13323</v>
      </c>
      <c r="C3047" t="s">
        <v>23</v>
      </c>
      <c r="D3047">
        <v>135791.51999999999</v>
      </c>
      <c r="E3047" t="s">
        <v>16</v>
      </c>
      <c r="F3047">
        <v>40</v>
      </c>
      <c r="G3047" t="s">
        <v>17</v>
      </c>
      <c r="H3047" s="1">
        <v>45292</v>
      </c>
      <c r="I3047" s="1">
        <v>45332</v>
      </c>
      <c r="J3047" t="str">
        <f t="shared" si="47"/>
        <v>Jan-2024</v>
      </c>
    </row>
    <row r="3048" spans="1:10">
      <c r="A3048">
        <v>3047</v>
      </c>
      <c r="B3048">
        <v>18366</v>
      </c>
      <c r="C3048" t="s">
        <v>23</v>
      </c>
      <c r="D3048">
        <v>130508.59</v>
      </c>
      <c r="E3048" t="s">
        <v>24</v>
      </c>
      <c r="G3048" t="s">
        <v>25</v>
      </c>
      <c r="H3048" s="1">
        <v>45458</v>
      </c>
      <c r="J3048" t="str">
        <f t="shared" si="47"/>
        <v>Jun-2024</v>
      </c>
    </row>
    <row r="3049" spans="1:10">
      <c r="A3049">
        <v>3048</v>
      </c>
      <c r="B3049">
        <v>17105</v>
      </c>
      <c r="C3049" t="s">
        <v>23</v>
      </c>
      <c r="D3049">
        <v>52524.84</v>
      </c>
      <c r="E3049" t="s">
        <v>19</v>
      </c>
      <c r="F3049">
        <v>38</v>
      </c>
      <c r="G3049" t="s">
        <v>25</v>
      </c>
      <c r="H3049" s="1">
        <v>45307</v>
      </c>
      <c r="I3049" s="1">
        <v>45345</v>
      </c>
      <c r="J3049" t="str">
        <f t="shared" si="47"/>
        <v>Jan-2024</v>
      </c>
    </row>
    <row r="3050" spans="1:10">
      <c r="A3050">
        <v>3049</v>
      </c>
      <c r="B3050">
        <v>11363</v>
      </c>
      <c r="C3050" t="s">
        <v>23</v>
      </c>
      <c r="D3050">
        <v>9357.26</v>
      </c>
      <c r="E3050" t="s">
        <v>16</v>
      </c>
      <c r="F3050">
        <v>43</v>
      </c>
      <c r="G3050" t="s">
        <v>21</v>
      </c>
      <c r="H3050" s="1">
        <v>45436</v>
      </c>
      <c r="I3050" s="1">
        <v>45479</v>
      </c>
      <c r="J3050" t="str">
        <f t="shared" si="47"/>
        <v>May-2024</v>
      </c>
    </row>
    <row r="3051" spans="1:10">
      <c r="A3051">
        <v>3050</v>
      </c>
      <c r="B3051">
        <v>19229</v>
      </c>
      <c r="C3051" t="s">
        <v>23</v>
      </c>
      <c r="D3051">
        <v>162699.5</v>
      </c>
      <c r="E3051" t="s">
        <v>16</v>
      </c>
      <c r="F3051">
        <v>22</v>
      </c>
      <c r="G3051" t="s">
        <v>20</v>
      </c>
      <c r="H3051" s="1">
        <v>45403</v>
      </c>
      <c r="I3051" s="1">
        <v>45425</v>
      </c>
      <c r="J3051" t="str">
        <f t="shared" si="47"/>
        <v>Apr-2024</v>
      </c>
    </row>
    <row r="3052" spans="1:10">
      <c r="A3052">
        <v>3051</v>
      </c>
      <c r="B3052">
        <v>17489</v>
      </c>
      <c r="C3052" t="s">
        <v>23</v>
      </c>
      <c r="D3052">
        <v>100772.01</v>
      </c>
      <c r="E3052" t="s">
        <v>16</v>
      </c>
      <c r="F3052">
        <v>21</v>
      </c>
      <c r="G3052" t="s">
        <v>20</v>
      </c>
      <c r="H3052" s="1">
        <v>45393</v>
      </c>
      <c r="I3052" s="1">
        <v>45414</v>
      </c>
      <c r="J3052" t="str">
        <f t="shared" si="47"/>
        <v>Apr-2024</v>
      </c>
    </row>
    <row r="3053" spans="1:10">
      <c r="A3053">
        <v>3052</v>
      </c>
      <c r="B3053">
        <v>17951</v>
      </c>
      <c r="C3053" t="s">
        <v>23</v>
      </c>
      <c r="D3053">
        <v>64833.440000000002</v>
      </c>
      <c r="E3053" t="s">
        <v>16</v>
      </c>
      <c r="F3053">
        <v>39</v>
      </c>
      <c r="G3053" t="s">
        <v>21</v>
      </c>
      <c r="H3053" s="1">
        <v>45373</v>
      </c>
      <c r="I3053" s="1">
        <v>45412</v>
      </c>
      <c r="J3053" t="str">
        <f t="shared" si="47"/>
        <v>Mar-2024</v>
      </c>
    </row>
    <row r="3054" spans="1:10">
      <c r="A3054">
        <v>3053</v>
      </c>
      <c r="B3054">
        <v>13011</v>
      </c>
      <c r="C3054" t="s">
        <v>22</v>
      </c>
      <c r="D3054">
        <v>24876.720000000001</v>
      </c>
      <c r="E3054" t="s">
        <v>16</v>
      </c>
      <c r="F3054">
        <v>2</v>
      </c>
      <c r="G3054" t="s">
        <v>20</v>
      </c>
      <c r="H3054" s="1">
        <v>45390</v>
      </c>
      <c r="I3054" s="1">
        <v>45392</v>
      </c>
      <c r="J3054" t="str">
        <f t="shared" si="47"/>
        <v>Apr-2024</v>
      </c>
    </row>
    <row r="3055" spans="1:10">
      <c r="A3055">
        <v>3054</v>
      </c>
      <c r="B3055">
        <v>12090</v>
      </c>
      <c r="C3055" t="s">
        <v>18</v>
      </c>
      <c r="D3055">
        <v>17230.71</v>
      </c>
      <c r="E3055" t="s">
        <v>16</v>
      </c>
      <c r="F3055">
        <v>36</v>
      </c>
      <c r="G3055" t="s">
        <v>25</v>
      </c>
      <c r="H3055" s="1">
        <v>45450</v>
      </c>
      <c r="I3055" s="1">
        <v>45486</v>
      </c>
      <c r="J3055" t="str">
        <f t="shared" si="47"/>
        <v>Jun-2024</v>
      </c>
    </row>
    <row r="3056" spans="1:10">
      <c r="A3056">
        <v>3055</v>
      </c>
      <c r="B3056">
        <v>18652</v>
      </c>
      <c r="C3056" t="s">
        <v>15</v>
      </c>
      <c r="D3056">
        <v>73029.009999999995</v>
      </c>
      <c r="E3056" t="s">
        <v>19</v>
      </c>
      <c r="F3056">
        <v>29</v>
      </c>
      <c r="G3056" t="s">
        <v>17</v>
      </c>
      <c r="H3056" s="1">
        <v>45331</v>
      </c>
      <c r="I3056" s="1">
        <v>45360</v>
      </c>
      <c r="J3056" t="str">
        <f t="shared" si="47"/>
        <v>Feb-2024</v>
      </c>
    </row>
    <row r="3057" spans="1:10">
      <c r="A3057">
        <v>3056</v>
      </c>
      <c r="B3057">
        <v>10148</v>
      </c>
      <c r="C3057" t="s">
        <v>18</v>
      </c>
      <c r="D3057">
        <v>161923.73000000001</v>
      </c>
      <c r="E3057" t="s">
        <v>16</v>
      </c>
      <c r="F3057">
        <v>8</v>
      </c>
      <c r="G3057" t="s">
        <v>21</v>
      </c>
      <c r="H3057" s="1">
        <v>45446</v>
      </c>
      <c r="I3057" s="1">
        <v>45454</v>
      </c>
      <c r="J3057" t="str">
        <f t="shared" si="47"/>
        <v>Jun-2024</v>
      </c>
    </row>
    <row r="3058" spans="1:10">
      <c r="A3058">
        <v>3057</v>
      </c>
      <c r="B3058">
        <v>14433</v>
      </c>
      <c r="C3058" t="s">
        <v>23</v>
      </c>
      <c r="D3058">
        <v>184151.13</v>
      </c>
      <c r="E3058" t="s">
        <v>16</v>
      </c>
      <c r="F3058">
        <v>44</v>
      </c>
      <c r="G3058" t="s">
        <v>17</v>
      </c>
      <c r="H3058" s="1">
        <v>45327</v>
      </c>
      <c r="I3058" s="1">
        <v>45371</v>
      </c>
      <c r="J3058" t="str">
        <f t="shared" si="47"/>
        <v>Feb-2024</v>
      </c>
    </row>
    <row r="3059" spans="1:10">
      <c r="A3059">
        <v>3058</v>
      </c>
      <c r="B3059">
        <v>15098</v>
      </c>
      <c r="C3059" t="s">
        <v>18</v>
      </c>
      <c r="D3059">
        <v>179866.52</v>
      </c>
      <c r="E3059" t="s">
        <v>19</v>
      </c>
      <c r="F3059">
        <v>10</v>
      </c>
      <c r="G3059" t="s">
        <v>20</v>
      </c>
      <c r="H3059" s="1">
        <v>45538</v>
      </c>
      <c r="I3059" s="1">
        <v>45548</v>
      </c>
      <c r="J3059" t="str">
        <f t="shared" si="47"/>
        <v>Sep-2024</v>
      </c>
    </row>
    <row r="3060" spans="1:10">
      <c r="A3060">
        <v>3059</v>
      </c>
      <c r="B3060">
        <v>11133</v>
      </c>
      <c r="C3060" t="s">
        <v>23</v>
      </c>
      <c r="D3060">
        <v>184400.16</v>
      </c>
      <c r="E3060" t="s">
        <v>16</v>
      </c>
      <c r="F3060">
        <v>2</v>
      </c>
      <c r="G3060" t="s">
        <v>17</v>
      </c>
      <c r="H3060" s="1">
        <v>45295</v>
      </c>
      <c r="I3060" s="1">
        <v>45297</v>
      </c>
      <c r="J3060" t="str">
        <f t="shared" si="47"/>
        <v>Jan-2024</v>
      </c>
    </row>
    <row r="3061" spans="1:10">
      <c r="A3061">
        <v>3060</v>
      </c>
      <c r="B3061">
        <v>10353</v>
      </c>
      <c r="C3061" t="s">
        <v>18</v>
      </c>
      <c r="D3061">
        <v>182006.44</v>
      </c>
      <c r="E3061" t="s">
        <v>24</v>
      </c>
      <c r="G3061" t="s">
        <v>20</v>
      </c>
      <c r="H3061" s="1">
        <v>45572</v>
      </c>
      <c r="J3061" t="str">
        <f t="shared" si="47"/>
        <v>Oct-2024</v>
      </c>
    </row>
    <row r="3062" spans="1:10">
      <c r="A3062">
        <v>3061</v>
      </c>
      <c r="B3062">
        <v>19299</v>
      </c>
      <c r="C3062" t="s">
        <v>23</v>
      </c>
      <c r="D3062">
        <v>107808.83</v>
      </c>
      <c r="E3062" t="s">
        <v>16</v>
      </c>
      <c r="F3062">
        <v>35</v>
      </c>
      <c r="G3062" t="s">
        <v>20</v>
      </c>
      <c r="H3062" s="1">
        <v>45642</v>
      </c>
      <c r="I3062" s="1">
        <v>45677</v>
      </c>
      <c r="J3062" t="str">
        <f t="shared" si="47"/>
        <v>Dec-2024</v>
      </c>
    </row>
    <row r="3063" spans="1:10">
      <c r="A3063">
        <v>3062</v>
      </c>
      <c r="B3063">
        <v>12113</v>
      </c>
      <c r="C3063" t="s">
        <v>22</v>
      </c>
      <c r="D3063">
        <v>47786.05</v>
      </c>
      <c r="E3063" t="s">
        <v>24</v>
      </c>
      <c r="G3063" t="s">
        <v>25</v>
      </c>
      <c r="H3063" s="1">
        <v>45625</v>
      </c>
      <c r="J3063" t="str">
        <f t="shared" si="47"/>
        <v>Nov-2024</v>
      </c>
    </row>
    <row r="3064" spans="1:10">
      <c r="A3064">
        <v>3063</v>
      </c>
      <c r="B3064">
        <v>17555</v>
      </c>
      <c r="C3064" t="s">
        <v>23</v>
      </c>
      <c r="D3064">
        <v>160619.07999999999</v>
      </c>
      <c r="E3064" t="s">
        <v>16</v>
      </c>
      <c r="F3064">
        <v>18</v>
      </c>
      <c r="G3064" t="s">
        <v>20</v>
      </c>
      <c r="H3064" s="1">
        <v>45540</v>
      </c>
      <c r="I3064" s="1">
        <v>45558</v>
      </c>
      <c r="J3064" t="str">
        <f t="shared" si="47"/>
        <v>Sep-2024</v>
      </c>
    </row>
    <row r="3065" spans="1:10">
      <c r="A3065">
        <v>3064</v>
      </c>
      <c r="B3065">
        <v>16010</v>
      </c>
      <c r="C3065" t="s">
        <v>23</v>
      </c>
      <c r="D3065">
        <v>46674.03</v>
      </c>
      <c r="E3065" t="s">
        <v>16</v>
      </c>
      <c r="F3065">
        <v>33</v>
      </c>
      <c r="G3065" t="s">
        <v>25</v>
      </c>
      <c r="H3065" s="1">
        <v>45303</v>
      </c>
      <c r="I3065" s="1">
        <v>45336</v>
      </c>
      <c r="J3065" t="str">
        <f t="shared" si="47"/>
        <v>Jan-2024</v>
      </c>
    </row>
    <row r="3066" spans="1:10">
      <c r="A3066">
        <v>3065</v>
      </c>
      <c r="B3066">
        <v>13685</v>
      </c>
      <c r="C3066" t="s">
        <v>22</v>
      </c>
      <c r="D3066">
        <v>57105.42</v>
      </c>
      <c r="E3066" t="s">
        <v>16</v>
      </c>
      <c r="F3066">
        <v>3</v>
      </c>
      <c r="G3066" t="s">
        <v>25</v>
      </c>
      <c r="H3066" s="1">
        <v>45574</v>
      </c>
      <c r="I3066" s="1">
        <v>45577</v>
      </c>
      <c r="J3066" t="str">
        <f t="shared" si="47"/>
        <v>Oct-2024</v>
      </c>
    </row>
    <row r="3067" spans="1:10">
      <c r="A3067">
        <v>3066</v>
      </c>
      <c r="B3067">
        <v>13206</v>
      </c>
      <c r="C3067" t="s">
        <v>23</v>
      </c>
      <c r="D3067">
        <v>50484.59</v>
      </c>
      <c r="E3067" t="s">
        <v>19</v>
      </c>
      <c r="F3067">
        <v>37</v>
      </c>
      <c r="G3067" t="s">
        <v>25</v>
      </c>
      <c r="H3067" s="1">
        <v>45507</v>
      </c>
      <c r="I3067" s="1">
        <v>45544</v>
      </c>
      <c r="J3067" t="str">
        <f t="shared" si="47"/>
        <v>Aug-2024</v>
      </c>
    </row>
    <row r="3068" spans="1:10">
      <c r="A3068">
        <v>3067</v>
      </c>
      <c r="B3068">
        <v>11109</v>
      </c>
      <c r="C3068" t="s">
        <v>18</v>
      </c>
      <c r="D3068">
        <v>105421.57</v>
      </c>
      <c r="E3068" t="s">
        <v>19</v>
      </c>
      <c r="F3068">
        <v>26</v>
      </c>
      <c r="G3068" t="s">
        <v>21</v>
      </c>
      <c r="H3068" s="1">
        <v>45610</v>
      </c>
      <c r="I3068" s="1">
        <v>45636</v>
      </c>
      <c r="J3068" t="str">
        <f t="shared" si="47"/>
        <v>Nov-2024</v>
      </c>
    </row>
    <row r="3069" spans="1:10">
      <c r="A3069">
        <v>3068</v>
      </c>
      <c r="B3069">
        <v>18418</v>
      </c>
      <c r="C3069" t="s">
        <v>18</v>
      </c>
      <c r="D3069">
        <v>67756.36</v>
      </c>
      <c r="E3069" t="s">
        <v>16</v>
      </c>
      <c r="F3069">
        <v>44</v>
      </c>
      <c r="G3069" t="s">
        <v>21</v>
      </c>
      <c r="H3069" s="1">
        <v>45602</v>
      </c>
      <c r="I3069" s="1">
        <v>45646</v>
      </c>
      <c r="J3069" t="str">
        <f t="shared" si="47"/>
        <v>Nov-2024</v>
      </c>
    </row>
    <row r="3070" spans="1:10">
      <c r="A3070">
        <v>3069</v>
      </c>
      <c r="B3070">
        <v>19204</v>
      </c>
      <c r="C3070" t="s">
        <v>15</v>
      </c>
      <c r="D3070">
        <v>35060.43</v>
      </c>
      <c r="E3070" t="s">
        <v>24</v>
      </c>
      <c r="G3070" t="s">
        <v>20</v>
      </c>
      <c r="H3070" s="1">
        <v>45373</v>
      </c>
      <c r="J3070" t="str">
        <f t="shared" si="47"/>
        <v>Mar-2024</v>
      </c>
    </row>
    <row r="3071" spans="1:10">
      <c r="A3071">
        <v>3070</v>
      </c>
      <c r="B3071">
        <v>13106</v>
      </c>
      <c r="C3071" t="s">
        <v>22</v>
      </c>
      <c r="D3071">
        <v>93368.82</v>
      </c>
      <c r="E3071" t="s">
        <v>16</v>
      </c>
      <c r="F3071">
        <v>27</v>
      </c>
      <c r="G3071" t="s">
        <v>25</v>
      </c>
      <c r="H3071" s="1">
        <v>45305</v>
      </c>
      <c r="I3071" s="1">
        <v>45332</v>
      </c>
      <c r="J3071" t="str">
        <f t="shared" si="47"/>
        <v>Jan-2024</v>
      </c>
    </row>
    <row r="3072" spans="1:10">
      <c r="A3072">
        <v>3071</v>
      </c>
      <c r="B3072">
        <v>13936</v>
      </c>
      <c r="C3072" t="s">
        <v>22</v>
      </c>
      <c r="D3072">
        <v>175411.91</v>
      </c>
      <c r="E3072" t="s">
        <v>16</v>
      </c>
      <c r="F3072">
        <v>22</v>
      </c>
      <c r="G3072" t="s">
        <v>21</v>
      </c>
      <c r="H3072" s="1">
        <v>45347</v>
      </c>
      <c r="I3072" s="1">
        <v>45369</v>
      </c>
      <c r="J3072" t="str">
        <f t="shared" si="47"/>
        <v>Feb-2024</v>
      </c>
    </row>
    <row r="3073" spans="1:10">
      <c r="A3073">
        <v>3072</v>
      </c>
      <c r="B3073">
        <v>19658</v>
      </c>
      <c r="C3073" t="s">
        <v>23</v>
      </c>
      <c r="D3073">
        <v>116257.81</v>
      </c>
      <c r="E3073" t="s">
        <v>19</v>
      </c>
      <c r="F3073">
        <v>19</v>
      </c>
      <c r="G3073" t="s">
        <v>25</v>
      </c>
      <c r="H3073" s="1">
        <v>45633</v>
      </c>
      <c r="I3073" s="1">
        <v>45652</v>
      </c>
      <c r="J3073" t="str">
        <f t="shared" si="47"/>
        <v>Dec-2024</v>
      </c>
    </row>
    <row r="3074" spans="1:10">
      <c r="A3074">
        <v>3073</v>
      </c>
      <c r="B3074">
        <v>18461</v>
      </c>
      <c r="C3074" t="s">
        <v>15</v>
      </c>
      <c r="D3074">
        <v>176275.44</v>
      </c>
      <c r="E3074" t="s">
        <v>16</v>
      </c>
      <c r="F3074">
        <v>30</v>
      </c>
      <c r="G3074" t="s">
        <v>17</v>
      </c>
      <c r="H3074" s="1">
        <v>45573</v>
      </c>
      <c r="I3074" s="1">
        <v>45603</v>
      </c>
      <c r="J3074" t="str">
        <f t="shared" si="47"/>
        <v>Oct-2024</v>
      </c>
    </row>
    <row r="3075" spans="1:10">
      <c r="A3075">
        <v>3074</v>
      </c>
      <c r="B3075">
        <v>13806</v>
      </c>
      <c r="C3075" t="s">
        <v>18</v>
      </c>
      <c r="D3075">
        <v>43195.08</v>
      </c>
      <c r="E3075" t="s">
        <v>16</v>
      </c>
      <c r="F3075">
        <v>25</v>
      </c>
      <c r="G3075" t="s">
        <v>17</v>
      </c>
      <c r="H3075" s="1">
        <v>45490</v>
      </c>
      <c r="I3075" s="1">
        <v>45515</v>
      </c>
      <c r="J3075" t="str">
        <f t="shared" ref="J3075:J3138" si="48">TEXT(H3075,"mmm-yyyy")</f>
        <v>Jul-2024</v>
      </c>
    </row>
    <row r="3076" spans="1:10">
      <c r="A3076">
        <v>3075</v>
      </c>
      <c r="B3076">
        <v>16549</v>
      </c>
      <c r="C3076" t="s">
        <v>18</v>
      </c>
      <c r="D3076">
        <v>37559.910000000003</v>
      </c>
      <c r="E3076" t="s">
        <v>24</v>
      </c>
      <c r="G3076" t="s">
        <v>17</v>
      </c>
      <c r="H3076" s="1">
        <v>45639</v>
      </c>
      <c r="J3076" t="str">
        <f t="shared" si="48"/>
        <v>Dec-2024</v>
      </c>
    </row>
    <row r="3077" spans="1:10">
      <c r="A3077">
        <v>3076</v>
      </c>
      <c r="B3077">
        <v>19723</v>
      </c>
      <c r="C3077" t="s">
        <v>23</v>
      </c>
      <c r="D3077">
        <v>117237.54</v>
      </c>
      <c r="E3077" t="s">
        <v>24</v>
      </c>
      <c r="G3077" t="s">
        <v>20</v>
      </c>
      <c r="H3077" s="1">
        <v>45457</v>
      </c>
      <c r="J3077" t="str">
        <f t="shared" si="48"/>
        <v>Jun-2024</v>
      </c>
    </row>
    <row r="3078" spans="1:10">
      <c r="A3078">
        <v>3077</v>
      </c>
      <c r="B3078">
        <v>18495</v>
      </c>
      <c r="C3078" t="s">
        <v>18</v>
      </c>
      <c r="D3078">
        <v>95349.14</v>
      </c>
      <c r="E3078" t="s">
        <v>24</v>
      </c>
      <c r="G3078" t="s">
        <v>25</v>
      </c>
      <c r="H3078" s="1">
        <v>45583</v>
      </c>
      <c r="J3078" t="str">
        <f t="shared" si="48"/>
        <v>Oct-2024</v>
      </c>
    </row>
    <row r="3079" spans="1:10">
      <c r="A3079">
        <v>3078</v>
      </c>
      <c r="B3079">
        <v>15148</v>
      </c>
      <c r="C3079" t="s">
        <v>22</v>
      </c>
      <c r="D3079">
        <v>133733.67000000001</v>
      </c>
      <c r="E3079" t="s">
        <v>24</v>
      </c>
      <c r="G3079" t="s">
        <v>17</v>
      </c>
      <c r="H3079" s="1">
        <v>45437</v>
      </c>
      <c r="J3079" t="str">
        <f t="shared" si="48"/>
        <v>May-2024</v>
      </c>
    </row>
    <row r="3080" spans="1:10">
      <c r="A3080">
        <v>3079</v>
      </c>
      <c r="B3080">
        <v>11932</v>
      </c>
      <c r="C3080" t="s">
        <v>22</v>
      </c>
      <c r="D3080">
        <v>159952.22</v>
      </c>
      <c r="E3080" t="s">
        <v>16</v>
      </c>
      <c r="F3080">
        <v>24</v>
      </c>
      <c r="G3080" t="s">
        <v>21</v>
      </c>
      <c r="H3080" s="1">
        <v>45369</v>
      </c>
      <c r="I3080" s="1">
        <v>45393</v>
      </c>
      <c r="J3080" t="str">
        <f t="shared" si="48"/>
        <v>Mar-2024</v>
      </c>
    </row>
    <row r="3081" spans="1:10">
      <c r="A3081">
        <v>3080</v>
      </c>
      <c r="B3081">
        <v>12040</v>
      </c>
      <c r="C3081" t="s">
        <v>23</v>
      </c>
      <c r="D3081">
        <v>151504.92000000001</v>
      </c>
      <c r="E3081" t="s">
        <v>19</v>
      </c>
      <c r="F3081">
        <v>34</v>
      </c>
      <c r="G3081" t="s">
        <v>17</v>
      </c>
      <c r="H3081" s="1">
        <v>45403</v>
      </c>
      <c r="I3081" s="1">
        <v>45437</v>
      </c>
      <c r="J3081" t="str">
        <f t="shared" si="48"/>
        <v>Apr-2024</v>
      </c>
    </row>
    <row r="3082" spans="1:10">
      <c r="A3082">
        <v>3081</v>
      </c>
      <c r="B3082">
        <v>17934</v>
      </c>
      <c r="C3082" t="s">
        <v>23</v>
      </c>
      <c r="D3082">
        <v>188740.93</v>
      </c>
      <c r="E3082" t="s">
        <v>16</v>
      </c>
      <c r="F3082">
        <v>17</v>
      </c>
      <c r="G3082" t="s">
        <v>17</v>
      </c>
      <c r="H3082" s="1">
        <v>45314</v>
      </c>
      <c r="I3082" s="1">
        <v>45331</v>
      </c>
      <c r="J3082" t="str">
        <f t="shared" si="48"/>
        <v>Jan-2024</v>
      </c>
    </row>
    <row r="3083" spans="1:10">
      <c r="A3083">
        <v>3082</v>
      </c>
      <c r="B3083">
        <v>18333</v>
      </c>
      <c r="C3083" t="s">
        <v>23</v>
      </c>
      <c r="D3083">
        <v>82660</v>
      </c>
      <c r="E3083" t="s">
        <v>24</v>
      </c>
      <c r="G3083" t="s">
        <v>17</v>
      </c>
      <c r="H3083" s="1">
        <v>45407</v>
      </c>
      <c r="J3083" t="str">
        <f t="shared" si="48"/>
        <v>Apr-2024</v>
      </c>
    </row>
    <row r="3084" spans="1:10">
      <c r="A3084">
        <v>3083</v>
      </c>
      <c r="B3084">
        <v>16789</v>
      </c>
      <c r="C3084" t="s">
        <v>15</v>
      </c>
      <c r="D3084">
        <v>45245.41</v>
      </c>
      <c r="E3084" t="s">
        <v>16</v>
      </c>
      <c r="F3084">
        <v>29</v>
      </c>
      <c r="G3084" t="s">
        <v>20</v>
      </c>
      <c r="H3084" s="1">
        <v>45433</v>
      </c>
      <c r="I3084" s="1">
        <v>45462</v>
      </c>
      <c r="J3084" t="str">
        <f t="shared" si="48"/>
        <v>May-2024</v>
      </c>
    </row>
    <row r="3085" spans="1:10">
      <c r="A3085">
        <v>3084</v>
      </c>
      <c r="B3085">
        <v>15775</v>
      </c>
      <c r="C3085" t="s">
        <v>18</v>
      </c>
      <c r="D3085">
        <v>112427.96</v>
      </c>
      <c r="E3085" t="s">
        <v>16</v>
      </c>
      <c r="F3085">
        <v>39</v>
      </c>
      <c r="G3085" t="s">
        <v>21</v>
      </c>
      <c r="H3085" s="1">
        <v>45488</v>
      </c>
      <c r="I3085" s="1">
        <v>45527</v>
      </c>
      <c r="J3085" t="str">
        <f t="shared" si="48"/>
        <v>Jul-2024</v>
      </c>
    </row>
    <row r="3086" spans="1:10">
      <c r="A3086">
        <v>3085</v>
      </c>
      <c r="B3086">
        <v>19000</v>
      </c>
      <c r="C3086" t="s">
        <v>23</v>
      </c>
      <c r="D3086">
        <v>26594.91</v>
      </c>
      <c r="E3086" t="s">
        <v>16</v>
      </c>
      <c r="F3086">
        <v>7</v>
      </c>
      <c r="G3086" t="s">
        <v>25</v>
      </c>
      <c r="H3086" s="1">
        <v>45569</v>
      </c>
      <c r="I3086" s="1">
        <v>45576</v>
      </c>
      <c r="J3086" t="str">
        <f t="shared" si="48"/>
        <v>Oct-2024</v>
      </c>
    </row>
    <row r="3087" spans="1:10">
      <c r="A3087">
        <v>3086</v>
      </c>
      <c r="B3087">
        <v>10947</v>
      </c>
      <c r="C3087" t="s">
        <v>23</v>
      </c>
      <c r="D3087">
        <v>61325.97</v>
      </c>
      <c r="E3087" t="s">
        <v>16</v>
      </c>
      <c r="F3087">
        <v>43</v>
      </c>
      <c r="G3087" t="s">
        <v>21</v>
      </c>
      <c r="H3087" s="1">
        <v>45319</v>
      </c>
      <c r="I3087" s="1">
        <v>45362</v>
      </c>
      <c r="J3087" t="str">
        <f t="shared" si="48"/>
        <v>Jan-2024</v>
      </c>
    </row>
    <row r="3088" spans="1:10">
      <c r="A3088">
        <v>3087</v>
      </c>
      <c r="B3088">
        <v>10765</v>
      </c>
      <c r="C3088" t="s">
        <v>23</v>
      </c>
      <c r="D3088">
        <v>45538.17</v>
      </c>
      <c r="E3088" t="s">
        <v>16</v>
      </c>
      <c r="F3088">
        <v>30</v>
      </c>
      <c r="G3088" t="s">
        <v>25</v>
      </c>
      <c r="H3088" s="1">
        <v>45590</v>
      </c>
      <c r="I3088" s="1">
        <v>45620</v>
      </c>
      <c r="J3088" t="str">
        <f t="shared" si="48"/>
        <v>Oct-2024</v>
      </c>
    </row>
    <row r="3089" spans="1:10">
      <c r="A3089">
        <v>3088</v>
      </c>
      <c r="B3089">
        <v>17172</v>
      </c>
      <c r="C3089" t="s">
        <v>23</v>
      </c>
      <c r="D3089">
        <v>82329.919999999998</v>
      </c>
      <c r="E3089" t="s">
        <v>19</v>
      </c>
      <c r="F3089">
        <v>35</v>
      </c>
      <c r="G3089" t="s">
        <v>20</v>
      </c>
      <c r="H3089" s="1">
        <v>45367</v>
      </c>
      <c r="I3089" s="1">
        <v>45402</v>
      </c>
      <c r="J3089" t="str">
        <f t="shared" si="48"/>
        <v>Mar-2024</v>
      </c>
    </row>
    <row r="3090" spans="1:10">
      <c r="A3090">
        <v>3089</v>
      </c>
      <c r="B3090">
        <v>15015</v>
      </c>
      <c r="C3090" t="s">
        <v>22</v>
      </c>
      <c r="D3090">
        <v>26687.23</v>
      </c>
      <c r="E3090" t="s">
        <v>19</v>
      </c>
      <c r="F3090">
        <v>4</v>
      </c>
      <c r="G3090" t="s">
        <v>20</v>
      </c>
      <c r="H3090" s="1">
        <v>45309</v>
      </c>
      <c r="I3090" s="1">
        <v>45313</v>
      </c>
      <c r="J3090" t="str">
        <f t="shared" si="48"/>
        <v>Jan-2024</v>
      </c>
    </row>
    <row r="3091" spans="1:10">
      <c r="A3091">
        <v>3090</v>
      </c>
      <c r="B3091">
        <v>19130</v>
      </c>
      <c r="C3091" t="s">
        <v>18</v>
      </c>
      <c r="D3091">
        <v>11209.14</v>
      </c>
      <c r="E3091" t="s">
        <v>16</v>
      </c>
      <c r="F3091">
        <v>7</v>
      </c>
      <c r="G3091" t="s">
        <v>20</v>
      </c>
      <c r="H3091" s="1">
        <v>45391</v>
      </c>
      <c r="I3091" s="1">
        <v>45398</v>
      </c>
      <c r="J3091" t="str">
        <f t="shared" si="48"/>
        <v>Apr-2024</v>
      </c>
    </row>
    <row r="3092" spans="1:10">
      <c r="A3092">
        <v>3091</v>
      </c>
      <c r="B3092">
        <v>12496</v>
      </c>
      <c r="C3092" t="s">
        <v>23</v>
      </c>
      <c r="D3092">
        <v>133074.82999999999</v>
      </c>
      <c r="E3092" t="s">
        <v>19</v>
      </c>
      <c r="F3092">
        <v>39</v>
      </c>
      <c r="G3092" t="s">
        <v>20</v>
      </c>
      <c r="H3092" s="1">
        <v>45415</v>
      </c>
      <c r="I3092" s="1">
        <v>45454</v>
      </c>
      <c r="J3092" t="str">
        <f t="shared" si="48"/>
        <v>May-2024</v>
      </c>
    </row>
    <row r="3093" spans="1:10">
      <c r="A3093">
        <v>3092</v>
      </c>
      <c r="B3093">
        <v>13562</v>
      </c>
      <c r="C3093" t="s">
        <v>18</v>
      </c>
      <c r="D3093">
        <v>123998.55</v>
      </c>
      <c r="E3093" t="s">
        <v>16</v>
      </c>
      <c r="F3093">
        <v>14</v>
      </c>
      <c r="G3093" t="s">
        <v>25</v>
      </c>
      <c r="H3093" s="1">
        <v>45656</v>
      </c>
      <c r="I3093" s="1">
        <v>45670</v>
      </c>
      <c r="J3093" t="str">
        <f t="shared" si="48"/>
        <v>Dec-2024</v>
      </c>
    </row>
    <row r="3094" spans="1:10">
      <c r="A3094">
        <v>3093</v>
      </c>
      <c r="B3094">
        <v>11262</v>
      </c>
      <c r="C3094" t="s">
        <v>23</v>
      </c>
      <c r="D3094">
        <v>143129.99</v>
      </c>
      <c r="E3094" t="s">
        <v>16</v>
      </c>
      <c r="F3094">
        <v>37</v>
      </c>
      <c r="G3094" t="s">
        <v>17</v>
      </c>
      <c r="H3094" s="1">
        <v>45583</v>
      </c>
      <c r="I3094" s="1">
        <v>45620</v>
      </c>
      <c r="J3094" t="str">
        <f t="shared" si="48"/>
        <v>Oct-2024</v>
      </c>
    </row>
    <row r="3095" spans="1:10">
      <c r="A3095">
        <v>3094</v>
      </c>
      <c r="B3095">
        <v>16393</v>
      </c>
      <c r="C3095" t="s">
        <v>22</v>
      </c>
      <c r="D3095">
        <v>133775.35999999999</v>
      </c>
      <c r="E3095" t="s">
        <v>16</v>
      </c>
      <c r="F3095">
        <v>16</v>
      </c>
      <c r="G3095" t="s">
        <v>25</v>
      </c>
      <c r="H3095" s="1">
        <v>45416</v>
      </c>
      <c r="I3095" s="1">
        <v>45432</v>
      </c>
      <c r="J3095" t="str">
        <f t="shared" si="48"/>
        <v>May-2024</v>
      </c>
    </row>
    <row r="3096" spans="1:10">
      <c r="A3096">
        <v>3095</v>
      </c>
      <c r="B3096">
        <v>15050</v>
      </c>
      <c r="C3096" t="s">
        <v>23</v>
      </c>
      <c r="D3096">
        <v>27287.46</v>
      </c>
      <c r="E3096" t="s">
        <v>19</v>
      </c>
      <c r="F3096">
        <v>7</v>
      </c>
      <c r="G3096" t="s">
        <v>21</v>
      </c>
      <c r="H3096" s="1">
        <v>45298</v>
      </c>
      <c r="I3096" s="1">
        <v>45305</v>
      </c>
      <c r="J3096" t="str">
        <f t="shared" si="48"/>
        <v>Jan-2024</v>
      </c>
    </row>
    <row r="3097" spans="1:10">
      <c r="A3097">
        <v>3096</v>
      </c>
      <c r="B3097">
        <v>15410</v>
      </c>
      <c r="C3097" t="s">
        <v>23</v>
      </c>
      <c r="D3097">
        <v>61760.38</v>
      </c>
      <c r="E3097" t="s">
        <v>19</v>
      </c>
      <c r="F3097">
        <v>34</v>
      </c>
      <c r="G3097" t="s">
        <v>20</v>
      </c>
      <c r="H3097" s="1">
        <v>45314</v>
      </c>
      <c r="I3097" s="1">
        <v>45348</v>
      </c>
      <c r="J3097" t="str">
        <f t="shared" si="48"/>
        <v>Jan-2024</v>
      </c>
    </row>
    <row r="3098" spans="1:10">
      <c r="A3098">
        <v>3097</v>
      </c>
      <c r="B3098">
        <v>10542</v>
      </c>
      <c r="C3098" t="s">
        <v>23</v>
      </c>
      <c r="D3098">
        <v>30257.69</v>
      </c>
      <c r="E3098" t="s">
        <v>16</v>
      </c>
      <c r="F3098">
        <v>42</v>
      </c>
      <c r="G3098" t="s">
        <v>20</v>
      </c>
      <c r="H3098" s="1">
        <v>45453</v>
      </c>
      <c r="I3098" s="1">
        <v>45495</v>
      </c>
      <c r="J3098" t="str">
        <f t="shared" si="48"/>
        <v>Jun-2024</v>
      </c>
    </row>
    <row r="3099" spans="1:10">
      <c r="A3099">
        <v>3098</v>
      </c>
      <c r="B3099">
        <v>16664</v>
      </c>
      <c r="C3099" t="s">
        <v>18</v>
      </c>
      <c r="D3099">
        <v>169379.62</v>
      </c>
      <c r="E3099" t="s">
        <v>16</v>
      </c>
      <c r="F3099">
        <v>13</v>
      </c>
      <c r="G3099" t="s">
        <v>21</v>
      </c>
      <c r="H3099" s="1">
        <v>45408</v>
      </c>
      <c r="I3099" s="1">
        <v>45421</v>
      </c>
      <c r="J3099" t="str">
        <f t="shared" si="48"/>
        <v>Apr-2024</v>
      </c>
    </row>
    <row r="3100" spans="1:10">
      <c r="A3100">
        <v>3099</v>
      </c>
      <c r="B3100">
        <v>17723</v>
      </c>
      <c r="C3100" t="s">
        <v>18</v>
      </c>
      <c r="D3100">
        <v>150646.21</v>
      </c>
      <c r="E3100" t="s">
        <v>16</v>
      </c>
      <c r="F3100">
        <v>44</v>
      </c>
      <c r="G3100" t="s">
        <v>25</v>
      </c>
      <c r="H3100" s="1">
        <v>45643</v>
      </c>
      <c r="I3100" s="1">
        <v>45687</v>
      </c>
      <c r="J3100" t="str">
        <f t="shared" si="48"/>
        <v>Dec-2024</v>
      </c>
    </row>
    <row r="3101" spans="1:10">
      <c r="A3101">
        <v>3100</v>
      </c>
      <c r="B3101">
        <v>12781</v>
      </c>
      <c r="C3101" t="s">
        <v>18</v>
      </c>
      <c r="D3101">
        <v>44297.77</v>
      </c>
      <c r="E3101" t="s">
        <v>16</v>
      </c>
      <c r="F3101">
        <v>14</v>
      </c>
      <c r="G3101" t="s">
        <v>17</v>
      </c>
      <c r="H3101" s="1">
        <v>45312</v>
      </c>
      <c r="I3101" s="1">
        <v>45326</v>
      </c>
      <c r="J3101" t="str">
        <f t="shared" si="48"/>
        <v>Jan-2024</v>
      </c>
    </row>
    <row r="3102" spans="1:10">
      <c r="A3102">
        <v>3101</v>
      </c>
      <c r="B3102">
        <v>12612</v>
      </c>
      <c r="C3102" t="s">
        <v>23</v>
      </c>
      <c r="D3102">
        <v>71555.3</v>
      </c>
      <c r="E3102" t="s">
        <v>16</v>
      </c>
      <c r="F3102">
        <v>34</v>
      </c>
      <c r="G3102" t="s">
        <v>17</v>
      </c>
      <c r="H3102" s="1">
        <v>45543</v>
      </c>
      <c r="I3102" s="1">
        <v>45577</v>
      </c>
      <c r="J3102" t="str">
        <f t="shared" si="48"/>
        <v>Sep-2024</v>
      </c>
    </row>
    <row r="3103" spans="1:10">
      <c r="A3103">
        <v>3102</v>
      </c>
      <c r="B3103">
        <v>11199</v>
      </c>
      <c r="C3103" t="s">
        <v>23</v>
      </c>
      <c r="D3103">
        <v>193489.92000000001</v>
      </c>
      <c r="E3103" t="s">
        <v>16</v>
      </c>
      <c r="F3103">
        <v>29</v>
      </c>
      <c r="G3103" t="s">
        <v>21</v>
      </c>
      <c r="H3103" s="1">
        <v>45617</v>
      </c>
      <c r="I3103" s="1">
        <v>45646</v>
      </c>
      <c r="J3103" t="str">
        <f t="shared" si="48"/>
        <v>Nov-2024</v>
      </c>
    </row>
    <row r="3104" spans="1:10">
      <c r="A3104">
        <v>3103</v>
      </c>
      <c r="B3104">
        <v>17032</v>
      </c>
      <c r="C3104" t="s">
        <v>23</v>
      </c>
      <c r="D3104">
        <v>120861.07</v>
      </c>
      <c r="E3104" t="s">
        <v>16</v>
      </c>
      <c r="F3104">
        <v>37</v>
      </c>
      <c r="G3104" t="s">
        <v>17</v>
      </c>
      <c r="H3104" s="1">
        <v>45600</v>
      </c>
      <c r="I3104" s="1">
        <v>45637</v>
      </c>
      <c r="J3104" t="str">
        <f t="shared" si="48"/>
        <v>Nov-2024</v>
      </c>
    </row>
    <row r="3105" spans="1:10">
      <c r="A3105">
        <v>3104</v>
      </c>
      <c r="B3105">
        <v>16323</v>
      </c>
      <c r="C3105" t="s">
        <v>18</v>
      </c>
      <c r="D3105">
        <v>161225.34</v>
      </c>
      <c r="E3105" t="s">
        <v>24</v>
      </c>
      <c r="G3105" t="s">
        <v>25</v>
      </c>
      <c r="H3105" s="1">
        <v>45375</v>
      </c>
      <c r="J3105" t="str">
        <f t="shared" si="48"/>
        <v>Mar-2024</v>
      </c>
    </row>
    <row r="3106" spans="1:10">
      <c r="A3106">
        <v>3105</v>
      </c>
      <c r="B3106">
        <v>14688</v>
      </c>
      <c r="C3106" t="s">
        <v>23</v>
      </c>
      <c r="D3106">
        <v>56595.25</v>
      </c>
      <c r="E3106" t="s">
        <v>16</v>
      </c>
      <c r="F3106">
        <v>26</v>
      </c>
      <c r="G3106" t="s">
        <v>25</v>
      </c>
      <c r="H3106" s="1">
        <v>45653</v>
      </c>
      <c r="I3106" s="1">
        <v>45679</v>
      </c>
      <c r="J3106" t="str">
        <f t="shared" si="48"/>
        <v>Dec-2024</v>
      </c>
    </row>
    <row r="3107" spans="1:10">
      <c r="A3107">
        <v>3106</v>
      </c>
      <c r="B3107">
        <v>14786</v>
      </c>
      <c r="C3107" t="s">
        <v>18</v>
      </c>
      <c r="D3107">
        <v>45960.32</v>
      </c>
      <c r="E3107" t="s">
        <v>16</v>
      </c>
      <c r="F3107">
        <v>18</v>
      </c>
      <c r="G3107" t="s">
        <v>21</v>
      </c>
      <c r="H3107" s="1">
        <v>45332</v>
      </c>
      <c r="I3107" s="1">
        <v>45350</v>
      </c>
      <c r="J3107" t="str">
        <f t="shared" si="48"/>
        <v>Feb-2024</v>
      </c>
    </row>
    <row r="3108" spans="1:10">
      <c r="A3108">
        <v>3107</v>
      </c>
      <c r="B3108">
        <v>13681</v>
      </c>
      <c r="C3108" t="s">
        <v>15</v>
      </c>
      <c r="D3108">
        <v>157863.79999999999</v>
      </c>
      <c r="E3108" t="s">
        <v>16</v>
      </c>
      <c r="F3108">
        <v>38</v>
      </c>
      <c r="G3108" t="s">
        <v>25</v>
      </c>
      <c r="H3108" s="1">
        <v>45494</v>
      </c>
      <c r="I3108" s="1">
        <v>45532</v>
      </c>
      <c r="J3108" t="str">
        <f t="shared" si="48"/>
        <v>Jul-2024</v>
      </c>
    </row>
    <row r="3109" spans="1:10">
      <c r="A3109">
        <v>3108</v>
      </c>
      <c r="B3109">
        <v>15229</v>
      </c>
      <c r="C3109" t="s">
        <v>15</v>
      </c>
      <c r="D3109">
        <v>138745.13</v>
      </c>
      <c r="E3109" t="s">
        <v>19</v>
      </c>
      <c r="F3109">
        <v>20</v>
      </c>
      <c r="G3109" t="s">
        <v>20</v>
      </c>
      <c r="H3109" s="1">
        <v>45419</v>
      </c>
      <c r="I3109" s="1">
        <v>45439</v>
      </c>
      <c r="J3109" t="str">
        <f t="shared" si="48"/>
        <v>May-2024</v>
      </c>
    </row>
    <row r="3110" spans="1:10">
      <c r="A3110">
        <v>3109</v>
      </c>
      <c r="B3110">
        <v>13495</v>
      </c>
      <c r="C3110" t="s">
        <v>23</v>
      </c>
      <c r="D3110">
        <v>137790.70000000001</v>
      </c>
      <c r="E3110" t="s">
        <v>19</v>
      </c>
      <c r="F3110">
        <v>36</v>
      </c>
      <c r="G3110" t="s">
        <v>21</v>
      </c>
      <c r="H3110" s="1">
        <v>45433</v>
      </c>
      <c r="I3110" s="1">
        <v>45469</v>
      </c>
      <c r="J3110" t="str">
        <f t="shared" si="48"/>
        <v>May-2024</v>
      </c>
    </row>
    <row r="3111" spans="1:10">
      <c r="A3111">
        <v>3110</v>
      </c>
      <c r="B3111">
        <v>18856</v>
      </c>
      <c r="C3111" t="s">
        <v>23</v>
      </c>
      <c r="D3111">
        <v>112763.74</v>
      </c>
      <c r="E3111" t="s">
        <v>19</v>
      </c>
      <c r="F3111">
        <v>44</v>
      </c>
      <c r="G3111" t="s">
        <v>25</v>
      </c>
      <c r="H3111" s="1">
        <v>45635</v>
      </c>
      <c r="I3111" s="1">
        <v>45679</v>
      </c>
      <c r="J3111" t="str">
        <f t="shared" si="48"/>
        <v>Dec-2024</v>
      </c>
    </row>
    <row r="3112" spans="1:10">
      <c r="A3112">
        <v>3111</v>
      </c>
      <c r="B3112">
        <v>16078</v>
      </c>
      <c r="C3112" t="s">
        <v>23</v>
      </c>
      <c r="D3112">
        <v>114897.78</v>
      </c>
      <c r="E3112" t="s">
        <v>16</v>
      </c>
      <c r="F3112">
        <v>35</v>
      </c>
      <c r="G3112" t="s">
        <v>21</v>
      </c>
      <c r="H3112" s="1">
        <v>45394</v>
      </c>
      <c r="I3112" s="1">
        <v>45429</v>
      </c>
      <c r="J3112" t="str">
        <f t="shared" si="48"/>
        <v>Apr-2024</v>
      </c>
    </row>
    <row r="3113" spans="1:10">
      <c r="A3113">
        <v>3112</v>
      </c>
      <c r="B3113">
        <v>13162</v>
      </c>
      <c r="C3113" t="s">
        <v>18</v>
      </c>
      <c r="D3113">
        <v>148461.01</v>
      </c>
      <c r="E3113" t="s">
        <v>19</v>
      </c>
      <c r="F3113">
        <v>7</v>
      </c>
      <c r="G3113" t="s">
        <v>17</v>
      </c>
      <c r="H3113" s="1">
        <v>45398</v>
      </c>
      <c r="I3113" s="1">
        <v>45405</v>
      </c>
      <c r="J3113" t="str">
        <f t="shared" si="48"/>
        <v>Apr-2024</v>
      </c>
    </row>
    <row r="3114" spans="1:10">
      <c r="A3114">
        <v>3113</v>
      </c>
      <c r="B3114">
        <v>11416</v>
      </c>
      <c r="C3114" t="s">
        <v>15</v>
      </c>
      <c r="D3114">
        <v>57650.48</v>
      </c>
      <c r="E3114" t="s">
        <v>16</v>
      </c>
      <c r="F3114">
        <v>20</v>
      </c>
      <c r="G3114" t="s">
        <v>25</v>
      </c>
      <c r="H3114" s="1">
        <v>45308</v>
      </c>
      <c r="I3114" s="1">
        <v>45328</v>
      </c>
      <c r="J3114" t="str">
        <f t="shared" si="48"/>
        <v>Jan-2024</v>
      </c>
    </row>
    <row r="3115" spans="1:10">
      <c r="A3115">
        <v>3114</v>
      </c>
      <c r="B3115">
        <v>13108</v>
      </c>
      <c r="C3115" t="s">
        <v>23</v>
      </c>
      <c r="D3115">
        <v>73789.850000000006</v>
      </c>
      <c r="E3115" t="s">
        <v>16</v>
      </c>
      <c r="F3115">
        <v>2</v>
      </c>
      <c r="G3115" t="s">
        <v>20</v>
      </c>
      <c r="H3115" s="1">
        <v>45316</v>
      </c>
      <c r="I3115" s="1">
        <v>45318</v>
      </c>
      <c r="J3115" t="str">
        <f t="shared" si="48"/>
        <v>Jan-2024</v>
      </c>
    </row>
    <row r="3116" spans="1:10">
      <c r="A3116">
        <v>3115</v>
      </c>
      <c r="B3116">
        <v>18708</v>
      </c>
      <c r="C3116" t="s">
        <v>23</v>
      </c>
      <c r="D3116">
        <v>174969.17</v>
      </c>
      <c r="E3116" t="s">
        <v>16</v>
      </c>
      <c r="F3116">
        <v>8</v>
      </c>
      <c r="G3116" t="s">
        <v>25</v>
      </c>
      <c r="H3116" s="1">
        <v>45355</v>
      </c>
      <c r="I3116" s="1">
        <v>45363</v>
      </c>
      <c r="J3116" t="str">
        <f t="shared" si="48"/>
        <v>Mar-2024</v>
      </c>
    </row>
    <row r="3117" spans="1:10">
      <c r="A3117">
        <v>3116</v>
      </c>
      <c r="B3117">
        <v>19041</v>
      </c>
      <c r="C3117" t="s">
        <v>15</v>
      </c>
      <c r="D3117">
        <v>65228.71</v>
      </c>
      <c r="E3117" t="s">
        <v>16</v>
      </c>
      <c r="F3117">
        <v>35</v>
      </c>
      <c r="G3117" t="s">
        <v>21</v>
      </c>
      <c r="H3117" s="1">
        <v>45633</v>
      </c>
      <c r="I3117" s="1">
        <v>45668</v>
      </c>
      <c r="J3117" t="str">
        <f t="shared" si="48"/>
        <v>Dec-2024</v>
      </c>
    </row>
    <row r="3118" spans="1:10">
      <c r="A3118">
        <v>3117</v>
      </c>
      <c r="B3118">
        <v>17829</v>
      </c>
      <c r="C3118" t="s">
        <v>15</v>
      </c>
      <c r="D3118">
        <v>111530.37</v>
      </c>
      <c r="E3118" t="s">
        <v>24</v>
      </c>
      <c r="G3118" t="s">
        <v>21</v>
      </c>
      <c r="H3118" s="1">
        <v>45528</v>
      </c>
      <c r="J3118" t="str">
        <f t="shared" si="48"/>
        <v>Aug-2024</v>
      </c>
    </row>
    <row r="3119" spans="1:10">
      <c r="A3119">
        <v>3118</v>
      </c>
      <c r="B3119">
        <v>10907</v>
      </c>
      <c r="C3119" t="s">
        <v>23</v>
      </c>
      <c r="D3119">
        <v>142014.70000000001</v>
      </c>
      <c r="E3119" t="s">
        <v>19</v>
      </c>
      <c r="F3119">
        <v>34</v>
      </c>
      <c r="G3119" t="s">
        <v>25</v>
      </c>
      <c r="H3119" s="1">
        <v>45467</v>
      </c>
      <c r="I3119" s="1">
        <v>45501</v>
      </c>
      <c r="J3119" t="str">
        <f t="shared" si="48"/>
        <v>Jun-2024</v>
      </c>
    </row>
    <row r="3120" spans="1:10">
      <c r="A3120">
        <v>3119</v>
      </c>
      <c r="B3120">
        <v>18507</v>
      </c>
      <c r="C3120" t="s">
        <v>18</v>
      </c>
      <c r="D3120">
        <v>199985.34</v>
      </c>
      <c r="E3120" t="s">
        <v>16</v>
      </c>
      <c r="F3120">
        <v>27</v>
      </c>
      <c r="G3120" t="s">
        <v>20</v>
      </c>
      <c r="H3120" s="1">
        <v>45582</v>
      </c>
      <c r="I3120" s="1">
        <v>45609</v>
      </c>
      <c r="J3120" t="str">
        <f t="shared" si="48"/>
        <v>Oct-2024</v>
      </c>
    </row>
    <row r="3121" spans="1:10">
      <c r="A3121">
        <v>3120</v>
      </c>
      <c r="B3121">
        <v>17573</v>
      </c>
      <c r="C3121" t="s">
        <v>23</v>
      </c>
      <c r="D3121">
        <v>89881.81</v>
      </c>
      <c r="E3121" t="s">
        <v>16</v>
      </c>
      <c r="F3121">
        <v>42</v>
      </c>
      <c r="G3121" t="s">
        <v>20</v>
      </c>
      <c r="H3121" s="1">
        <v>45584</v>
      </c>
      <c r="I3121" s="1">
        <v>45626</v>
      </c>
      <c r="J3121" t="str">
        <f t="shared" si="48"/>
        <v>Oct-2024</v>
      </c>
    </row>
    <row r="3122" spans="1:10">
      <c r="A3122">
        <v>3121</v>
      </c>
      <c r="B3122">
        <v>19699</v>
      </c>
      <c r="C3122" t="s">
        <v>23</v>
      </c>
      <c r="D3122">
        <v>88478.11</v>
      </c>
      <c r="E3122" t="s">
        <v>16</v>
      </c>
      <c r="F3122">
        <v>43</v>
      </c>
      <c r="G3122" t="s">
        <v>20</v>
      </c>
      <c r="H3122" s="1">
        <v>45602</v>
      </c>
      <c r="I3122" s="1">
        <v>45645</v>
      </c>
      <c r="J3122" t="str">
        <f t="shared" si="48"/>
        <v>Nov-2024</v>
      </c>
    </row>
    <row r="3123" spans="1:10">
      <c r="A3123">
        <v>3122</v>
      </c>
      <c r="B3123">
        <v>19710</v>
      </c>
      <c r="C3123" t="s">
        <v>22</v>
      </c>
      <c r="D3123">
        <v>169304.73</v>
      </c>
      <c r="E3123" t="s">
        <v>16</v>
      </c>
      <c r="F3123">
        <v>28</v>
      </c>
      <c r="G3123" t="s">
        <v>21</v>
      </c>
      <c r="H3123" s="1">
        <v>45447</v>
      </c>
      <c r="I3123" s="1">
        <v>45475</v>
      </c>
      <c r="J3123" t="str">
        <f t="shared" si="48"/>
        <v>Jun-2024</v>
      </c>
    </row>
    <row r="3124" spans="1:10">
      <c r="A3124">
        <v>3123</v>
      </c>
      <c r="B3124">
        <v>11934</v>
      </c>
      <c r="C3124" t="s">
        <v>15</v>
      </c>
      <c r="D3124">
        <v>162073.10999999999</v>
      </c>
      <c r="E3124" t="s">
        <v>16</v>
      </c>
      <c r="F3124">
        <v>39</v>
      </c>
      <c r="G3124" t="s">
        <v>25</v>
      </c>
      <c r="H3124" s="1">
        <v>45344</v>
      </c>
      <c r="I3124" s="1">
        <v>45383</v>
      </c>
      <c r="J3124" t="str">
        <f t="shared" si="48"/>
        <v>Feb-2024</v>
      </c>
    </row>
    <row r="3125" spans="1:10">
      <c r="A3125">
        <v>3124</v>
      </c>
      <c r="B3125">
        <v>15951</v>
      </c>
      <c r="C3125" t="s">
        <v>18</v>
      </c>
      <c r="D3125">
        <v>147559.79999999999</v>
      </c>
      <c r="E3125" t="s">
        <v>24</v>
      </c>
      <c r="G3125" t="s">
        <v>17</v>
      </c>
      <c r="H3125" s="1">
        <v>45364</v>
      </c>
      <c r="J3125" t="str">
        <f t="shared" si="48"/>
        <v>Mar-2024</v>
      </c>
    </row>
    <row r="3126" spans="1:10">
      <c r="A3126">
        <v>3125</v>
      </c>
      <c r="B3126">
        <v>14344</v>
      </c>
      <c r="C3126" t="s">
        <v>23</v>
      </c>
      <c r="D3126">
        <v>95329.78</v>
      </c>
      <c r="E3126" t="s">
        <v>24</v>
      </c>
      <c r="G3126" t="s">
        <v>21</v>
      </c>
      <c r="H3126" s="1">
        <v>45474</v>
      </c>
      <c r="J3126" t="str">
        <f t="shared" si="48"/>
        <v>Jul-2024</v>
      </c>
    </row>
    <row r="3127" spans="1:10">
      <c r="A3127">
        <v>3126</v>
      </c>
      <c r="B3127">
        <v>17426</v>
      </c>
      <c r="C3127" t="s">
        <v>15</v>
      </c>
      <c r="D3127">
        <v>68168.13</v>
      </c>
      <c r="E3127" t="s">
        <v>16</v>
      </c>
      <c r="F3127">
        <v>21</v>
      </c>
      <c r="G3127" t="s">
        <v>20</v>
      </c>
      <c r="H3127" s="1">
        <v>45480</v>
      </c>
      <c r="I3127" s="1">
        <v>45501</v>
      </c>
      <c r="J3127" t="str">
        <f t="shared" si="48"/>
        <v>Jul-2024</v>
      </c>
    </row>
    <row r="3128" spans="1:10">
      <c r="A3128">
        <v>3127</v>
      </c>
      <c r="B3128">
        <v>19993</v>
      </c>
      <c r="C3128" t="s">
        <v>23</v>
      </c>
      <c r="D3128">
        <v>123702.44</v>
      </c>
      <c r="E3128" t="s">
        <v>19</v>
      </c>
      <c r="F3128">
        <v>25</v>
      </c>
      <c r="G3128" t="s">
        <v>25</v>
      </c>
      <c r="H3128" s="1">
        <v>45304</v>
      </c>
      <c r="I3128" s="1">
        <v>45329</v>
      </c>
      <c r="J3128" t="str">
        <f t="shared" si="48"/>
        <v>Jan-2024</v>
      </c>
    </row>
    <row r="3129" spans="1:10">
      <c r="A3129">
        <v>3128</v>
      </c>
      <c r="B3129">
        <v>16334</v>
      </c>
      <c r="C3129" t="s">
        <v>23</v>
      </c>
      <c r="D3129">
        <v>175863.54</v>
      </c>
      <c r="E3129" t="s">
        <v>16</v>
      </c>
      <c r="F3129">
        <v>22</v>
      </c>
      <c r="G3129" t="s">
        <v>20</v>
      </c>
      <c r="H3129" s="1">
        <v>45338</v>
      </c>
      <c r="I3129" s="1">
        <v>45360</v>
      </c>
      <c r="J3129" t="str">
        <f t="shared" si="48"/>
        <v>Feb-2024</v>
      </c>
    </row>
    <row r="3130" spans="1:10">
      <c r="A3130">
        <v>3129</v>
      </c>
      <c r="B3130">
        <v>12622</v>
      </c>
      <c r="C3130" t="s">
        <v>18</v>
      </c>
      <c r="D3130">
        <v>177336.6</v>
      </c>
      <c r="E3130" t="s">
        <v>16</v>
      </c>
      <c r="F3130">
        <v>27</v>
      </c>
      <c r="G3130" t="s">
        <v>17</v>
      </c>
      <c r="H3130" s="1">
        <v>45451</v>
      </c>
      <c r="I3130" s="1">
        <v>45478</v>
      </c>
      <c r="J3130" t="str">
        <f t="shared" si="48"/>
        <v>Jun-2024</v>
      </c>
    </row>
    <row r="3131" spans="1:10">
      <c r="A3131">
        <v>3130</v>
      </c>
      <c r="B3131">
        <v>19048</v>
      </c>
      <c r="C3131" t="s">
        <v>23</v>
      </c>
      <c r="D3131">
        <v>26157.18</v>
      </c>
      <c r="E3131" t="s">
        <v>16</v>
      </c>
      <c r="F3131">
        <v>21</v>
      </c>
      <c r="G3131" t="s">
        <v>20</v>
      </c>
      <c r="H3131" s="1">
        <v>45575</v>
      </c>
      <c r="I3131" s="1">
        <v>45596</v>
      </c>
      <c r="J3131" t="str">
        <f t="shared" si="48"/>
        <v>Oct-2024</v>
      </c>
    </row>
    <row r="3132" spans="1:10">
      <c r="A3132">
        <v>3131</v>
      </c>
      <c r="B3132">
        <v>15565</v>
      </c>
      <c r="C3132" t="s">
        <v>18</v>
      </c>
      <c r="D3132">
        <v>88528.31</v>
      </c>
      <c r="E3132" t="s">
        <v>16</v>
      </c>
      <c r="F3132">
        <v>7</v>
      </c>
      <c r="G3132" t="s">
        <v>20</v>
      </c>
      <c r="H3132" s="1">
        <v>45344</v>
      </c>
      <c r="I3132" s="1">
        <v>45351</v>
      </c>
      <c r="J3132" t="str">
        <f t="shared" si="48"/>
        <v>Feb-2024</v>
      </c>
    </row>
    <row r="3133" spans="1:10">
      <c r="A3133">
        <v>3132</v>
      </c>
      <c r="B3133">
        <v>11525</v>
      </c>
      <c r="C3133" t="s">
        <v>18</v>
      </c>
      <c r="D3133">
        <v>95620.78</v>
      </c>
      <c r="E3133" t="s">
        <v>19</v>
      </c>
      <c r="F3133">
        <v>4</v>
      </c>
      <c r="G3133" t="s">
        <v>17</v>
      </c>
      <c r="H3133" s="1">
        <v>45578</v>
      </c>
      <c r="I3133" s="1">
        <v>45582</v>
      </c>
      <c r="J3133" t="str">
        <f t="shared" si="48"/>
        <v>Oct-2024</v>
      </c>
    </row>
    <row r="3134" spans="1:10">
      <c r="A3134">
        <v>3133</v>
      </c>
      <c r="B3134">
        <v>11416</v>
      </c>
      <c r="C3134" t="s">
        <v>23</v>
      </c>
      <c r="D3134">
        <v>195635</v>
      </c>
      <c r="E3134" t="s">
        <v>16</v>
      </c>
      <c r="F3134">
        <v>11</v>
      </c>
      <c r="G3134" t="s">
        <v>25</v>
      </c>
      <c r="H3134" s="1">
        <v>45299</v>
      </c>
      <c r="I3134" s="1">
        <v>45310</v>
      </c>
      <c r="J3134" t="str">
        <f t="shared" si="48"/>
        <v>Jan-2024</v>
      </c>
    </row>
    <row r="3135" spans="1:10">
      <c r="A3135">
        <v>3134</v>
      </c>
      <c r="B3135">
        <v>11794</v>
      </c>
      <c r="C3135" t="s">
        <v>23</v>
      </c>
      <c r="D3135">
        <v>137209.60999999999</v>
      </c>
      <c r="E3135" t="s">
        <v>16</v>
      </c>
      <c r="F3135">
        <v>13</v>
      </c>
      <c r="G3135" t="s">
        <v>21</v>
      </c>
      <c r="H3135" s="1">
        <v>45363</v>
      </c>
      <c r="I3135" s="1">
        <v>45376</v>
      </c>
      <c r="J3135" t="str">
        <f t="shared" si="48"/>
        <v>Mar-2024</v>
      </c>
    </row>
    <row r="3136" spans="1:10">
      <c r="A3136">
        <v>3135</v>
      </c>
      <c r="B3136">
        <v>12720</v>
      </c>
      <c r="C3136" t="s">
        <v>23</v>
      </c>
      <c r="D3136">
        <v>84413.05</v>
      </c>
      <c r="E3136" t="s">
        <v>16</v>
      </c>
      <c r="F3136">
        <v>34</v>
      </c>
      <c r="G3136" t="s">
        <v>25</v>
      </c>
      <c r="H3136" s="1">
        <v>45389</v>
      </c>
      <c r="I3136" s="1">
        <v>45423</v>
      </c>
      <c r="J3136" t="str">
        <f t="shared" si="48"/>
        <v>Apr-2024</v>
      </c>
    </row>
    <row r="3137" spans="1:10">
      <c r="A3137">
        <v>3136</v>
      </c>
      <c r="B3137">
        <v>16826</v>
      </c>
      <c r="C3137" t="s">
        <v>23</v>
      </c>
      <c r="D3137">
        <v>10081.290000000001</v>
      </c>
      <c r="E3137" t="s">
        <v>24</v>
      </c>
      <c r="G3137" t="s">
        <v>17</v>
      </c>
      <c r="H3137" s="1">
        <v>45378</v>
      </c>
      <c r="J3137" t="str">
        <f t="shared" si="48"/>
        <v>Mar-2024</v>
      </c>
    </row>
    <row r="3138" spans="1:10">
      <c r="A3138">
        <v>3137</v>
      </c>
      <c r="B3138">
        <v>16795</v>
      </c>
      <c r="C3138" t="s">
        <v>18</v>
      </c>
      <c r="D3138">
        <v>115250.11</v>
      </c>
      <c r="E3138" t="s">
        <v>16</v>
      </c>
      <c r="F3138">
        <v>17</v>
      </c>
      <c r="G3138" t="s">
        <v>20</v>
      </c>
      <c r="H3138" s="1">
        <v>45621</v>
      </c>
      <c r="I3138" s="1">
        <v>45638</v>
      </c>
      <c r="J3138" t="str">
        <f t="shared" si="48"/>
        <v>Nov-2024</v>
      </c>
    </row>
    <row r="3139" spans="1:10">
      <c r="A3139">
        <v>3138</v>
      </c>
      <c r="B3139">
        <v>13676</v>
      </c>
      <c r="C3139" t="s">
        <v>15</v>
      </c>
      <c r="D3139">
        <v>23734.82</v>
      </c>
      <c r="E3139" t="s">
        <v>19</v>
      </c>
      <c r="F3139">
        <v>18</v>
      </c>
      <c r="G3139" t="s">
        <v>25</v>
      </c>
      <c r="H3139" s="1">
        <v>45392</v>
      </c>
      <c r="I3139" s="1">
        <v>45410</v>
      </c>
      <c r="J3139" t="str">
        <f t="shared" ref="J3139:J3202" si="49">TEXT(H3139,"mmm-yyyy")</f>
        <v>Apr-2024</v>
      </c>
    </row>
    <row r="3140" spans="1:10">
      <c r="A3140">
        <v>3139</v>
      </c>
      <c r="B3140">
        <v>15076</v>
      </c>
      <c r="C3140" t="s">
        <v>23</v>
      </c>
      <c r="D3140">
        <v>167717.74</v>
      </c>
      <c r="E3140" t="s">
        <v>19</v>
      </c>
      <c r="F3140">
        <v>11</v>
      </c>
      <c r="G3140" t="s">
        <v>21</v>
      </c>
      <c r="H3140" s="1">
        <v>45572</v>
      </c>
      <c r="I3140" s="1">
        <v>45583</v>
      </c>
      <c r="J3140" t="str">
        <f t="shared" si="49"/>
        <v>Oct-2024</v>
      </c>
    </row>
    <row r="3141" spans="1:10">
      <c r="A3141">
        <v>3140</v>
      </c>
      <c r="B3141">
        <v>16369</v>
      </c>
      <c r="C3141" t="s">
        <v>23</v>
      </c>
      <c r="D3141">
        <v>151741.14000000001</v>
      </c>
      <c r="E3141" t="s">
        <v>16</v>
      </c>
      <c r="F3141">
        <v>13</v>
      </c>
      <c r="G3141" t="s">
        <v>17</v>
      </c>
      <c r="H3141" s="1">
        <v>45580</v>
      </c>
      <c r="I3141" s="1">
        <v>45593</v>
      </c>
      <c r="J3141" t="str">
        <f t="shared" si="49"/>
        <v>Oct-2024</v>
      </c>
    </row>
    <row r="3142" spans="1:10">
      <c r="A3142">
        <v>3141</v>
      </c>
      <c r="B3142">
        <v>18544</v>
      </c>
      <c r="C3142" t="s">
        <v>18</v>
      </c>
      <c r="D3142">
        <v>94799.29</v>
      </c>
      <c r="E3142" t="s">
        <v>16</v>
      </c>
      <c r="F3142">
        <v>20</v>
      </c>
      <c r="G3142" t="s">
        <v>25</v>
      </c>
      <c r="H3142" s="1">
        <v>45528</v>
      </c>
      <c r="I3142" s="1">
        <v>45548</v>
      </c>
      <c r="J3142" t="str">
        <f t="shared" si="49"/>
        <v>Aug-2024</v>
      </c>
    </row>
    <row r="3143" spans="1:10">
      <c r="A3143">
        <v>3142</v>
      </c>
      <c r="B3143">
        <v>19619</v>
      </c>
      <c r="C3143" t="s">
        <v>15</v>
      </c>
      <c r="D3143">
        <v>88696.1</v>
      </c>
      <c r="E3143" t="s">
        <v>19</v>
      </c>
      <c r="F3143">
        <v>41</v>
      </c>
      <c r="G3143" t="s">
        <v>21</v>
      </c>
      <c r="H3143" s="1">
        <v>45487</v>
      </c>
      <c r="I3143" s="1">
        <v>45528</v>
      </c>
      <c r="J3143" t="str">
        <f t="shared" si="49"/>
        <v>Jul-2024</v>
      </c>
    </row>
    <row r="3144" spans="1:10">
      <c r="A3144">
        <v>3143</v>
      </c>
      <c r="B3144">
        <v>15826</v>
      </c>
      <c r="C3144" t="s">
        <v>23</v>
      </c>
      <c r="D3144">
        <v>179981.1</v>
      </c>
      <c r="E3144" t="s">
        <v>16</v>
      </c>
      <c r="F3144">
        <v>24</v>
      </c>
      <c r="G3144" t="s">
        <v>17</v>
      </c>
      <c r="H3144" s="1">
        <v>45388</v>
      </c>
      <c r="I3144" s="1">
        <v>45412</v>
      </c>
      <c r="J3144" t="str">
        <f t="shared" si="49"/>
        <v>Apr-2024</v>
      </c>
    </row>
    <row r="3145" spans="1:10">
      <c r="A3145">
        <v>3144</v>
      </c>
      <c r="B3145">
        <v>12192</v>
      </c>
      <c r="C3145" t="s">
        <v>23</v>
      </c>
      <c r="D3145">
        <v>61249.38</v>
      </c>
      <c r="E3145" t="s">
        <v>24</v>
      </c>
      <c r="G3145" t="s">
        <v>21</v>
      </c>
      <c r="H3145" s="1">
        <v>45387</v>
      </c>
      <c r="J3145" t="str">
        <f t="shared" si="49"/>
        <v>Apr-2024</v>
      </c>
    </row>
    <row r="3146" spans="1:10">
      <c r="A3146">
        <v>3145</v>
      </c>
      <c r="B3146">
        <v>19969</v>
      </c>
      <c r="C3146" t="s">
        <v>18</v>
      </c>
      <c r="D3146">
        <v>53558.89</v>
      </c>
      <c r="E3146" t="s">
        <v>16</v>
      </c>
      <c r="F3146">
        <v>11</v>
      </c>
      <c r="G3146" t="s">
        <v>17</v>
      </c>
      <c r="H3146" s="1">
        <v>45552</v>
      </c>
      <c r="I3146" s="1">
        <v>45563</v>
      </c>
      <c r="J3146" t="str">
        <f t="shared" si="49"/>
        <v>Sep-2024</v>
      </c>
    </row>
    <row r="3147" spans="1:10">
      <c r="A3147">
        <v>3146</v>
      </c>
      <c r="B3147">
        <v>13536</v>
      </c>
      <c r="C3147" t="s">
        <v>23</v>
      </c>
      <c r="D3147">
        <v>188143.5</v>
      </c>
      <c r="E3147" t="s">
        <v>16</v>
      </c>
      <c r="F3147">
        <v>11</v>
      </c>
      <c r="G3147" t="s">
        <v>20</v>
      </c>
      <c r="H3147" s="1">
        <v>45412</v>
      </c>
      <c r="I3147" s="1">
        <v>45423</v>
      </c>
      <c r="J3147" t="str">
        <f t="shared" si="49"/>
        <v>Apr-2024</v>
      </c>
    </row>
    <row r="3148" spans="1:10">
      <c r="A3148">
        <v>3147</v>
      </c>
      <c r="B3148">
        <v>17299</v>
      </c>
      <c r="C3148" t="s">
        <v>23</v>
      </c>
      <c r="D3148">
        <v>162802.94</v>
      </c>
      <c r="E3148" t="s">
        <v>19</v>
      </c>
      <c r="F3148">
        <v>11</v>
      </c>
      <c r="G3148" t="s">
        <v>25</v>
      </c>
      <c r="H3148" s="1">
        <v>45564</v>
      </c>
      <c r="I3148" s="1">
        <v>45575</v>
      </c>
      <c r="J3148" t="str">
        <f t="shared" si="49"/>
        <v>Sep-2024</v>
      </c>
    </row>
    <row r="3149" spans="1:10">
      <c r="A3149">
        <v>3148</v>
      </c>
      <c r="B3149">
        <v>19308</v>
      </c>
      <c r="C3149" t="s">
        <v>18</v>
      </c>
      <c r="D3149">
        <v>165021.99</v>
      </c>
      <c r="E3149" t="s">
        <v>19</v>
      </c>
      <c r="F3149">
        <v>40</v>
      </c>
      <c r="G3149" t="s">
        <v>21</v>
      </c>
      <c r="H3149" s="1">
        <v>45623</v>
      </c>
      <c r="I3149" s="1">
        <v>45663</v>
      </c>
      <c r="J3149" t="str">
        <f t="shared" si="49"/>
        <v>Nov-2024</v>
      </c>
    </row>
    <row r="3150" spans="1:10">
      <c r="A3150">
        <v>3149</v>
      </c>
      <c r="B3150">
        <v>12320</v>
      </c>
      <c r="C3150" t="s">
        <v>18</v>
      </c>
      <c r="D3150">
        <v>43062.79</v>
      </c>
      <c r="E3150" t="s">
        <v>24</v>
      </c>
      <c r="G3150" t="s">
        <v>17</v>
      </c>
      <c r="H3150" s="1">
        <v>45343</v>
      </c>
      <c r="J3150" t="str">
        <f t="shared" si="49"/>
        <v>Feb-2024</v>
      </c>
    </row>
    <row r="3151" spans="1:10">
      <c r="A3151">
        <v>3150</v>
      </c>
      <c r="B3151">
        <v>17871</v>
      </c>
      <c r="C3151" t="s">
        <v>18</v>
      </c>
      <c r="D3151">
        <v>32942.720000000001</v>
      </c>
      <c r="E3151" t="s">
        <v>16</v>
      </c>
      <c r="F3151">
        <v>5</v>
      </c>
      <c r="G3151" t="s">
        <v>21</v>
      </c>
      <c r="H3151" s="1">
        <v>45609</v>
      </c>
      <c r="I3151" s="1">
        <v>45614</v>
      </c>
      <c r="J3151" t="str">
        <f t="shared" si="49"/>
        <v>Nov-2024</v>
      </c>
    </row>
    <row r="3152" spans="1:10">
      <c r="A3152">
        <v>3151</v>
      </c>
      <c r="B3152">
        <v>10533</v>
      </c>
      <c r="C3152" t="s">
        <v>18</v>
      </c>
      <c r="D3152">
        <v>10075.76</v>
      </c>
      <c r="E3152" t="s">
        <v>24</v>
      </c>
      <c r="G3152" t="s">
        <v>21</v>
      </c>
      <c r="H3152" s="1">
        <v>45454</v>
      </c>
      <c r="J3152" t="str">
        <f t="shared" si="49"/>
        <v>Jun-2024</v>
      </c>
    </row>
    <row r="3153" spans="1:10">
      <c r="A3153">
        <v>3152</v>
      </c>
      <c r="B3153">
        <v>19409</v>
      </c>
      <c r="C3153" t="s">
        <v>18</v>
      </c>
      <c r="D3153">
        <v>51223.09</v>
      </c>
      <c r="E3153" t="s">
        <v>19</v>
      </c>
      <c r="F3153">
        <v>44</v>
      </c>
      <c r="G3153" t="s">
        <v>25</v>
      </c>
      <c r="H3153" s="1">
        <v>45481</v>
      </c>
      <c r="I3153" s="1">
        <v>45525</v>
      </c>
      <c r="J3153" t="str">
        <f t="shared" si="49"/>
        <v>Jul-2024</v>
      </c>
    </row>
    <row r="3154" spans="1:10">
      <c r="A3154">
        <v>3153</v>
      </c>
      <c r="B3154">
        <v>15351</v>
      </c>
      <c r="C3154" t="s">
        <v>23</v>
      </c>
      <c r="D3154">
        <v>155967.15</v>
      </c>
      <c r="E3154" t="s">
        <v>19</v>
      </c>
      <c r="F3154">
        <v>20</v>
      </c>
      <c r="G3154" t="s">
        <v>20</v>
      </c>
      <c r="H3154" s="1">
        <v>45568</v>
      </c>
      <c r="I3154" s="1">
        <v>45588</v>
      </c>
      <c r="J3154" t="str">
        <f t="shared" si="49"/>
        <v>Oct-2024</v>
      </c>
    </row>
    <row r="3155" spans="1:10">
      <c r="A3155">
        <v>3154</v>
      </c>
      <c r="B3155">
        <v>11979</v>
      </c>
      <c r="C3155" t="s">
        <v>23</v>
      </c>
      <c r="D3155">
        <v>51807.49</v>
      </c>
      <c r="E3155" t="s">
        <v>16</v>
      </c>
      <c r="F3155">
        <v>6</v>
      </c>
      <c r="G3155" t="s">
        <v>21</v>
      </c>
      <c r="H3155" s="1">
        <v>45376</v>
      </c>
      <c r="I3155" s="1">
        <v>45382</v>
      </c>
      <c r="J3155" t="str">
        <f t="shared" si="49"/>
        <v>Mar-2024</v>
      </c>
    </row>
    <row r="3156" spans="1:10">
      <c r="A3156">
        <v>3155</v>
      </c>
      <c r="B3156">
        <v>12076</v>
      </c>
      <c r="C3156" t="s">
        <v>23</v>
      </c>
      <c r="D3156">
        <v>147175.14000000001</v>
      </c>
      <c r="E3156" t="s">
        <v>16</v>
      </c>
      <c r="F3156">
        <v>31</v>
      </c>
      <c r="G3156" t="s">
        <v>17</v>
      </c>
      <c r="H3156" s="1">
        <v>45485</v>
      </c>
      <c r="I3156" s="1">
        <v>45516</v>
      </c>
      <c r="J3156" t="str">
        <f t="shared" si="49"/>
        <v>Jul-2024</v>
      </c>
    </row>
    <row r="3157" spans="1:10">
      <c r="A3157">
        <v>3156</v>
      </c>
      <c r="B3157">
        <v>18723</v>
      </c>
      <c r="C3157" t="s">
        <v>23</v>
      </c>
      <c r="D3157">
        <v>54122.11</v>
      </c>
      <c r="E3157" t="s">
        <v>24</v>
      </c>
      <c r="G3157" t="s">
        <v>17</v>
      </c>
      <c r="H3157" s="1">
        <v>45472</v>
      </c>
      <c r="J3157" t="str">
        <f t="shared" si="49"/>
        <v>Jun-2024</v>
      </c>
    </row>
    <row r="3158" spans="1:10">
      <c r="A3158">
        <v>3157</v>
      </c>
      <c r="B3158">
        <v>14235</v>
      </c>
      <c r="C3158" t="s">
        <v>18</v>
      </c>
      <c r="D3158">
        <v>82082.039999999994</v>
      </c>
      <c r="E3158" t="s">
        <v>16</v>
      </c>
      <c r="F3158">
        <v>41</v>
      </c>
      <c r="G3158" t="s">
        <v>20</v>
      </c>
      <c r="H3158" s="1">
        <v>45312</v>
      </c>
      <c r="I3158" s="1">
        <v>45353</v>
      </c>
      <c r="J3158" t="str">
        <f t="shared" si="49"/>
        <v>Jan-2024</v>
      </c>
    </row>
    <row r="3159" spans="1:10">
      <c r="A3159">
        <v>3158</v>
      </c>
      <c r="B3159">
        <v>16241</v>
      </c>
      <c r="C3159" t="s">
        <v>15</v>
      </c>
      <c r="D3159">
        <v>196716.65</v>
      </c>
      <c r="E3159" t="s">
        <v>16</v>
      </c>
      <c r="F3159">
        <v>35</v>
      </c>
      <c r="G3159" t="s">
        <v>17</v>
      </c>
      <c r="H3159" s="1">
        <v>45494</v>
      </c>
      <c r="I3159" s="1">
        <v>45529</v>
      </c>
      <c r="J3159" t="str">
        <f t="shared" si="49"/>
        <v>Jul-2024</v>
      </c>
    </row>
    <row r="3160" spans="1:10">
      <c r="A3160">
        <v>3159</v>
      </c>
      <c r="B3160">
        <v>14114</v>
      </c>
      <c r="C3160" t="s">
        <v>22</v>
      </c>
      <c r="D3160">
        <v>52738.29</v>
      </c>
      <c r="E3160" t="s">
        <v>16</v>
      </c>
      <c r="F3160">
        <v>3</v>
      </c>
      <c r="G3160" t="s">
        <v>20</v>
      </c>
      <c r="H3160" s="1">
        <v>45493</v>
      </c>
      <c r="I3160" s="1">
        <v>45496</v>
      </c>
      <c r="J3160" t="str">
        <f t="shared" si="49"/>
        <v>Jul-2024</v>
      </c>
    </row>
    <row r="3161" spans="1:10">
      <c r="A3161">
        <v>3160</v>
      </c>
      <c r="B3161">
        <v>12584</v>
      </c>
      <c r="C3161" t="s">
        <v>18</v>
      </c>
      <c r="D3161">
        <v>78392.27</v>
      </c>
      <c r="E3161" t="s">
        <v>16</v>
      </c>
      <c r="F3161">
        <v>25</v>
      </c>
      <c r="G3161" t="s">
        <v>17</v>
      </c>
      <c r="H3161" s="1">
        <v>45442</v>
      </c>
      <c r="I3161" s="1">
        <v>45467</v>
      </c>
      <c r="J3161" t="str">
        <f t="shared" si="49"/>
        <v>May-2024</v>
      </c>
    </row>
    <row r="3162" spans="1:10">
      <c r="A3162">
        <v>3161</v>
      </c>
      <c r="B3162">
        <v>19740</v>
      </c>
      <c r="C3162" t="s">
        <v>23</v>
      </c>
      <c r="D3162">
        <v>63712</v>
      </c>
      <c r="E3162" t="s">
        <v>16</v>
      </c>
      <c r="F3162">
        <v>15</v>
      </c>
      <c r="G3162" t="s">
        <v>25</v>
      </c>
      <c r="H3162" s="1">
        <v>45450</v>
      </c>
      <c r="I3162" s="1">
        <v>45465</v>
      </c>
      <c r="J3162" t="str">
        <f t="shared" si="49"/>
        <v>Jun-2024</v>
      </c>
    </row>
    <row r="3163" spans="1:10">
      <c r="A3163">
        <v>3162</v>
      </c>
      <c r="B3163">
        <v>11488</v>
      </c>
      <c r="C3163" t="s">
        <v>23</v>
      </c>
      <c r="D3163">
        <v>26376.87</v>
      </c>
      <c r="E3163" t="s">
        <v>16</v>
      </c>
      <c r="F3163">
        <v>42</v>
      </c>
      <c r="G3163" t="s">
        <v>21</v>
      </c>
      <c r="H3163" s="1">
        <v>45601</v>
      </c>
      <c r="I3163" s="1">
        <v>45643</v>
      </c>
      <c r="J3163" t="str">
        <f t="shared" si="49"/>
        <v>Nov-2024</v>
      </c>
    </row>
    <row r="3164" spans="1:10">
      <c r="A3164">
        <v>3163</v>
      </c>
      <c r="B3164">
        <v>13659</v>
      </c>
      <c r="C3164" t="s">
        <v>15</v>
      </c>
      <c r="D3164">
        <v>100529.36</v>
      </c>
      <c r="E3164" t="s">
        <v>19</v>
      </c>
      <c r="F3164">
        <v>43</v>
      </c>
      <c r="G3164" t="s">
        <v>25</v>
      </c>
      <c r="H3164" s="1">
        <v>45317</v>
      </c>
      <c r="I3164" s="1">
        <v>45360</v>
      </c>
      <c r="J3164" t="str">
        <f t="shared" si="49"/>
        <v>Jan-2024</v>
      </c>
    </row>
    <row r="3165" spans="1:10">
      <c r="A3165">
        <v>3164</v>
      </c>
      <c r="B3165">
        <v>16402</v>
      </c>
      <c r="C3165" t="s">
        <v>18</v>
      </c>
      <c r="D3165">
        <v>78844.679999999993</v>
      </c>
      <c r="E3165" t="s">
        <v>16</v>
      </c>
      <c r="F3165">
        <v>14</v>
      </c>
      <c r="G3165" t="s">
        <v>21</v>
      </c>
      <c r="H3165" s="1">
        <v>45600</v>
      </c>
      <c r="I3165" s="1">
        <v>45614</v>
      </c>
      <c r="J3165" t="str">
        <f t="shared" si="49"/>
        <v>Nov-2024</v>
      </c>
    </row>
    <row r="3166" spans="1:10">
      <c r="A3166">
        <v>3165</v>
      </c>
      <c r="B3166">
        <v>18047</v>
      </c>
      <c r="C3166" t="s">
        <v>18</v>
      </c>
      <c r="D3166">
        <v>140502.98000000001</v>
      </c>
      <c r="E3166" t="s">
        <v>16</v>
      </c>
      <c r="F3166">
        <v>30</v>
      </c>
      <c r="G3166" t="s">
        <v>21</v>
      </c>
      <c r="H3166" s="1">
        <v>45357</v>
      </c>
      <c r="I3166" s="1">
        <v>45387</v>
      </c>
      <c r="J3166" t="str">
        <f t="shared" si="49"/>
        <v>Mar-2024</v>
      </c>
    </row>
    <row r="3167" spans="1:10">
      <c r="A3167">
        <v>3166</v>
      </c>
      <c r="B3167">
        <v>10227</v>
      </c>
      <c r="C3167" t="s">
        <v>18</v>
      </c>
      <c r="D3167">
        <v>164430.94</v>
      </c>
      <c r="E3167" t="s">
        <v>16</v>
      </c>
      <c r="F3167">
        <v>2</v>
      </c>
      <c r="G3167" t="s">
        <v>21</v>
      </c>
      <c r="H3167" s="1">
        <v>45554</v>
      </c>
      <c r="I3167" s="1">
        <v>45556</v>
      </c>
      <c r="J3167" t="str">
        <f t="shared" si="49"/>
        <v>Sep-2024</v>
      </c>
    </row>
    <row r="3168" spans="1:10">
      <c r="A3168">
        <v>3167</v>
      </c>
      <c r="B3168">
        <v>14471</v>
      </c>
      <c r="C3168" t="s">
        <v>18</v>
      </c>
      <c r="D3168">
        <v>111128.69</v>
      </c>
      <c r="E3168" t="s">
        <v>16</v>
      </c>
      <c r="F3168">
        <v>35</v>
      </c>
      <c r="G3168" t="s">
        <v>25</v>
      </c>
      <c r="H3168" s="1">
        <v>45458</v>
      </c>
      <c r="I3168" s="1">
        <v>45493</v>
      </c>
      <c r="J3168" t="str">
        <f t="shared" si="49"/>
        <v>Jun-2024</v>
      </c>
    </row>
    <row r="3169" spans="1:10">
      <c r="A3169">
        <v>3168</v>
      </c>
      <c r="B3169">
        <v>15242</v>
      </c>
      <c r="C3169" t="s">
        <v>15</v>
      </c>
      <c r="D3169">
        <v>11278.3</v>
      </c>
      <c r="E3169" t="s">
        <v>16</v>
      </c>
      <c r="F3169">
        <v>5</v>
      </c>
      <c r="G3169" t="s">
        <v>21</v>
      </c>
      <c r="H3169" s="1">
        <v>45579</v>
      </c>
      <c r="I3169" s="1">
        <v>45584</v>
      </c>
      <c r="J3169" t="str">
        <f t="shared" si="49"/>
        <v>Oct-2024</v>
      </c>
    </row>
    <row r="3170" spans="1:10">
      <c r="A3170">
        <v>3169</v>
      </c>
      <c r="B3170">
        <v>17623</v>
      </c>
      <c r="C3170" t="s">
        <v>23</v>
      </c>
      <c r="D3170">
        <v>125689.86</v>
      </c>
      <c r="E3170" t="s">
        <v>19</v>
      </c>
      <c r="F3170">
        <v>29</v>
      </c>
      <c r="G3170" t="s">
        <v>25</v>
      </c>
      <c r="H3170" s="1">
        <v>45445</v>
      </c>
      <c r="I3170" s="1">
        <v>45474</v>
      </c>
      <c r="J3170" t="str">
        <f t="shared" si="49"/>
        <v>Jun-2024</v>
      </c>
    </row>
    <row r="3171" spans="1:10">
      <c r="A3171">
        <v>3170</v>
      </c>
      <c r="B3171">
        <v>14352</v>
      </c>
      <c r="C3171" t="s">
        <v>18</v>
      </c>
      <c r="D3171">
        <v>15801.19</v>
      </c>
      <c r="E3171" t="s">
        <v>16</v>
      </c>
      <c r="F3171">
        <v>20</v>
      </c>
      <c r="G3171" t="s">
        <v>20</v>
      </c>
      <c r="H3171" s="1">
        <v>45634</v>
      </c>
      <c r="I3171" s="1">
        <v>45654</v>
      </c>
      <c r="J3171" t="str">
        <f t="shared" si="49"/>
        <v>Dec-2024</v>
      </c>
    </row>
    <row r="3172" spans="1:10">
      <c r="A3172">
        <v>3171</v>
      </c>
      <c r="B3172">
        <v>14928</v>
      </c>
      <c r="C3172" t="s">
        <v>15</v>
      </c>
      <c r="D3172">
        <v>125189.48</v>
      </c>
      <c r="E3172" t="s">
        <v>24</v>
      </c>
      <c r="G3172" t="s">
        <v>17</v>
      </c>
      <c r="H3172" s="1">
        <v>45497</v>
      </c>
      <c r="J3172" t="str">
        <f t="shared" si="49"/>
        <v>Jul-2024</v>
      </c>
    </row>
    <row r="3173" spans="1:10">
      <c r="A3173">
        <v>3172</v>
      </c>
      <c r="B3173">
        <v>17315</v>
      </c>
      <c r="C3173" t="s">
        <v>23</v>
      </c>
      <c r="D3173">
        <v>138580.84</v>
      </c>
      <c r="E3173" t="s">
        <v>16</v>
      </c>
      <c r="F3173">
        <v>37</v>
      </c>
      <c r="G3173" t="s">
        <v>17</v>
      </c>
      <c r="H3173" s="1">
        <v>45444</v>
      </c>
      <c r="I3173" s="1">
        <v>45481</v>
      </c>
      <c r="J3173" t="str">
        <f t="shared" si="49"/>
        <v>Jun-2024</v>
      </c>
    </row>
    <row r="3174" spans="1:10">
      <c r="A3174">
        <v>3173</v>
      </c>
      <c r="B3174">
        <v>10698</v>
      </c>
      <c r="C3174" t="s">
        <v>18</v>
      </c>
      <c r="D3174">
        <v>43564.69</v>
      </c>
      <c r="E3174" t="s">
        <v>16</v>
      </c>
      <c r="F3174">
        <v>44</v>
      </c>
      <c r="G3174" t="s">
        <v>21</v>
      </c>
      <c r="H3174" s="1">
        <v>45475</v>
      </c>
      <c r="I3174" s="1">
        <v>45519</v>
      </c>
      <c r="J3174" t="str">
        <f t="shared" si="49"/>
        <v>Jul-2024</v>
      </c>
    </row>
    <row r="3175" spans="1:10">
      <c r="A3175">
        <v>3174</v>
      </c>
      <c r="B3175">
        <v>10437</v>
      </c>
      <c r="C3175" t="s">
        <v>23</v>
      </c>
      <c r="D3175">
        <v>164772.5</v>
      </c>
      <c r="E3175" t="s">
        <v>16</v>
      </c>
      <c r="F3175">
        <v>14</v>
      </c>
      <c r="G3175" t="s">
        <v>25</v>
      </c>
      <c r="H3175" s="1">
        <v>45450</v>
      </c>
      <c r="I3175" s="1">
        <v>45464</v>
      </c>
      <c r="J3175" t="str">
        <f t="shared" si="49"/>
        <v>Jun-2024</v>
      </c>
    </row>
    <row r="3176" spans="1:10">
      <c r="A3176">
        <v>3175</v>
      </c>
      <c r="B3176">
        <v>15819</v>
      </c>
      <c r="C3176" t="s">
        <v>22</v>
      </c>
      <c r="D3176">
        <v>182661.6</v>
      </c>
      <c r="E3176" t="s">
        <v>16</v>
      </c>
      <c r="F3176">
        <v>43</v>
      </c>
      <c r="G3176" t="s">
        <v>17</v>
      </c>
      <c r="H3176" s="1">
        <v>45485</v>
      </c>
      <c r="I3176" s="1">
        <v>45528</v>
      </c>
      <c r="J3176" t="str">
        <f t="shared" si="49"/>
        <v>Jul-2024</v>
      </c>
    </row>
    <row r="3177" spans="1:10">
      <c r="A3177">
        <v>3176</v>
      </c>
      <c r="B3177">
        <v>16180</v>
      </c>
      <c r="C3177" t="s">
        <v>23</v>
      </c>
      <c r="D3177">
        <v>163551.96</v>
      </c>
      <c r="E3177" t="s">
        <v>19</v>
      </c>
      <c r="F3177">
        <v>6</v>
      </c>
      <c r="G3177" t="s">
        <v>25</v>
      </c>
      <c r="H3177" s="1">
        <v>45293</v>
      </c>
      <c r="I3177" s="1">
        <v>45299</v>
      </c>
      <c r="J3177" t="str">
        <f t="shared" si="49"/>
        <v>Jan-2024</v>
      </c>
    </row>
    <row r="3178" spans="1:10">
      <c r="A3178">
        <v>3177</v>
      </c>
      <c r="B3178">
        <v>19876</v>
      </c>
      <c r="C3178" t="s">
        <v>18</v>
      </c>
      <c r="D3178">
        <v>64496.29</v>
      </c>
      <c r="E3178" t="s">
        <v>19</v>
      </c>
      <c r="F3178">
        <v>34</v>
      </c>
      <c r="G3178" t="s">
        <v>25</v>
      </c>
      <c r="H3178" s="1">
        <v>45506</v>
      </c>
      <c r="I3178" s="1">
        <v>45540</v>
      </c>
      <c r="J3178" t="str">
        <f t="shared" si="49"/>
        <v>Aug-2024</v>
      </c>
    </row>
    <row r="3179" spans="1:10">
      <c r="A3179">
        <v>3178</v>
      </c>
      <c r="B3179">
        <v>12153</v>
      </c>
      <c r="C3179" t="s">
        <v>23</v>
      </c>
      <c r="D3179">
        <v>119395.39</v>
      </c>
      <c r="E3179" t="s">
        <v>16</v>
      </c>
      <c r="F3179">
        <v>15</v>
      </c>
      <c r="G3179" t="s">
        <v>21</v>
      </c>
      <c r="H3179" s="1">
        <v>45466</v>
      </c>
      <c r="I3179" s="1">
        <v>45481</v>
      </c>
      <c r="J3179" t="str">
        <f t="shared" si="49"/>
        <v>Jun-2024</v>
      </c>
    </row>
    <row r="3180" spans="1:10">
      <c r="A3180">
        <v>3179</v>
      </c>
      <c r="B3180">
        <v>16038</v>
      </c>
      <c r="C3180" t="s">
        <v>18</v>
      </c>
      <c r="D3180">
        <v>183388.95</v>
      </c>
      <c r="E3180" t="s">
        <v>16</v>
      </c>
      <c r="F3180">
        <v>17</v>
      </c>
      <c r="G3180" t="s">
        <v>17</v>
      </c>
      <c r="H3180" s="1">
        <v>45366</v>
      </c>
      <c r="I3180" s="1">
        <v>45383</v>
      </c>
      <c r="J3180" t="str">
        <f t="shared" si="49"/>
        <v>Mar-2024</v>
      </c>
    </row>
    <row r="3181" spans="1:10">
      <c r="A3181">
        <v>3180</v>
      </c>
      <c r="B3181">
        <v>16008</v>
      </c>
      <c r="C3181" t="s">
        <v>23</v>
      </c>
      <c r="D3181">
        <v>67529.62</v>
      </c>
      <c r="E3181" t="s">
        <v>16</v>
      </c>
      <c r="F3181">
        <v>33</v>
      </c>
      <c r="G3181" t="s">
        <v>21</v>
      </c>
      <c r="H3181" s="1">
        <v>45576</v>
      </c>
      <c r="I3181" s="1">
        <v>45609</v>
      </c>
      <c r="J3181" t="str">
        <f t="shared" si="49"/>
        <v>Oct-2024</v>
      </c>
    </row>
    <row r="3182" spans="1:10">
      <c r="A3182">
        <v>3181</v>
      </c>
      <c r="B3182">
        <v>16375</v>
      </c>
      <c r="C3182" t="s">
        <v>23</v>
      </c>
      <c r="D3182">
        <v>164905.43</v>
      </c>
      <c r="E3182" t="s">
        <v>16</v>
      </c>
      <c r="F3182">
        <v>28</v>
      </c>
      <c r="G3182" t="s">
        <v>21</v>
      </c>
      <c r="H3182" s="1">
        <v>45418</v>
      </c>
      <c r="I3182" s="1">
        <v>45446</v>
      </c>
      <c r="J3182" t="str">
        <f t="shared" si="49"/>
        <v>May-2024</v>
      </c>
    </row>
    <row r="3183" spans="1:10">
      <c r="A3183">
        <v>3182</v>
      </c>
      <c r="B3183">
        <v>15136</v>
      </c>
      <c r="C3183" t="s">
        <v>23</v>
      </c>
      <c r="D3183">
        <v>6847.65</v>
      </c>
      <c r="E3183" t="s">
        <v>24</v>
      </c>
      <c r="G3183" t="s">
        <v>17</v>
      </c>
      <c r="H3183" s="1">
        <v>45340</v>
      </c>
      <c r="J3183" t="str">
        <f t="shared" si="49"/>
        <v>Feb-2024</v>
      </c>
    </row>
    <row r="3184" spans="1:10">
      <c r="A3184">
        <v>3183</v>
      </c>
      <c r="B3184">
        <v>15278</v>
      </c>
      <c r="C3184" t="s">
        <v>22</v>
      </c>
      <c r="D3184">
        <v>5711.11</v>
      </c>
      <c r="E3184" t="s">
        <v>16</v>
      </c>
      <c r="F3184">
        <v>4</v>
      </c>
      <c r="G3184" t="s">
        <v>17</v>
      </c>
      <c r="H3184" s="1">
        <v>45323</v>
      </c>
      <c r="I3184" s="1">
        <v>45327</v>
      </c>
      <c r="J3184" t="str">
        <f t="shared" si="49"/>
        <v>Feb-2024</v>
      </c>
    </row>
    <row r="3185" spans="1:10">
      <c r="A3185">
        <v>3184</v>
      </c>
      <c r="B3185">
        <v>10959</v>
      </c>
      <c r="C3185" t="s">
        <v>23</v>
      </c>
      <c r="D3185">
        <v>153143.76999999999</v>
      </c>
      <c r="E3185" t="s">
        <v>19</v>
      </c>
      <c r="F3185">
        <v>5</v>
      </c>
      <c r="G3185" t="s">
        <v>20</v>
      </c>
      <c r="H3185" s="1">
        <v>45449</v>
      </c>
      <c r="I3185" s="1">
        <v>45454</v>
      </c>
      <c r="J3185" t="str">
        <f t="shared" si="49"/>
        <v>Jun-2024</v>
      </c>
    </row>
    <row r="3186" spans="1:10">
      <c r="A3186">
        <v>3185</v>
      </c>
      <c r="B3186">
        <v>18469</v>
      </c>
      <c r="C3186" t="s">
        <v>23</v>
      </c>
      <c r="D3186">
        <v>153482.28</v>
      </c>
      <c r="E3186" t="s">
        <v>16</v>
      </c>
      <c r="F3186">
        <v>8</v>
      </c>
      <c r="G3186" t="s">
        <v>20</v>
      </c>
      <c r="H3186" s="1">
        <v>45306</v>
      </c>
      <c r="I3186" s="1">
        <v>45314</v>
      </c>
      <c r="J3186" t="str">
        <f t="shared" si="49"/>
        <v>Jan-2024</v>
      </c>
    </row>
    <row r="3187" spans="1:10">
      <c r="A3187">
        <v>3186</v>
      </c>
      <c r="B3187">
        <v>14220</v>
      </c>
      <c r="C3187" t="s">
        <v>18</v>
      </c>
      <c r="D3187">
        <v>158850.54999999999</v>
      </c>
      <c r="E3187" t="s">
        <v>16</v>
      </c>
      <c r="F3187">
        <v>14</v>
      </c>
      <c r="G3187" t="s">
        <v>25</v>
      </c>
      <c r="H3187" s="1">
        <v>45609</v>
      </c>
      <c r="I3187" s="1">
        <v>45623</v>
      </c>
      <c r="J3187" t="str">
        <f t="shared" si="49"/>
        <v>Nov-2024</v>
      </c>
    </row>
    <row r="3188" spans="1:10">
      <c r="A3188">
        <v>3187</v>
      </c>
      <c r="B3188">
        <v>13756</v>
      </c>
      <c r="C3188" t="s">
        <v>18</v>
      </c>
      <c r="D3188">
        <v>186355.23</v>
      </c>
      <c r="E3188" t="s">
        <v>16</v>
      </c>
      <c r="F3188">
        <v>42</v>
      </c>
      <c r="G3188" t="s">
        <v>17</v>
      </c>
      <c r="H3188" s="1">
        <v>45625</v>
      </c>
      <c r="I3188" s="1">
        <v>45667</v>
      </c>
      <c r="J3188" t="str">
        <f t="shared" si="49"/>
        <v>Nov-2024</v>
      </c>
    </row>
    <row r="3189" spans="1:10">
      <c r="A3189">
        <v>3188</v>
      </c>
      <c r="B3189">
        <v>17587</v>
      </c>
      <c r="C3189" t="s">
        <v>22</v>
      </c>
      <c r="D3189">
        <v>27991.73</v>
      </c>
      <c r="E3189" t="s">
        <v>16</v>
      </c>
      <c r="F3189">
        <v>4</v>
      </c>
      <c r="G3189" t="s">
        <v>20</v>
      </c>
      <c r="H3189" s="1">
        <v>45534</v>
      </c>
      <c r="I3189" s="1">
        <v>45538</v>
      </c>
      <c r="J3189" t="str">
        <f t="shared" si="49"/>
        <v>Aug-2024</v>
      </c>
    </row>
    <row r="3190" spans="1:10">
      <c r="A3190">
        <v>3189</v>
      </c>
      <c r="B3190">
        <v>19535</v>
      </c>
      <c r="C3190" t="s">
        <v>23</v>
      </c>
      <c r="D3190">
        <v>50237.07</v>
      </c>
      <c r="E3190" t="s">
        <v>19</v>
      </c>
      <c r="F3190">
        <v>18</v>
      </c>
      <c r="G3190" t="s">
        <v>25</v>
      </c>
      <c r="H3190" s="1">
        <v>45308</v>
      </c>
      <c r="I3190" s="1">
        <v>45326</v>
      </c>
      <c r="J3190" t="str">
        <f t="shared" si="49"/>
        <v>Jan-2024</v>
      </c>
    </row>
    <row r="3191" spans="1:10">
      <c r="A3191">
        <v>3190</v>
      </c>
      <c r="B3191">
        <v>14770</v>
      </c>
      <c r="C3191" t="s">
        <v>18</v>
      </c>
      <c r="D3191">
        <v>181226.36</v>
      </c>
      <c r="E3191" t="s">
        <v>16</v>
      </c>
      <c r="F3191">
        <v>11</v>
      </c>
      <c r="G3191" t="s">
        <v>25</v>
      </c>
      <c r="H3191" s="1">
        <v>45313</v>
      </c>
      <c r="I3191" s="1">
        <v>45324</v>
      </c>
      <c r="J3191" t="str">
        <f t="shared" si="49"/>
        <v>Jan-2024</v>
      </c>
    </row>
    <row r="3192" spans="1:10">
      <c r="A3192">
        <v>3191</v>
      </c>
      <c r="B3192">
        <v>18906</v>
      </c>
      <c r="C3192" t="s">
        <v>23</v>
      </c>
      <c r="D3192">
        <v>39561.06</v>
      </c>
      <c r="E3192" t="s">
        <v>19</v>
      </c>
      <c r="F3192">
        <v>2</v>
      </c>
      <c r="G3192" t="s">
        <v>25</v>
      </c>
      <c r="H3192" s="1">
        <v>45535</v>
      </c>
      <c r="I3192" s="1">
        <v>45537</v>
      </c>
      <c r="J3192" t="str">
        <f t="shared" si="49"/>
        <v>Aug-2024</v>
      </c>
    </row>
    <row r="3193" spans="1:10">
      <c r="A3193">
        <v>3192</v>
      </c>
      <c r="B3193">
        <v>19697</v>
      </c>
      <c r="C3193" t="s">
        <v>23</v>
      </c>
      <c r="D3193">
        <v>138034.71</v>
      </c>
      <c r="E3193" t="s">
        <v>16</v>
      </c>
      <c r="F3193">
        <v>29</v>
      </c>
      <c r="G3193" t="s">
        <v>20</v>
      </c>
      <c r="H3193" s="1">
        <v>45372</v>
      </c>
      <c r="I3193" s="1">
        <v>45401</v>
      </c>
      <c r="J3193" t="str">
        <f t="shared" si="49"/>
        <v>Mar-2024</v>
      </c>
    </row>
    <row r="3194" spans="1:10">
      <c r="A3194">
        <v>3193</v>
      </c>
      <c r="B3194">
        <v>13921</v>
      </c>
      <c r="C3194" t="s">
        <v>18</v>
      </c>
      <c r="D3194">
        <v>108440.29</v>
      </c>
      <c r="E3194" t="s">
        <v>24</v>
      </c>
      <c r="G3194" t="s">
        <v>17</v>
      </c>
      <c r="H3194" s="1">
        <v>45435</v>
      </c>
      <c r="J3194" t="str">
        <f t="shared" si="49"/>
        <v>May-2024</v>
      </c>
    </row>
    <row r="3195" spans="1:10">
      <c r="A3195">
        <v>3194</v>
      </c>
      <c r="B3195">
        <v>12714</v>
      </c>
      <c r="C3195" t="s">
        <v>18</v>
      </c>
      <c r="D3195">
        <v>21222.77</v>
      </c>
      <c r="E3195" t="s">
        <v>16</v>
      </c>
      <c r="F3195">
        <v>8</v>
      </c>
      <c r="G3195" t="s">
        <v>21</v>
      </c>
      <c r="H3195" s="1">
        <v>45299</v>
      </c>
      <c r="I3195" s="1">
        <v>45307</v>
      </c>
      <c r="J3195" t="str">
        <f t="shared" si="49"/>
        <v>Jan-2024</v>
      </c>
    </row>
    <row r="3196" spans="1:10">
      <c r="A3196">
        <v>3195</v>
      </c>
      <c r="B3196">
        <v>11347</v>
      </c>
      <c r="C3196" t="s">
        <v>18</v>
      </c>
      <c r="D3196">
        <v>60626.41</v>
      </c>
      <c r="E3196" t="s">
        <v>19</v>
      </c>
      <c r="F3196">
        <v>40</v>
      </c>
      <c r="G3196" t="s">
        <v>25</v>
      </c>
      <c r="H3196" s="1">
        <v>45458</v>
      </c>
      <c r="I3196" s="1">
        <v>45498</v>
      </c>
      <c r="J3196" t="str">
        <f t="shared" si="49"/>
        <v>Jun-2024</v>
      </c>
    </row>
    <row r="3197" spans="1:10">
      <c r="A3197">
        <v>3196</v>
      </c>
      <c r="B3197">
        <v>15008</v>
      </c>
      <c r="C3197" t="s">
        <v>23</v>
      </c>
      <c r="D3197">
        <v>106472.58</v>
      </c>
      <c r="E3197" t="s">
        <v>19</v>
      </c>
      <c r="F3197">
        <v>4</v>
      </c>
      <c r="G3197" t="s">
        <v>20</v>
      </c>
      <c r="H3197" s="1">
        <v>45578</v>
      </c>
      <c r="I3197" s="1">
        <v>45582</v>
      </c>
      <c r="J3197" t="str">
        <f t="shared" si="49"/>
        <v>Oct-2024</v>
      </c>
    </row>
    <row r="3198" spans="1:10">
      <c r="A3198">
        <v>3197</v>
      </c>
      <c r="B3198">
        <v>16085</v>
      </c>
      <c r="C3198" t="s">
        <v>23</v>
      </c>
      <c r="D3198">
        <v>171208.27</v>
      </c>
      <c r="E3198" t="s">
        <v>24</v>
      </c>
      <c r="G3198" t="s">
        <v>20</v>
      </c>
      <c r="H3198" s="1">
        <v>45559</v>
      </c>
      <c r="J3198" t="str">
        <f t="shared" si="49"/>
        <v>Sep-2024</v>
      </c>
    </row>
    <row r="3199" spans="1:10">
      <c r="A3199">
        <v>3198</v>
      </c>
      <c r="B3199">
        <v>18169</v>
      </c>
      <c r="C3199" t="s">
        <v>23</v>
      </c>
      <c r="D3199">
        <v>142970.01</v>
      </c>
      <c r="E3199" t="s">
        <v>16</v>
      </c>
      <c r="F3199">
        <v>10</v>
      </c>
      <c r="G3199" t="s">
        <v>21</v>
      </c>
      <c r="H3199" s="1">
        <v>45580</v>
      </c>
      <c r="I3199" s="1">
        <v>45590</v>
      </c>
      <c r="J3199" t="str">
        <f t="shared" si="49"/>
        <v>Oct-2024</v>
      </c>
    </row>
    <row r="3200" spans="1:10">
      <c r="A3200">
        <v>3199</v>
      </c>
      <c r="B3200">
        <v>14868</v>
      </c>
      <c r="C3200" t="s">
        <v>22</v>
      </c>
      <c r="D3200">
        <v>126267.22</v>
      </c>
      <c r="E3200" t="s">
        <v>19</v>
      </c>
      <c r="F3200">
        <v>41</v>
      </c>
      <c r="G3200" t="s">
        <v>21</v>
      </c>
      <c r="H3200" s="1">
        <v>45477</v>
      </c>
      <c r="I3200" s="1">
        <v>45518</v>
      </c>
      <c r="J3200" t="str">
        <f t="shared" si="49"/>
        <v>Jul-2024</v>
      </c>
    </row>
    <row r="3201" spans="1:10">
      <c r="A3201">
        <v>3200</v>
      </c>
      <c r="B3201">
        <v>13960</v>
      </c>
      <c r="C3201" t="s">
        <v>23</v>
      </c>
      <c r="D3201">
        <v>101726.41</v>
      </c>
      <c r="E3201" t="s">
        <v>16</v>
      </c>
      <c r="F3201">
        <v>36</v>
      </c>
      <c r="G3201" t="s">
        <v>20</v>
      </c>
      <c r="H3201" s="1">
        <v>45303</v>
      </c>
      <c r="I3201" s="1">
        <v>45339</v>
      </c>
      <c r="J3201" t="str">
        <f t="shared" si="49"/>
        <v>Jan-2024</v>
      </c>
    </row>
    <row r="3202" spans="1:10">
      <c r="A3202">
        <v>3201</v>
      </c>
      <c r="B3202">
        <v>19944</v>
      </c>
      <c r="C3202" t="s">
        <v>23</v>
      </c>
      <c r="D3202">
        <v>63243.38</v>
      </c>
      <c r="E3202" t="s">
        <v>16</v>
      </c>
      <c r="F3202">
        <v>27</v>
      </c>
      <c r="G3202" t="s">
        <v>17</v>
      </c>
      <c r="H3202" s="1">
        <v>45572</v>
      </c>
      <c r="I3202" s="1">
        <v>45599</v>
      </c>
      <c r="J3202" t="str">
        <f t="shared" si="49"/>
        <v>Oct-2024</v>
      </c>
    </row>
    <row r="3203" spans="1:10">
      <c r="A3203">
        <v>3202</v>
      </c>
      <c r="B3203">
        <v>12505</v>
      </c>
      <c r="C3203" t="s">
        <v>23</v>
      </c>
      <c r="D3203">
        <v>28252.76</v>
      </c>
      <c r="E3203" t="s">
        <v>16</v>
      </c>
      <c r="F3203">
        <v>6</v>
      </c>
      <c r="G3203" t="s">
        <v>21</v>
      </c>
      <c r="H3203" s="1">
        <v>45595</v>
      </c>
      <c r="I3203" s="1">
        <v>45601</v>
      </c>
      <c r="J3203" t="str">
        <f t="shared" ref="J3203:J3266" si="50">TEXT(H3203,"mmm-yyyy")</f>
        <v>Oct-2024</v>
      </c>
    </row>
    <row r="3204" spans="1:10">
      <c r="A3204">
        <v>3203</v>
      </c>
      <c r="B3204">
        <v>15096</v>
      </c>
      <c r="C3204" t="s">
        <v>18</v>
      </c>
      <c r="D3204">
        <v>84769.83</v>
      </c>
      <c r="E3204" t="s">
        <v>16</v>
      </c>
      <c r="F3204">
        <v>14</v>
      </c>
      <c r="G3204" t="s">
        <v>20</v>
      </c>
      <c r="H3204" s="1">
        <v>45374</v>
      </c>
      <c r="I3204" s="1">
        <v>45388</v>
      </c>
      <c r="J3204" t="str">
        <f t="shared" si="50"/>
        <v>Mar-2024</v>
      </c>
    </row>
    <row r="3205" spans="1:10">
      <c r="A3205">
        <v>3204</v>
      </c>
      <c r="B3205">
        <v>17375</v>
      </c>
      <c r="C3205" t="s">
        <v>23</v>
      </c>
      <c r="D3205">
        <v>10561.11</v>
      </c>
      <c r="E3205" t="s">
        <v>24</v>
      </c>
      <c r="G3205" t="s">
        <v>21</v>
      </c>
      <c r="H3205" s="1">
        <v>45346</v>
      </c>
      <c r="J3205" t="str">
        <f t="shared" si="50"/>
        <v>Feb-2024</v>
      </c>
    </row>
    <row r="3206" spans="1:10">
      <c r="A3206">
        <v>3205</v>
      </c>
      <c r="B3206">
        <v>11737</v>
      </c>
      <c r="C3206" t="s">
        <v>22</v>
      </c>
      <c r="D3206">
        <v>46155.9</v>
      </c>
      <c r="E3206" t="s">
        <v>16</v>
      </c>
      <c r="F3206">
        <v>41</v>
      </c>
      <c r="G3206" t="s">
        <v>17</v>
      </c>
      <c r="H3206" s="1">
        <v>45422</v>
      </c>
      <c r="I3206" s="1">
        <v>45463</v>
      </c>
      <c r="J3206" t="str">
        <f t="shared" si="50"/>
        <v>May-2024</v>
      </c>
    </row>
    <row r="3207" spans="1:10">
      <c r="A3207">
        <v>3206</v>
      </c>
      <c r="B3207">
        <v>11108</v>
      </c>
      <c r="C3207" t="s">
        <v>23</v>
      </c>
      <c r="D3207">
        <v>89334.26</v>
      </c>
      <c r="E3207" t="s">
        <v>16</v>
      </c>
      <c r="F3207">
        <v>40</v>
      </c>
      <c r="G3207" t="s">
        <v>25</v>
      </c>
      <c r="H3207" s="1">
        <v>45416</v>
      </c>
      <c r="I3207" s="1">
        <v>45456</v>
      </c>
      <c r="J3207" t="str">
        <f t="shared" si="50"/>
        <v>May-2024</v>
      </c>
    </row>
    <row r="3208" spans="1:10">
      <c r="A3208">
        <v>3207</v>
      </c>
      <c r="B3208">
        <v>12679</v>
      </c>
      <c r="C3208" t="s">
        <v>15</v>
      </c>
      <c r="D3208">
        <v>86628.01</v>
      </c>
      <c r="E3208" t="s">
        <v>16</v>
      </c>
      <c r="F3208">
        <v>11</v>
      </c>
      <c r="G3208" t="s">
        <v>21</v>
      </c>
      <c r="H3208" s="1">
        <v>45616</v>
      </c>
      <c r="I3208" s="1">
        <v>45627</v>
      </c>
      <c r="J3208" t="str">
        <f t="shared" si="50"/>
        <v>Nov-2024</v>
      </c>
    </row>
    <row r="3209" spans="1:10">
      <c r="A3209">
        <v>3208</v>
      </c>
      <c r="B3209">
        <v>11037</v>
      </c>
      <c r="C3209" t="s">
        <v>23</v>
      </c>
      <c r="D3209">
        <v>13637.61</v>
      </c>
      <c r="E3209" t="s">
        <v>16</v>
      </c>
      <c r="F3209">
        <v>43</v>
      </c>
      <c r="G3209" t="s">
        <v>17</v>
      </c>
      <c r="H3209" s="1">
        <v>45342</v>
      </c>
      <c r="I3209" s="1">
        <v>45385</v>
      </c>
      <c r="J3209" t="str">
        <f t="shared" si="50"/>
        <v>Feb-2024</v>
      </c>
    </row>
    <row r="3210" spans="1:10">
      <c r="A3210">
        <v>3209</v>
      </c>
      <c r="B3210">
        <v>15760</v>
      </c>
      <c r="C3210" t="s">
        <v>18</v>
      </c>
      <c r="D3210">
        <v>119866.73</v>
      </c>
      <c r="E3210" t="s">
        <v>16</v>
      </c>
      <c r="F3210">
        <v>24</v>
      </c>
      <c r="G3210" t="s">
        <v>20</v>
      </c>
      <c r="H3210" s="1">
        <v>45318</v>
      </c>
      <c r="I3210" s="1">
        <v>45342</v>
      </c>
      <c r="J3210" t="str">
        <f t="shared" si="50"/>
        <v>Jan-2024</v>
      </c>
    </row>
    <row r="3211" spans="1:10">
      <c r="A3211">
        <v>3210</v>
      </c>
      <c r="B3211">
        <v>19103</v>
      </c>
      <c r="C3211" t="s">
        <v>22</v>
      </c>
      <c r="D3211">
        <v>112188.43</v>
      </c>
      <c r="E3211" t="s">
        <v>16</v>
      </c>
      <c r="F3211">
        <v>12</v>
      </c>
      <c r="G3211" t="s">
        <v>21</v>
      </c>
      <c r="H3211" s="1">
        <v>45456</v>
      </c>
      <c r="I3211" s="1">
        <v>45468</v>
      </c>
      <c r="J3211" t="str">
        <f t="shared" si="50"/>
        <v>Jun-2024</v>
      </c>
    </row>
    <row r="3212" spans="1:10">
      <c r="A3212">
        <v>3211</v>
      </c>
      <c r="B3212">
        <v>12096</v>
      </c>
      <c r="C3212" t="s">
        <v>23</v>
      </c>
      <c r="D3212">
        <v>20230.34</v>
      </c>
      <c r="E3212" t="s">
        <v>16</v>
      </c>
      <c r="F3212">
        <v>13</v>
      </c>
      <c r="G3212" t="s">
        <v>21</v>
      </c>
      <c r="H3212" s="1">
        <v>45572</v>
      </c>
      <c r="I3212" s="1">
        <v>45585</v>
      </c>
      <c r="J3212" t="str">
        <f t="shared" si="50"/>
        <v>Oct-2024</v>
      </c>
    </row>
    <row r="3213" spans="1:10">
      <c r="A3213">
        <v>3212</v>
      </c>
      <c r="B3213">
        <v>10358</v>
      </c>
      <c r="C3213" t="s">
        <v>22</v>
      </c>
      <c r="D3213">
        <v>188916.8</v>
      </c>
      <c r="E3213" t="s">
        <v>16</v>
      </c>
      <c r="F3213">
        <v>14</v>
      </c>
      <c r="G3213" t="s">
        <v>20</v>
      </c>
      <c r="H3213" s="1">
        <v>45324</v>
      </c>
      <c r="I3213" s="1">
        <v>45338</v>
      </c>
      <c r="J3213" t="str">
        <f t="shared" si="50"/>
        <v>Feb-2024</v>
      </c>
    </row>
    <row r="3214" spans="1:10">
      <c r="A3214">
        <v>3213</v>
      </c>
      <c r="B3214">
        <v>15953</v>
      </c>
      <c r="C3214" t="s">
        <v>23</v>
      </c>
      <c r="D3214">
        <v>24379.64</v>
      </c>
      <c r="E3214" t="s">
        <v>24</v>
      </c>
      <c r="G3214" t="s">
        <v>25</v>
      </c>
      <c r="H3214" s="1">
        <v>45353</v>
      </c>
      <c r="J3214" t="str">
        <f t="shared" si="50"/>
        <v>Mar-2024</v>
      </c>
    </row>
    <row r="3215" spans="1:10">
      <c r="A3215">
        <v>3214</v>
      </c>
      <c r="B3215">
        <v>11076</v>
      </c>
      <c r="C3215" t="s">
        <v>22</v>
      </c>
      <c r="D3215">
        <v>171692.66</v>
      </c>
      <c r="E3215" t="s">
        <v>19</v>
      </c>
      <c r="F3215">
        <v>17</v>
      </c>
      <c r="G3215" t="s">
        <v>20</v>
      </c>
      <c r="H3215" s="1">
        <v>45436</v>
      </c>
      <c r="I3215" s="1">
        <v>45453</v>
      </c>
      <c r="J3215" t="str">
        <f t="shared" si="50"/>
        <v>May-2024</v>
      </c>
    </row>
    <row r="3216" spans="1:10">
      <c r="A3216">
        <v>3215</v>
      </c>
      <c r="B3216">
        <v>17236</v>
      </c>
      <c r="C3216" t="s">
        <v>18</v>
      </c>
      <c r="D3216">
        <v>5060.3999999999996</v>
      </c>
      <c r="E3216" t="s">
        <v>24</v>
      </c>
      <c r="G3216" t="s">
        <v>21</v>
      </c>
      <c r="H3216" s="1">
        <v>45462</v>
      </c>
      <c r="J3216" t="str">
        <f t="shared" si="50"/>
        <v>Jun-2024</v>
      </c>
    </row>
    <row r="3217" spans="1:10">
      <c r="A3217">
        <v>3216</v>
      </c>
      <c r="B3217">
        <v>15671</v>
      </c>
      <c r="C3217" t="s">
        <v>23</v>
      </c>
      <c r="D3217">
        <v>177044.81</v>
      </c>
      <c r="E3217" t="s">
        <v>16</v>
      </c>
      <c r="F3217">
        <v>11</v>
      </c>
      <c r="G3217" t="s">
        <v>20</v>
      </c>
      <c r="H3217" s="1">
        <v>45577</v>
      </c>
      <c r="I3217" s="1">
        <v>45588</v>
      </c>
      <c r="J3217" t="str">
        <f t="shared" si="50"/>
        <v>Oct-2024</v>
      </c>
    </row>
    <row r="3218" spans="1:10">
      <c r="A3218">
        <v>3217</v>
      </c>
      <c r="B3218">
        <v>15815</v>
      </c>
      <c r="C3218" t="s">
        <v>23</v>
      </c>
      <c r="D3218">
        <v>8845.35</v>
      </c>
      <c r="E3218" t="s">
        <v>16</v>
      </c>
      <c r="F3218">
        <v>30</v>
      </c>
      <c r="G3218" t="s">
        <v>17</v>
      </c>
      <c r="H3218" s="1">
        <v>45588</v>
      </c>
      <c r="I3218" s="1">
        <v>45618</v>
      </c>
      <c r="J3218" t="str">
        <f t="shared" si="50"/>
        <v>Oct-2024</v>
      </c>
    </row>
    <row r="3219" spans="1:10">
      <c r="A3219">
        <v>3218</v>
      </c>
      <c r="B3219">
        <v>15764</v>
      </c>
      <c r="C3219" t="s">
        <v>23</v>
      </c>
      <c r="D3219">
        <v>152773.35</v>
      </c>
      <c r="E3219" t="s">
        <v>16</v>
      </c>
      <c r="F3219">
        <v>10</v>
      </c>
      <c r="G3219" t="s">
        <v>20</v>
      </c>
      <c r="H3219" s="1">
        <v>45408</v>
      </c>
      <c r="I3219" s="1">
        <v>45418</v>
      </c>
      <c r="J3219" t="str">
        <f t="shared" si="50"/>
        <v>Apr-2024</v>
      </c>
    </row>
    <row r="3220" spans="1:10">
      <c r="A3220">
        <v>3219</v>
      </c>
      <c r="B3220">
        <v>14974</v>
      </c>
      <c r="C3220" t="s">
        <v>23</v>
      </c>
      <c r="D3220">
        <v>75529.710000000006</v>
      </c>
      <c r="E3220" t="s">
        <v>16</v>
      </c>
      <c r="F3220">
        <v>34</v>
      </c>
      <c r="G3220" t="s">
        <v>21</v>
      </c>
      <c r="H3220" s="1">
        <v>45295</v>
      </c>
      <c r="I3220" s="1">
        <v>45329</v>
      </c>
      <c r="J3220" t="str">
        <f t="shared" si="50"/>
        <v>Jan-2024</v>
      </c>
    </row>
    <row r="3221" spans="1:10">
      <c r="A3221">
        <v>3220</v>
      </c>
      <c r="B3221">
        <v>13527</v>
      </c>
      <c r="C3221" t="s">
        <v>23</v>
      </c>
      <c r="D3221">
        <v>148952.28</v>
      </c>
      <c r="E3221" t="s">
        <v>16</v>
      </c>
      <c r="F3221">
        <v>25</v>
      </c>
      <c r="G3221" t="s">
        <v>20</v>
      </c>
      <c r="H3221" s="1">
        <v>45357</v>
      </c>
      <c r="I3221" s="1">
        <v>45382</v>
      </c>
      <c r="J3221" t="str">
        <f t="shared" si="50"/>
        <v>Mar-2024</v>
      </c>
    </row>
    <row r="3222" spans="1:10">
      <c r="A3222">
        <v>3221</v>
      </c>
      <c r="B3222">
        <v>12302</v>
      </c>
      <c r="C3222" t="s">
        <v>23</v>
      </c>
      <c r="D3222">
        <v>83340.320000000007</v>
      </c>
      <c r="E3222" t="s">
        <v>16</v>
      </c>
      <c r="F3222">
        <v>36</v>
      </c>
      <c r="G3222" t="s">
        <v>25</v>
      </c>
      <c r="H3222" s="1">
        <v>45351</v>
      </c>
      <c r="I3222" s="1">
        <v>45387</v>
      </c>
      <c r="J3222" t="str">
        <f t="shared" si="50"/>
        <v>Feb-2024</v>
      </c>
    </row>
    <row r="3223" spans="1:10">
      <c r="A3223">
        <v>3222</v>
      </c>
      <c r="B3223">
        <v>19796</v>
      </c>
      <c r="C3223" t="s">
        <v>23</v>
      </c>
      <c r="D3223">
        <v>18827.04</v>
      </c>
      <c r="E3223" t="s">
        <v>16</v>
      </c>
      <c r="F3223">
        <v>12</v>
      </c>
      <c r="G3223" t="s">
        <v>20</v>
      </c>
      <c r="H3223" s="1">
        <v>45578</v>
      </c>
      <c r="I3223" s="1">
        <v>45590</v>
      </c>
      <c r="J3223" t="str">
        <f t="shared" si="50"/>
        <v>Oct-2024</v>
      </c>
    </row>
    <row r="3224" spans="1:10">
      <c r="A3224">
        <v>3223</v>
      </c>
      <c r="B3224">
        <v>11075</v>
      </c>
      <c r="C3224" t="s">
        <v>18</v>
      </c>
      <c r="D3224">
        <v>154663.81</v>
      </c>
      <c r="E3224" t="s">
        <v>16</v>
      </c>
      <c r="F3224">
        <v>40</v>
      </c>
      <c r="G3224" t="s">
        <v>25</v>
      </c>
      <c r="H3224" s="1">
        <v>45636</v>
      </c>
      <c r="I3224" s="1">
        <v>45676</v>
      </c>
      <c r="J3224" t="str">
        <f t="shared" si="50"/>
        <v>Dec-2024</v>
      </c>
    </row>
    <row r="3225" spans="1:10">
      <c r="A3225">
        <v>3224</v>
      </c>
      <c r="B3225">
        <v>14048</v>
      </c>
      <c r="C3225" t="s">
        <v>23</v>
      </c>
      <c r="D3225">
        <v>18894.27</v>
      </c>
      <c r="E3225" t="s">
        <v>19</v>
      </c>
      <c r="F3225">
        <v>14</v>
      </c>
      <c r="G3225" t="s">
        <v>17</v>
      </c>
      <c r="H3225" s="1">
        <v>45520</v>
      </c>
      <c r="I3225" s="1">
        <v>45534</v>
      </c>
      <c r="J3225" t="str">
        <f t="shared" si="50"/>
        <v>Aug-2024</v>
      </c>
    </row>
    <row r="3226" spans="1:10">
      <c r="A3226">
        <v>3225</v>
      </c>
      <c r="B3226">
        <v>10328</v>
      </c>
      <c r="C3226" t="s">
        <v>23</v>
      </c>
      <c r="D3226">
        <v>184813.49</v>
      </c>
      <c r="E3226" t="s">
        <v>16</v>
      </c>
      <c r="F3226">
        <v>24</v>
      </c>
      <c r="G3226" t="s">
        <v>25</v>
      </c>
      <c r="H3226" s="1">
        <v>45391</v>
      </c>
      <c r="I3226" s="1">
        <v>45415</v>
      </c>
      <c r="J3226" t="str">
        <f t="shared" si="50"/>
        <v>Apr-2024</v>
      </c>
    </row>
    <row r="3227" spans="1:10">
      <c r="A3227">
        <v>3226</v>
      </c>
      <c r="B3227">
        <v>13477</v>
      </c>
      <c r="C3227" t="s">
        <v>18</v>
      </c>
      <c r="D3227">
        <v>14939.94</v>
      </c>
      <c r="E3227" t="s">
        <v>16</v>
      </c>
      <c r="F3227">
        <v>26</v>
      </c>
      <c r="G3227" t="s">
        <v>20</v>
      </c>
      <c r="H3227" s="1">
        <v>45410</v>
      </c>
      <c r="I3227" s="1">
        <v>45436</v>
      </c>
      <c r="J3227" t="str">
        <f t="shared" si="50"/>
        <v>Apr-2024</v>
      </c>
    </row>
    <row r="3228" spans="1:10">
      <c r="A3228">
        <v>3227</v>
      </c>
      <c r="B3228">
        <v>17124</v>
      </c>
      <c r="C3228" t="s">
        <v>23</v>
      </c>
      <c r="D3228">
        <v>98468.43</v>
      </c>
      <c r="E3228" t="s">
        <v>16</v>
      </c>
      <c r="F3228">
        <v>17</v>
      </c>
      <c r="G3228" t="s">
        <v>21</v>
      </c>
      <c r="H3228" s="1">
        <v>45360</v>
      </c>
      <c r="I3228" s="1">
        <v>45377</v>
      </c>
      <c r="J3228" t="str">
        <f t="shared" si="50"/>
        <v>Mar-2024</v>
      </c>
    </row>
    <row r="3229" spans="1:10">
      <c r="A3229">
        <v>3228</v>
      </c>
      <c r="B3229">
        <v>11002</v>
      </c>
      <c r="C3229" t="s">
        <v>23</v>
      </c>
      <c r="D3229">
        <v>145991.71</v>
      </c>
      <c r="E3229" t="s">
        <v>16</v>
      </c>
      <c r="F3229">
        <v>22</v>
      </c>
      <c r="G3229" t="s">
        <v>25</v>
      </c>
      <c r="H3229" s="1">
        <v>45443</v>
      </c>
      <c r="I3229" s="1">
        <v>45465</v>
      </c>
      <c r="J3229" t="str">
        <f t="shared" si="50"/>
        <v>May-2024</v>
      </c>
    </row>
    <row r="3230" spans="1:10">
      <c r="A3230">
        <v>3229</v>
      </c>
      <c r="B3230">
        <v>18768</v>
      </c>
      <c r="C3230" t="s">
        <v>23</v>
      </c>
      <c r="D3230">
        <v>81683.06</v>
      </c>
      <c r="E3230" t="s">
        <v>16</v>
      </c>
      <c r="F3230">
        <v>11</v>
      </c>
      <c r="G3230" t="s">
        <v>17</v>
      </c>
      <c r="H3230" s="1">
        <v>45571</v>
      </c>
      <c r="I3230" s="1">
        <v>45582</v>
      </c>
      <c r="J3230" t="str">
        <f t="shared" si="50"/>
        <v>Oct-2024</v>
      </c>
    </row>
    <row r="3231" spans="1:10">
      <c r="A3231">
        <v>3230</v>
      </c>
      <c r="B3231">
        <v>18518</v>
      </c>
      <c r="C3231" t="s">
        <v>22</v>
      </c>
      <c r="D3231">
        <v>47360.53</v>
      </c>
      <c r="E3231" t="s">
        <v>16</v>
      </c>
      <c r="F3231">
        <v>42</v>
      </c>
      <c r="G3231" t="s">
        <v>25</v>
      </c>
      <c r="H3231" s="1">
        <v>45512</v>
      </c>
      <c r="I3231" s="1">
        <v>45554</v>
      </c>
      <c r="J3231" t="str">
        <f t="shared" si="50"/>
        <v>Aug-2024</v>
      </c>
    </row>
    <row r="3232" spans="1:10">
      <c r="A3232">
        <v>3231</v>
      </c>
      <c r="B3232">
        <v>16386</v>
      </c>
      <c r="C3232" t="s">
        <v>15</v>
      </c>
      <c r="D3232">
        <v>153022.74</v>
      </c>
      <c r="E3232" t="s">
        <v>16</v>
      </c>
      <c r="F3232">
        <v>41</v>
      </c>
      <c r="G3232" t="s">
        <v>25</v>
      </c>
      <c r="H3232" s="1">
        <v>45514</v>
      </c>
      <c r="I3232" s="1">
        <v>45555</v>
      </c>
      <c r="J3232" t="str">
        <f t="shared" si="50"/>
        <v>Aug-2024</v>
      </c>
    </row>
    <row r="3233" spans="1:10">
      <c r="A3233">
        <v>3232</v>
      </c>
      <c r="B3233">
        <v>19719</v>
      </c>
      <c r="C3233" t="s">
        <v>23</v>
      </c>
      <c r="D3233">
        <v>157937.47</v>
      </c>
      <c r="E3233" t="s">
        <v>19</v>
      </c>
      <c r="F3233">
        <v>20</v>
      </c>
      <c r="G3233" t="s">
        <v>25</v>
      </c>
      <c r="H3233" s="1">
        <v>45456</v>
      </c>
      <c r="I3233" s="1">
        <v>45476</v>
      </c>
      <c r="J3233" t="str">
        <f t="shared" si="50"/>
        <v>Jun-2024</v>
      </c>
    </row>
    <row r="3234" spans="1:10">
      <c r="A3234">
        <v>3233</v>
      </c>
      <c r="B3234">
        <v>12821</v>
      </c>
      <c r="C3234" t="s">
        <v>18</v>
      </c>
      <c r="D3234">
        <v>184925.52</v>
      </c>
      <c r="E3234" t="s">
        <v>19</v>
      </c>
      <c r="F3234">
        <v>36</v>
      </c>
      <c r="G3234" t="s">
        <v>17</v>
      </c>
      <c r="H3234" s="1">
        <v>45502</v>
      </c>
      <c r="I3234" s="1">
        <v>45538</v>
      </c>
      <c r="J3234" t="str">
        <f t="shared" si="50"/>
        <v>Jul-2024</v>
      </c>
    </row>
    <row r="3235" spans="1:10">
      <c r="A3235">
        <v>3234</v>
      </c>
      <c r="B3235">
        <v>19657</v>
      </c>
      <c r="C3235" t="s">
        <v>18</v>
      </c>
      <c r="D3235">
        <v>78352.2</v>
      </c>
      <c r="E3235" t="s">
        <v>16</v>
      </c>
      <c r="F3235">
        <v>29</v>
      </c>
      <c r="G3235" t="s">
        <v>20</v>
      </c>
      <c r="H3235" s="1">
        <v>45570</v>
      </c>
      <c r="I3235" s="1">
        <v>45599</v>
      </c>
      <c r="J3235" t="str">
        <f t="shared" si="50"/>
        <v>Oct-2024</v>
      </c>
    </row>
    <row r="3236" spans="1:10">
      <c r="A3236">
        <v>3235</v>
      </c>
      <c r="B3236">
        <v>12380</v>
      </c>
      <c r="C3236" t="s">
        <v>18</v>
      </c>
      <c r="D3236">
        <v>103719.09</v>
      </c>
      <c r="E3236" t="s">
        <v>16</v>
      </c>
      <c r="F3236">
        <v>42</v>
      </c>
      <c r="G3236" t="s">
        <v>25</v>
      </c>
      <c r="H3236" s="1">
        <v>45354</v>
      </c>
      <c r="I3236" s="1">
        <v>45396</v>
      </c>
      <c r="J3236" t="str">
        <f t="shared" si="50"/>
        <v>Mar-2024</v>
      </c>
    </row>
    <row r="3237" spans="1:10">
      <c r="A3237">
        <v>3236</v>
      </c>
      <c r="B3237">
        <v>18686</v>
      </c>
      <c r="C3237" t="s">
        <v>18</v>
      </c>
      <c r="D3237">
        <v>75810.05</v>
      </c>
      <c r="E3237" t="s">
        <v>16</v>
      </c>
      <c r="F3237">
        <v>3</v>
      </c>
      <c r="G3237" t="s">
        <v>25</v>
      </c>
      <c r="H3237" s="1">
        <v>45553</v>
      </c>
      <c r="I3237" s="1">
        <v>45556</v>
      </c>
      <c r="J3237" t="str">
        <f t="shared" si="50"/>
        <v>Sep-2024</v>
      </c>
    </row>
    <row r="3238" spans="1:10">
      <c r="A3238">
        <v>3237</v>
      </c>
      <c r="B3238">
        <v>19330</v>
      </c>
      <c r="C3238" t="s">
        <v>18</v>
      </c>
      <c r="D3238">
        <v>55130.96</v>
      </c>
      <c r="E3238" t="s">
        <v>19</v>
      </c>
      <c r="F3238">
        <v>31</v>
      </c>
      <c r="G3238" t="s">
        <v>21</v>
      </c>
      <c r="H3238" s="1">
        <v>45297</v>
      </c>
      <c r="I3238" s="1">
        <v>45328</v>
      </c>
      <c r="J3238" t="str">
        <f t="shared" si="50"/>
        <v>Jan-2024</v>
      </c>
    </row>
    <row r="3239" spans="1:10">
      <c r="A3239">
        <v>3238</v>
      </c>
      <c r="B3239">
        <v>12416</v>
      </c>
      <c r="C3239" t="s">
        <v>23</v>
      </c>
      <c r="D3239">
        <v>151451.43</v>
      </c>
      <c r="E3239" t="s">
        <v>16</v>
      </c>
      <c r="F3239">
        <v>41</v>
      </c>
      <c r="G3239" t="s">
        <v>17</v>
      </c>
      <c r="H3239" s="1">
        <v>45539</v>
      </c>
      <c r="I3239" s="1">
        <v>45580</v>
      </c>
      <c r="J3239" t="str">
        <f t="shared" si="50"/>
        <v>Sep-2024</v>
      </c>
    </row>
    <row r="3240" spans="1:10">
      <c r="A3240">
        <v>3239</v>
      </c>
      <c r="B3240">
        <v>19548</v>
      </c>
      <c r="C3240" t="s">
        <v>23</v>
      </c>
      <c r="D3240">
        <v>71232.11</v>
      </c>
      <c r="E3240" t="s">
        <v>16</v>
      </c>
      <c r="F3240">
        <v>41</v>
      </c>
      <c r="G3240" t="s">
        <v>25</v>
      </c>
      <c r="H3240" s="1">
        <v>45520</v>
      </c>
      <c r="I3240" s="1">
        <v>45561</v>
      </c>
      <c r="J3240" t="str">
        <f t="shared" si="50"/>
        <v>Aug-2024</v>
      </c>
    </row>
    <row r="3241" spans="1:10">
      <c r="A3241">
        <v>3240</v>
      </c>
      <c r="B3241">
        <v>19345</v>
      </c>
      <c r="C3241" t="s">
        <v>23</v>
      </c>
      <c r="D3241">
        <v>88489.14</v>
      </c>
      <c r="E3241" t="s">
        <v>16</v>
      </c>
      <c r="F3241">
        <v>6</v>
      </c>
      <c r="G3241" t="s">
        <v>17</v>
      </c>
      <c r="H3241" s="1">
        <v>45577</v>
      </c>
      <c r="I3241" s="1">
        <v>45583</v>
      </c>
      <c r="J3241" t="str">
        <f t="shared" si="50"/>
        <v>Oct-2024</v>
      </c>
    </row>
    <row r="3242" spans="1:10">
      <c r="A3242">
        <v>3241</v>
      </c>
      <c r="B3242">
        <v>13249</v>
      </c>
      <c r="C3242" t="s">
        <v>15</v>
      </c>
      <c r="D3242">
        <v>83716.36</v>
      </c>
      <c r="E3242" t="s">
        <v>16</v>
      </c>
      <c r="F3242">
        <v>39</v>
      </c>
      <c r="G3242" t="s">
        <v>25</v>
      </c>
      <c r="H3242" s="1">
        <v>45548</v>
      </c>
      <c r="I3242" s="1">
        <v>45587</v>
      </c>
      <c r="J3242" t="str">
        <f t="shared" si="50"/>
        <v>Sep-2024</v>
      </c>
    </row>
    <row r="3243" spans="1:10">
      <c r="A3243">
        <v>3242</v>
      </c>
      <c r="B3243">
        <v>12142</v>
      </c>
      <c r="C3243" t="s">
        <v>18</v>
      </c>
      <c r="D3243">
        <v>143968.94</v>
      </c>
      <c r="E3243" t="s">
        <v>19</v>
      </c>
      <c r="F3243">
        <v>43</v>
      </c>
      <c r="G3243" t="s">
        <v>20</v>
      </c>
      <c r="H3243" s="1">
        <v>45354</v>
      </c>
      <c r="I3243" s="1">
        <v>45397</v>
      </c>
      <c r="J3243" t="str">
        <f t="shared" si="50"/>
        <v>Mar-2024</v>
      </c>
    </row>
    <row r="3244" spans="1:10">
      <c r="A3244">
        <v>3243</v>
      </c>
      <c r="B3244">
        <v>13388</v>
      </c>
      <c r="C3244" t="s">
        <v>15</v>
      </c>
      <c r="D3244">
        <v>183970.15</v>
      </c>
      <c r="E3244" t="s">
        <v>16</v>
      </c>
      <c r="F3244">
        <v>16</v>
      </c>
      <c r="G3244" t="s">
        <v>20</v>
      </c>
      <c r="H3244" s="1">
        <v>45319</v>
      </c>
      <c r="I3244" s="1">
        <v>45335</v>
      </c>
      <c r="J3244" t="str">
        <f t="shared" si="50"/>
        <v>Jan-2024</v>
      </c>
    </row>
    <row r="3245" spans="1:10">
      <c r="A3245">
        <v>3244</v>
      </c>
      <c r="B3245">
        <v>19316</v>
      </c>
      <c r="C3245" t="s">
        <v>22</v>
      </c>
      <c r="D3245">
        <v>135017.43</v>
      </c>
      <c r="E3245" t="s">
        <v>16</v>
      </c>
      <c r="F3245">
        <v>37</v>
      </c>
      <c r="G3245" t="s">
        <v>25</v>
      </c>
      <c r="H3245" s="1">
        <v>45636</v>
      </c>
      <c r="I3245" s="1">
        <v>45673</v>
      </c>
      <c r="J3245" t="str">
        <f t="shared" si="50"/>
        <v>Dec-2024</v>
      </c>
    </row>
    <row r="3246" spans="1:10">
      <c r="A3246">
        <v>3245</v>
      </c>
      <c r="B3246">
        <v>15315</v>
      </c>
      <c r="C3246" t="s">
        <v>23</v>
      </c>
      <c r="D3246">
        <v>96958.61</v>
      </c>
      <c r="E3246" t="s">
        <v>16</v>
      </c>
      <c r="F3246">
        <v>4</v>
      </c>
      <c r="G3246" t="s">
        <v>20</v>
      </c>
      <c r="H3246" s="1">
        <v>45344</v>
      </c>
      <c r="I3246" s="1">
        <v>45348</v>
      </c>
      <c r="J3246" t="str">
        <f t="shared" si="50"/>
        <v>Feb-2024</v>
      </c>
    </row>
    <row r="3247" spans="1:10">
      <c r="A3247">
        <v>3246</v>
      </c>
      <c r="B3247">
        <v>18993</v>
      </c>
      <c r="C3247" t="s">
        <v>18</v>
      </c>
      <c r="D3247">
        <v>156945</v>
      </c>
      <c r="E3247" t="s">
        <v>16</v>
      </c>
      <c r="F3247">
        <v>25</v>
      </c>
      <c r="G3247" t="s">
        <v>25</v>
      </c>
      <c r="H3247" s="1">
        <v>45543</v>
      </c>
      <c r="I3247" s="1">
        <v>45568</v>
      </c>
      <c r="J3247" t="str">
        <f t="shared" si="50"/>
        <v>Sep-2024</v>
      </c>
    </row>
    <row r="3248" spans="1:10">
      <c r="A3248">
        <v>3247</v>
      </c>
      <c r="B3248">
        <v>10207</v>
      </c>
      <c r="C3248" t="s">
        <v>18</v>
      </c>
      <c r="D3248">
        <v>129989.41</v>
      </c>
      <c r="E3248" t="s">
        <v>19</v>
      </c>
      <c r="F3248">
        <v>42</v>
      </c>
      <c r="G3248" t="s">
        <v>20</v>
      </c>
      <c r="H3248" s="1">
        <v>45329</v>
      </c>
      <c r="I3248" s="1">
        <v>45371</v>
      </c>
      <c r="J3248" t="str">
        <f t="shared" si="50"/>
        <v>Feb-2024</v>
      </c>
    </row>
    <row r="3249" spans="1:10">
      <c r="A3249">
        <v>3248</v>
      </c>
      <c r="B3249">
        <v>18664</v>
      </c>
      <c r="C3249" t="s">
        <v>22</v>
      </c>
      <c r="D3249">
        <v>16819.02</v>
      </c>
      <c r="E3249" t="s">
        <v>19</v>
      </c>
      <c r="F3249">
        <v>42</v>
      </c>
      <c r="G3249" t="s">
        <v>21</v>
      </c>
      <c r="H3249" s="1">
        <v>45599</v>
      </c>
      <c r="I3249" s="1">
        <v>45641</v>
      </c>
      <c r="J3249" t="str">
        <f t="shared" si="50"/>
        <v>Nov-2024</v>
      </c>
    </row>
    <row r="3250" spans="1:10">
      <c r="A3250">
        <v>3249</v>
      </c>
      <c r="B3250">
        <v>11638</v>
      </c>
      <c r="C3250" t="s">
        <v>22</v>
      </c>
      <c r="D3250">
        <v>23654.400000000001</v>
      </c>
      <c r="E3250" t="s">
        <v>16</v>
      </c>
      <c r="F3250">
        <v>13</v>
      </c>
      <c r="G3250" t="s">
        <v>21</v>
      </c>
      <c r="H3250" s="1">
        <v>45625</v>
      </c>
      <c r="I3250" s="1">
        <v>45638</v>
      </c>
      <c r="J3250" t="str">
        <f t="shared" si="50"/>
        <v>Nov-2024</v>
      </c>
    </row>
    <row r="3251" spans="1:10">
      <c r="A3251">
        <v>3250</v>
      </c>
      <c r="B3251">
        <v>15127</v>
      </c>
      <c r="C3251" t="s">
        <v>18</v>
      </c>
      <c r="D3251">
        <v>12393.8</v>
      </c>
      <c r="E3251" t="s">
        <v>16</v>
      </c>
      <c r="F3251">
        <v>9</v>
      </c>
      <c r="G3251" t="s">
        <v>21</v>
      </c>
      <c r="H3251" s="1">
        <v>45430</v>
      </c>
      <c r="I3251" s="1">
        <v>45439</v>
      </c>
      <c r="J3251" t="str">
        <f t="shared" si="50"/>
        <v>May-2024</v>
      </c>
    </row>
    <row r="3252" spans="1:10">
      <c r="A3252">
        <v>3251</v>
      </c>
      <c r="B3252">
        <v>18327</v>
      </c>
      <c r="C3252" t="s">
        <v>23</v>
      </c>
      <c r="D3252">
        <v>94079.18</v>
      </c>
      <c r="E3252" t="s">
        <v>16</v>
      </c>
      <c r="F3252">
        <v>15</v>
      </c>
      <c r="G3252" t="s">
        <v>17</v>
      </c>
      <c r="H3252" s="1">
        <v>45344</v>
      </c>
      <c r="I3252" s="1">
        <v>45359</v>
      </c>
      <c r="J3252" t="str">
        <f t="shared" si="50"/>
        <v>Feb-2024</v>
      </c>
    </row>
    <row r="3253" spans="1:10">
      <c r="A3253">
        <v>3252</v>
      </c>
      <c r="B3253">
        <v>14356</v>
      </c>
      <c r="C3253" t="s">
        <v>18</v>
      </c>
      <c r="D3253">
        <v>166041.42000000001</v>
      </c>
      <c r="E3253" t="s">
        <v>16</v>
      </c>
      <c r="F3253">
        <v>19</v>
      </c>
      <c r="G3253" t="s">
        <v>17</v>
      </c>
      <c r="H3253" s="1">
        <v>45385</v>
      </c>
      <c r="I3253" s="1">
        <v>45404</v>
      </c>
      <c r="J3253" t="str">
        <f t="shared" si="50"/>
        <v>Apr-2024</v>
      </c>
    </row>
    <row r="3254" spans="1:10">
      <c r="A3254">
        <v>3253</v>
      </c>
      <c r="B3254">
        <v>19362</v>
      </c>
      <c r="C3254" t="s">
        <v>23</v>
      </c>
      <c r="D3254">
        <v>66051.22</v>
      </c>
      <c r="E3254" t="s">
        <v>16</v>
      </c>
      <c r="F3254">
        <v>21</v>
      </c>
      <c r="G3254" t="s">
        <v>21</v>
      </c>
      <c r="H3254" s="1">
        <v>45385</v>
      </c>
      <c r="I3254" s="1">
        <v>45406</v>
      </c>
      <c r="J3254" t="str">
        <f t="shared" si="50"/>
        <v>Apr-2024</v>
      </c>
    </row>
    <row r="3255" spans="1:10">
      <c r="A3255">
        <v>3254</v>
      </c>
      <c r="B3255">
        <v>18649</v>
      </c>
      <c r="C3255" t="s">
        <v>18</v>
      </c>
      <c r="D3255">
        <v>79911.240000000005</v>
      </c>
      <c r="E3255" t="s">
        <v>16</v>
      </c>
      <c r="F3255">
        <v>24</v>
      </c>
      <c r="G3255" t="s">
        <v>17</v>
      </c>
      <c r="H3255" s="1">
        <v>45554</v>
      </c>
      <c r="I3255" s="1">
        <v>45578</v>
      </c>
      <c r="J3255" t="str">
        <f t="shared" si="50"/>
        <v>Sep-2024</v>
      </c>
    </row>
    <row r="3256" spans="1:10">
      <c r="A3256">
        <v>3255</v>
      </c>
      <c r="B3256">
        <v>16024</v>
      </c>
      <c r="C3256" t="s">
        <v>22</v>
      </c>
      <c r="D3256">
        <v>182348.04</v>
      </c>
      <c r="E3256" t="s">
        <v>16</v>
      </c>
      <c r="F3256">
        <v>6</v>
      </c>
      <c r="G3256" t="s">
        <v>20</v>
      </c>
      <c r="H3256" s="1">
        <v>45614</v>
      </c>
      <c r="I3256" s="1">
        <v>45620</v>
      </c>
      <c r="J3256" t="str">
        <f t="shared" si="50"/>
        <v>Nov-2024</v>
      </c>
    </row>
    <row r="3257" spans="1:10">
      <c r="A3257">
        <v>3256</v>
      </c>
      <c r="B3257">
        <v>17605</v>
      </c>
      <c r="C3257" t="s">
        <v>23</v>
      </c>
      <c r="D3257">
        <v>168196.17</v>
      </c>
      <c r="E3257" t="s">
        <v>16</v>
      </c>
      <c r="F3257">
        <v>2</v>
      </c>
      <c r="G3257" t="s">
        <v>25</v>
      </c>
      <c r="H3257" s="1">
        <v>45428</v>
      </c>
      <c r="I3257" s="1">
        <v>45430</v>
      </c>
      <c r="J3257" t="str">
        <f t="shared" si="50"/>
        <v>May-2024</v>
      </c>
    </row>
    <row r="3258" spans="1:10">
      <c r="A3258">
        <v>3257</v>
      </c>
      <c r="B3258">
        <v>11436</v>
      </c>
      <c r="C3258" t="s">
        <v>18</v>
      </c>
      <c r="D3258">
        <v>134684.38</v>
      </c>
      <c r="E3258" t="s">
        <v>16</v>
      </c>
      <c r="F3258">
        <v>3</v>
      </c>
      <c r="G3258" t="s">
        <v>25</v>
      </c>
      <c r="H3258" s="1">
        <v>45547</v>
      </c>
      <c r="I3258" s="1">
        <v>45550</v>
      </c>
      <c r="J3258" t="str">
        <f t="shared" si="50"/>
        <v>Sep-2024</v>
      </c>
    </row>
    <row r="3259" spans="1:10">
      <c r="A3259">
        <v>3258</v>
      </c>
      <c r="B3259">
        <v>16375</v>
      </c>
      <c r="C3259" t="s">
        <v>23</v>
      </c>
      <c r="D3259">
        <v>57026.74</v>
      </c>
      <c r="E3259" t="s">
        <v>19</v>
      </c>
      <c r="F3259">
        <v>17</v>
      </c>
      <c r="G3259" t="s">
        <v>25</v>
      </c>
      <c r="H3259" s="1">
        <v>45328</v>
      </c>
      <c r="I3259" s="1">
        <v>45345</v>
      </c>
      <c r="J3259" t="str">
        <f t="shared" si="50"/>
        <v>Feb-2024</v>
      </c>
    </row>
    <row r="3260" spans="1:10">
      <c r="A3260">
        <v>3259</v>
      </c>
      <c r="B3260">
        <v>18698</v>
      </c>
      <c r="C3260" t="s">
        <v>23</v>
      </c>
      <c r="D3260">
        <v>27823.09</v>
      </c>
      <c r="E3260" t="s">
        <v>16</v>
      </c>
      <c r="F3260">
        <v>6</v>
      </c>
      <c r="G3260" t="s">
        <v>21</v>
      </c>
      <c r="H3260" s="1">
        <v>45433</v>
      </c>
      <c r="I3260" s="1">
        <v>45439</v>
      </c>
      <c r="J3260" t="str">
        <f t="shared" si="50"/>
        <v>May-2024</v>
      </c>
    </row>
    <row r="3261" spans="1:10">
      <c r="A3261">
        <v>3260</v>
      </c>
      <c r="B3261">
        <v>16247</v>
      </c>
      <c r="C3261" t="s">
        <v>23</v>
      </c>
      <c r="D3261">
        <v>8131.47</v>
      </c>
      <c r="E3261" t="s">
        <v>19</v>
      </c>
      <c r="F3261">
        <v>23</v>
      </c>
      <c r="G3261" t="s">
        <v>17</v>
      </c>
      <c r="H3261" s="1">
        <v>45438</v>
      </c>
      <c r="I3261" s="1">
        <v>45461</v>
      </c>
      <c r="J3261" t="str">
        <f t="shared" si="50"/>
        <v>May-2024</v>
      </c>
    </row>
    <row r="3262" spans="1:10">
      <c r="A3262">
        <v>3261</v>
      </c>
      <c r="B3262">
        <v>18637</v>
      </c>
      <c r="C3262" t="s">
        <v>18</v>
      </c>
      <c r="D3262">
        <v>25867.08</v>
      </c>
      <c r="E3262" t="s">
        <v>16</v>
      </c>
      <c r="F3262">
        <v>2</v>
      </c>
      <c r="G3262" t="s">
        <v>20</v>
      </c>
      <c r="H3262" s="1">
        <v>45299</v>
      </c>
      <c r="I3262" s="1">
        <v>45301</v>
      </c>
      <c r="J3262" t="str">
        <f t="shared" si="50"/>
        <v>Jan-2024</v>
      </c>
    </row>
    <row r="3263" spans="1:10">
      <c r="A3263">
        <v>3262</v>
      </c>
      <c r="B3263">
        <v>12781</v>
      </c>
      <c r="C3263" t="s">
        <v>22</v>
      </c>
      <c r="D3263">
        <v>62056.31</v>
      </c>
      <c r="E3263" t="s">
        <v>16</v>
      </c>
      <c r="F3263">
        <v>13</v>
      </c>
      <c r="G3263" t="s">
        <v>20</v>
      </c>
      <c r="H3263" s="1">
        <v>45542</v>
      </c>
      <c r="I3263" s="1">
        <v>45555</v>
      </c>
      <c r="J3263" t="str">
        <f t="shared" si="50"/>
        <v>Sep-2024</v>
      </c>
    </row>
    <row r="3264" spans="1:10">
      <c r="A3264">
        <v>3263</v>
      </c>
      <c r="B3264">
        <v>10443</v>
      </c>
      <c r="C3264" t="s">
        <v>22</v>
      </c>
      <c r="D3264">
        <v>112599.06</v>
      </c>
      <c r="E3264" t="s">
        <v>19</v>
      </c>
      <c r="F3264">
        <v>20</v>
      </c>
      <c r="G3264" t="s">
        <v>21</v>
      </c>
      <c r="H3264" s="1">
        <v>45426</v>
      </c>
      <c r="I3264" s="1">
        <v>45446</v>
      </c>
      <c r="J3264" t="str">
        <f t="shared" si="50"/>
        <v>May-2024</v>
      </c>
    </row>
    <row r="3265" spans="1:10">
      <c r="A3265">
        <v>3264</v>
      </c>
      <c r="B3265">
        <v>10117</v>
      </c>
      <c r="C3265" t="s">
        <v>23</v>
      </c>
      <c r="D3265">
        <v>17480.02</v>
      </c>
      <c r="E3265" t="s">
        <v>16</v>
      </c>
      <c r="F3265">
        <v>23</v>
      </c>
      <c r="G3265" t="s">
        <v>20</v>
      </c>
      <c r="H3265" s="1">
        <v>45350</v>
      </c>
      <c r="I3265" s="1">
        <v>45373</v>
      </c>
      <c r="J3265" t="str">
        <f t="shared" si="50"/>
        <v>Feb-2024</v>
      </c>
    </row>
    <row r="3266" spans="1:10">
      <c r="A3266">
        <v>3265</v>
      </c>
      <c r="B3266">
        <v>19732</v>
      </c>
      <c r="C3266" t="s">
        <v>15</v>
      </c>
      <c r="D3266">
        <v>31564.42</v>
      </c>
      <c r="E3266" t="s">
        <v>19</v>
      </c>
      <c r="F3266">
        <v>43</v>
      </c>
      <c r="G3266" t="s">
        <v>20</v>
      </c>
      <c r="H3266" s="1">
        <v>45414</v>
      </c>
      <c r="I3266" s="1">
        <v>45457</v>
      </c>
      <c r="J3266" t="str">
        <f t="shared" si="50"/>
        <v>May-2024</v>
      </c>
    </row>
    <row r="3267" spans="1:10">
      <c r="A3267">
        <v>3266</v>
      </c>
      <c r="B3267">
        <v>10566</v>
      </c>
      <c r="C3267" t="s">
        <v>18</v>
      </c>
      <c r="D3267">
        <v>40310.74</v>
      </c>
      <c r="E3267" t="s">
        <v>16</v>
      </c>
      <c r="F3267">
        <v>18</v>
      </c>
      <c r="G3267" t="s">
        <v>20</v>
      </c>
      <c r="H3267" s="1">
        <v>45554</v>
      </c>
      <c r="I3267" s="1">
        <v>45572</v>
      </c>
      <c r="J3267" t="str">
        <f t="shared" ref="J3267:J3330" si="51">TEXT(H3267,"mmm-yyyy")</f>
        <v>Sep-2024</v>
      </c>
    </row>
    <row r="3268" spans="1:10">
      <c r="A3268">
        <v>3267</v>
      </c>
      <c r="B3268">
        <v>13602</v>
      </c>
      <c r="C3268" t="s">
        <v>23</v>
      </c>
      <c r="D3268">
        <v>128236.51</v>
      </c>
      <c r="E3268" t="s">
        <v>16</v>
      </c>
      <c r="F3268">
        <v>14</v>
      </c>
      <c r="G3268" t="s">
        <v>20</v>
      </c>
      <c r="H3268" s="1">
        <v>45411</v>
      </c>
      <c r="I3268" s="1">
        <v>45425</v>
      </c>
      <c r="J3268" t="str">
        <f t="shared" si="51"/>
        <v>Apr-2024</v>
      </c>
    </row>
    <row r="3269" spans="1:10">
      <c r="A3269">
        <v>3268</v>
      </c>
      <c r="B3269">
        <v>11936</v>
      </c>
      <c r="C3269" t="s">
        <v>23</v>
      </c>
      <c r="D3269">
        <v>125079.01</v>
      </c>
      <c r="E3269" t="s">
        <v>16</v>
      </c>
      <c r="F3269">
        <v>40</v>
      </c>
      <c r="G3269" t="s">
        <v>17</v>
      </c>
      <c r="H3269" s="1">
        <v>45550</v>
      </c>
      <c r="I3269" s="1">
        <v>45590</v>
      </c>
      <c r="J3269" t="str">
        <f t="shared" si="51"/>
        <v>Sep-2024</v>
      </c>
    </row>
    <row r="3270" spans="1:10">
      <c r="A3270">
        <v>3269</v>
      </c>
      <c r="B3270">
        <v>14183</v>
      </c>
      <c r="C3270" t="s">
        <v>23</v>
      </c>
      <c r="D3270">
        <v>112399.32</v>
      </c>
      <c r="E3270" t="s">
        <v>16</v>
      </c>
      <c r="F3270">
        <v>29</v>
      </c>
      <c r="G3270" t="s">
        <v>20</v>
      </c>
      <c r="H3270" s="1">
        <v>45614</v>
      </c>
      <c r="I3270" s="1">
        <v>45643</v>
      </c>
      <c r="J3270" t="str">
        <f t="shared" si="51"/>
        <v>Nov-2024</v>
      </c>
    </row>
    <row r="3271" spans="1:10">
      <c r="A3271">
        <v>3270</v>
      </c>
      <c r="B3271">
        <v>17926</v>
      </c>
      <c r="C3271" t="s">
        <v>22</v>
      </c>
      <c r="D3271">
        <v>53847.78</v>
      </c>
      <c r="E3271" t="s">
        <v>16</v>
      </c>
      <c r="F3271">
        <v>4</v>
      </c>
      <c r="G3271" t="s">
        <v>25</v>
      </c>
      <c r="H3271" s="1">
        <v>45309</v>
      </c>
      <c r="I3271" s="1">
        <v>45313</v>
      </c>
      <c r="J3271" t="str">
        <f t="shared" si="51"/>
        <v>Jan-2024</v>
      </c>
    </row>
    <row r="3272" spans="1:10">
      <c r="A3272">
        <v>3271</v>
      </c>
      <c r="B3272">
        <v>19844</v>
      </c>
      <c r="C3272" t="s">
        <v>18</v>
      </c>
      <c r="D3272">
        <v>77368.34</v>
      </c>
      <c r="E3272" t="s">
        <v>16</v>
      </c>
      <c r="F3272">
        <v>6</v>
      </c>
      <c r="G3272" t="s">
        <v>21</v>
      </c>
      <c r="H3272" s="1">
        <v>45592</v>
      </c>
      <c r="I3272" s="1">
        <v>45598</v>
      </c>
      <c r="J3272" t="str">
        <f t="shared" si="51"/>
        <v>Oct-2024</v>
      </c>
    </row>
    <row r="3273" spans="1:10">
      <c r="A3273">
        <v>3272</v>
      </c>
      <c r="B3273">
        <v>14571</v>
      </c>
      <c r="C3273" t="s">
        <v>18</v>
      </c>
      <c r="D3273">
        <v>23854.49</v>
      </c>
      <c r="E3273" t="s">
        <v>16</v>
      </c>
      <c r="F3273">
        <v>37</v>
      </c>
      <c r="G3273" t="s">
        <v>17</v>
      </c>
      <c r="H3273" s="1">
        <v>45644</v>
      </c>
      <c r="I3273" s="1">
        <v>45681</v>
      </c>
      <c r="J3273" t="str">
        <f t="shared" si="51"/>
        <v>Dec-2024</v>
      </c>
    </row>
    <row r="3274" spans="1:10">
      <c r="A3274">
        <v>3273</v>
      </c>
      <c r="B3274">
        <v>15801</v>
      </c>
      <c r="C3274" t="s">
        <v>23</v>
      </c>
      <c r="D3274">
        <v>49159.82</v>
      </c>
      <c r="E3274" t="s">
        <v>16</v>
      </c>
      <c r="F3274">
        <v>16</v>
      </c>
      <c r="G3274" t="s">
        <v>20</v>
      </c>
      <c r="H3274" s="1">
        <v>45383</v>
      </c>
      <c r="I3274" s="1">
        <v>45399</v>
      </c>
      <c r="J3274" t="str">
        <f t="shared" si="51"/>
        <v>Apr-2024</v>
      </c>
    </row>
    <row r="3275" spans="1:10">
      <c r="A3275">
        <v>3274</v>
      </c>
      <c r="B3275">
        <v>14390</v>
      </c>
      <c r="C3275" t="s">
        <v>18</v>
      </c>
      <c r="D3275">
        <v>180052.52</v>
      </c>
      <c r="E3275" t="s">
        <v>16</v>
      </c>
      <c r="F3275">
        <v>18</v>
      </c>
      <c r="G3275" t="s">
        <v>17</v>
      </c>
      <c r="H3275" s="1">
        <v>45455</v>
      </c>
      <c r="I3275" s="1">
        <v>45473</v>
      </c>
      <c r="J3275" t="str">
        <f t="shared" si="51"/>
        <v>Jun-2024</v>
      </c>
    </row>
    <row r="3276" spans="1:10">
      <c r="A3276">
        <v>3275</v>
      </c>
      <c r="B3276">
        <v>14815</v>
      </c>
      <c r="C3276" t="s">
        <v>23</v>
      </c>
      <c r="D3276">
        <v>196039.89</v>
      </c>
      <c r="E3276" t="s">
        <v>16</v>
      </c>
      <c r="F3276">
        <v>30</v>
      </c>
      <c r="G3276" t="s">
        <v>20</v>
      </c>
      <c r="H3276" s="1">
        <v>45435</v>
      </c>
      <c r="I3276" s="1">
        <v>45465</v>
      </c>
      <c r="J3276" t="str">
        <f t="shared" si="51"/>
        <v>May-2024</v>
      </c>
    </row>
    <row r="3277" spans="1:10">
      <c r="A3277">
        <v>3276</v>
      </c>
      <c r="B3277">
        <v>15500</v>
      </c>
      <c r="C3277" t="s">
        <v>23</v>
      </c>
      <c r="D3277">
        <v>131293.62</v>
      </c>
      <c r="E3277" t="s">
        <v>16</v>
      </c>
      <c r="F3277">
        <v>5</v>
      </c>
      <c r="G3277" t="s">
        <v>25</v>
      </c>
      <c r="H3277" s="1">
        <v>45626</v>
      </c>
      <c r="I3277" s="1">
        <v>45631</v>
      </c>
      <c r="J3277" t="str">
        <f t="shared" si="51"/>
        <v>Nov-2024</v>
      </c>
    </row>
    <row r="3278" spans="1:10">
      <c r="A3278">
        <v>3277</v>
      </c>
      <c r="B3278">
        <v>15402</v>
      </c>
      <c r="C3278" t="s">
        <v>18</v>
      </c>
      <c r="D3278">
        <v>183780.54</v>
      </c>
      <c r="E3278" t="s">
        <v>16</v>
      </c>
      <c r="F3278">
        <v>33</v>
      </c>
      <c r="G3278" t="s">
        <v>21</v>
      </c>
      <c r="H3278" s="1">
        <v>45606</v>
      </c>
      <c r="I3278" s="1">
        <v>45639</v>
      </c>
      <c r="J3278" t="str">
        <f t="shared" si="51"/>
        <v>Nov-2024</v>
      </c>
    </row>
    <row r="3279" spans="1:10">
      <c r="A3279">
        <v>3278</v>
      </c>
      <c r="B3279">
        <v>16987</v>
      </c>
      <c r="C3279" t="s">
        <v>23</v>
      </c>
      <c r="D3279">
        <v>130334.67</v>
      </c>
      <c r="E3279" t="s">
        <v>19</v>
      </c>
      <c r="F3279">
        <v>44</v>
      </c>
      <c r="G3279" t="s">
        <v>20</v>
      </c>
      <c r="H3279" s="1">
        <v>45529</v>
      </c>
      <c r="I3279" s="1">
        <v>45573</v>
      </c>
      <c r="J3279" t="str">
        <f t="shared" si="51"/>
        <v>Aug-2024</v>
      </c>
    </row>
    <row r="3280" spans="1:10">
      <c r="A3280">
        <v>3279</v>
      </c>
      <c r="B3280">
        <v>14781</v>
      </c>
      <c r="C3280" t="s">
        <v>15</v>
      </c>
      <c r="D3280">
        <v>11473.31</v>
      </c>
      <c r="E3280" t="s">
        <v>19</v>
      </c>
      <c r="F3280">
        <v>39</v>
      </c>
      <c r="G3280" t="s">
        <v>20</v>
      </c>
      <c r="H3280" s="1">
        <v>45465</v>
      </c>
      <c r="I3280" s="1">
        <v>45504</v>
      </c>
      <c r="J3280" t="str">
        <f t="shared" si="51"/>
        <v>Jun-2024</v>
      </c>
    </row>
    <row r="3281" spans="1:10">
      <c r="A3281">
        <v>3280</v>
      </c>
      <c r="B3281">
        <v>12686</v>
      </c>
      <c r="C3281" t="s">
        <v>23</v>
      </c>
      <c r="D3281">
        <v>199368.7</v>
      </c>
      <c r="E3281" t="s">
        <v>16</v>
      </c>
      <c r="F3281">
        <v>5</v>
      </c>
      <c r="G3281" t="s">
        <v>20</v>
      </c>
      <c r="H3281" s="1">
        <v>45374</v>
      </c>
      <c r="I3281" s="1">
        <v>45379</v>
      </c>
      <c r="J3281" t="str">
        <f t="shared" si="51"/>
        <v>Mar-2024</v>
      </c>
    </row>
    <row r="3282" spans="1:10">
      <c r="A3282">
        <v>3281</v>
      </c>
      <c r="B3282">
        <v>11203</v>
      </c>
      <c r="C3282" t="s">
        <v>18</v>
      </c>
      <c r="D3282">
        <v>24295.7</v>
      </c>
      <c r="E3282" t="s">
        <v>24</v>
      </c>
      <c r="G3282" t="s">
        <v>20</v>
      </c>
      <c r="H3282" s="1">
        <v>45448</v>
      </c>
      <c r="J3282" t="str">
        <f t="shared" si="51"/>
        <v>Jun-2024</v>
      </c>
    </row>
    <row r="3283" spans="1:10">
      <c r="A3283">
        <v>3282</v>
      </c>
      <c r="B3283">
        <v>15056</v>
      </c>
      <c r="C3283" t="s">
        <v>23</v>
      </c>
      <c r="D3283">
        <v>138115.15</v>
      </c>
      <c r="E3283" t="s">
        <v>16</v>
      </c>
      <c r="F3283">
        <v>21</v>
      </c>
      <c r="G3283" t="s">
        <v>21</v>
      </c>
      <c r="H3283" s="1">
        <v>45400</v>
      </c>
      <c r="I3283" s="1">
        <v>45421</v>
      </c>
      <c r="J3283" t="str">
        <f t="shared" si="51"/>
        <v>Apr-2024</v>
      </c>
    </row>
    <row r="3284" spans="1:10">
      <c r="A3284">
        <v>3283</v>
      </c>
      <c r="B3284">
        <v>17057</v>
      </c>
      <c r="C3284" t="s">
        <v>18</v>
      </c>
      <c r="D3284">
        <v>54303.06</v>
      </c>
      <c r="E3284" t="s">
        <v>24</v>
      </c>
      <c r="G3284" t="s">
        <v>21</v>
      </c>
      <c r="H3284" s="1">
        <v>45469</v>
      </c>
      <c r="J3284" t="str">
        <f t="shared" si="51"/>
        <v>Jun-2024</v>
      </c>
    </row>
    <row r="3285" spans="1:10">
      <c r="A3285">
        <v>3284</v>
      </c>
      <c r="B3285">
        <v>18597</v>
      </c>
      <c r="C3285" t="s">
        <v>23</v>
      </c>
      <c r="D3285">
        <v>81436.320000000007</v>
      </c>
      <c r="E3285" t="s">
        <v>19</v>
      </c>
      <c r="F3285">
        <v>43</v>
      </c>
      <c r="G3285" t="s">
        <v>25</v>
      </c>
      <c r="H3285" s="1">
        <v>45541</v>
      </c>
      <c r="I3285" s="1">
        <v>45584</v>
      </c>
      <c r="J3285" t="str">
        <f t="shared" si="51"/>
        <v>Sep-2024</v>
      </c>
    </row>
    <row r="3286" spans="1:10">
      <c r="A3286">
        <v>3285</v>
      </c>
      <c r="B3286">
        <v>15713</v>
      </c>
      <c r="C3286" t="s">
        <v>23</v>
      </c>
      <c r="D3286">
        <v>130957.17</v>
      </c>
      <c r="E3286" t="s">
        <v>19</v>
      </c>
      <c r="F3286">
        <v>38</v>
      </c>
      <c r="G3286" t="s">
        <v>21</v>
      </c>
      <c r="H3286" s="1">
        <v>45544</v>
      </c>
      <c r="I3286" s="1">
        <v>45582</v>
      </c>
      <c r="J3286" t="str">
        <f t="shared" si="51"/>
        <v>Sep-2024</v>
      </c>
    </row>
    <row r="3287" spans="1:10">
      <c r="A3287">
        <v>3286</v>
      </c>
      <c r="B3287">
        <v>15183</v>
      </c>
      <c r="C3287" t="s">
        <v>22</v>
      </c>
      <c r="D3287">
        <v>90115.03</v>
      </c>
      <c r="E3287" t="s">
        <v>16</v>
      </c>
      <c r="F3287">
        <v>13</v>
      </c>
      <c r="G3287" t="s">
        <v>20</v>
      </c>
      <c r="H3287" s="1">
        <v>45346</v>
      </c>
      <c r="I3287" s="1">
        <v>45359</v>
      </c>
      <c r="J3287" t="str">
        <f t="shared" si="51"/>
        <v>Feb-2024</v>
      </c>
    </row>
    <row r="3288" spans="1:10">
      <c r="A3288">
        <v>3287</v>
      </c>
      <c r="B3288">
        <v>14214</v>
      </c>
      <c r="C3288" t="s">
        <v>23</v>
      </c>
      <c r="D3288">
        <v>53856.480000000003</v>
      </c>
      <c r="E3288" t="s">
        <v>16</v>
      </c>
      <c r="F3288">
        <v>26</v>
      </c>
      <c r="G3288" t="s">
        <v>25</v>
      </c>
      <c r="H3288" s="1">
        <v>45446</v>
      </c>
      <c r="I3288" s="1">
        <v>45472</v>
      </c>
      <c r="J3288" t="str">
        <f t="shared" si="51"/>
        <v>Jun-2024</v>
      </c>
    </row>
    <row r="3289" spans="1:10">
      <c r="A3289">
        <v>3288</v>
      </c>
      <c r="B3289">
        <v>14079</v>
      </c>
      <c r="C3289" t="s">
        <v>15</v>
      </c>
      <c r="D3289">
        <v>70217.009999999995</v>
      </c>
      <c r="E3289" t="s">
        <v>16</v>
      </c>
      <c r="F3289">
        <v>31</v>
      </c>
      <c r="G3289" t="s">
        <v>25</v>
      </c>
      <c r="H3289" s="1">
        <v>45382</v>
      </c>
      <c r="I3289" s="1">
        <v>45413</v>
      </c>
      <c r="J3289" t="str">
        <f t="shared" si="51"/>
        <v>Mar-2024</v>
      </c>
    </row>
    <row r="3290" spans="1:10">
      <c r="A3290">
        <v>3289</v>
      </c>
      <c r="B3290">
        <v>10312</v>
      </c>
      <c r="C3290" t="s">
        <v>22</v>
      </c>
      <c r="D3290">
        <v>71601.88</v>
      </c>
      <c r="E3290" t="s">
        <v>19</v>
      </c>
      <c r="F3290">
        <v>16</v>
      </c>
      <c r="G3290" t="s">
        <v>25</v>
      </c>
      <c r="H3290" s="1">
        <v>45630</v>
      </c>
      <c r="I3290" s="1">
        <v>45646</v>
      </c>
      <c r="J3290" t="str">
        <f t="shared" si="51"/>
        <v>Dec-2024</v>
      </c>
    </row>
    <row r="3291" spans="1:10">
      <c r="A3291">
        <v>3290</v>
      </c>
      <c r="B3291">
        <v>18354</v>
      </c>
      <c r="C3291" t="s">
        <v>23</v>
      </c>
      <c r="D3291">
        <v>192068.16</v>
      </c>
      <c r="E3291" t="s">
        <v>16</v>
      </c>
      <c r="F3291">
        <v>37</v>
      </c>
      <c r="G3291" t="s">
        <v>20</v>
      </c>
      <c r="H3291" s="1">
        <v>45417</v>
      </c>
      <c r="I3291" s="1">
        <v>45454</v>
      </c>
      <c r="J3291" t="str">
        <f t="shared" si="51"/>
        <v>May-2024</v>
      </c>
    </row>
    <row r="3292" spans="1:10">
      <c r="A3292">
        <v>3291</v>
      </c>
      <c r="B3292">
        <v>11528</v>
      </c>
      <c r="C3292" t="s">
        <v>23</v>
      </c>
      <c r="D3292">
        <v>160729.54</v>
      </c>
      <c r="E3292" t="s">
        <v>19</v>
      </c>
      <c r="F3292">
        <v>9</v>
      </c>
      <c r="G3292" t="s">
        <v>17</v>
      </c>
      <c r="H3292" s="1">
        <v>45628</v>
      </c>
      <c r="I3292" s="1">
        <v>45637</v>
      </c>
      <c r="J3292" t="str">
        <f t="shared" si="51"/>
        <v>Dec-2024</v>
      </c>
    </row>
    <row r="3293" spans="1:10">
      <c r="A3293">
        <v>3292</v>
      </c>
      <c r="B3293">
        <v>15496</v>
      </c>
      <c r="C3293" t="s">
        <v>18</v>
      </c>
      <c r="D3293">
        <v>94417.01</v>
      </c>
      <c r="E3293" t="s">
        <v>16</v>
      </c>
      <c r="F3293">
        <v>29</v>
      </c>
      <c r="G3293" t="s">
        <v>20</v>
      </c>
      <c r="H3293" s="1">
        <v>45460</v>
      </c>
      <c r="I3293" s="1">
        <v>45489</v>
      </c>
      <c r="J3293" t="str">
        <f t="shared" si="51"/>
        <v>Jun-2024</v>
      </c>
    </row>
    <row r="3294" spans="1:10">
      <c r="A3294">
        <v>3293</v>
      </c>
      <c r="B3294">
        <v>19757</v>
      </c>
      <c r="C3294" t="s">
        <v>22</v>
      </c>
      <c r="D3294">
        <v>43965.08</v>
      </c>
      <c r="E3294" t="s">
        <v>19</v>
      </c>
      <c r="F3294">
        <v>23</v>
      </c>
      <c r="G3294" t="s">
        <v>21</v>
      </c>
      <c r="H3294" s="1">
        <v>45430</v>
      </c>
      <c r="I3294" s="1">
        <v>45453</v>
      </c>
      <c r="J3294" t="str">
        <f t="shared" si="51"/>
        <v>May-2024</v>
      </c>
    </row>
    <row r="3295" spans="1:10">
      <c r="A3295">
        <v>3294</v>
      </c>
      <c r="B3295">
        <v>14768</v>
      </c>
      <c r="C3295" t="s">
        <v>22</v>
      </c>
      <c r="D3295">
        <v>163148.14000000001</v>
      </c>
      <c r="E3295" t="s">
        <v>16</v>
      </c>
      <c r="F3295">
        <v>39</v>
      </c>
      <c r="G3295" t="s">
        <v>21</v>
      </c>
      <c r="H3295" s="1">
        <v>45296</v>
      </c>
      <c r="I3295" s="1">
        <v>45335</v>
      </c>
      <c r="J3295" t="str">
        <f t="shared" si="51"/>
        <v>Jan-2024</v>
      </c>
    </row>
    <row r="3296" spans="1:10">
      <c r="A3296">
        <v>3295</v>
      </c>
      <c r="B3296">
        <v>17567</v>
      </c>
      <c r="C3296" t="s">
        <v>18</v>
      </c>
      <c r="D3296">
        <v>35650.58</v>
      </c>
      <c r="E3296" t="s">
        <v>16</v>
      </c>
      <c r="F3296">
        <v>17</v>
      </c>
      <c r="G3296" t="s">
        <v>20</v>
      </c>
      <c r="H3296" s="1">
        <v>45357</v>
      </c>
      <c r="I3296" s="1">
        <v>45374</v>
      </c>
      <c r="J3296" t="str">
        <f t="shared" si="51"/>
        <v>Mar-2024</v>
      </c>
    </row>
    <row r="3297" spans="1:10">
      <c r="A3297">
        <v>3296</v>
      </c>
      <c r="B3297">
        <v>10398</v>
      </c>
      <c r="C3297" t="s">
        <v>18</v>
      </c>
      <c r="D3297">
        <v>46040.13</v>
      </c>
      <c r="E3297" t="s">
        <v>16</v>
      </c>
      <c r="F3297">
        <v>6</v>
      </c>
      <c r="G3297" t="s">
        <v>20</v>
      </c>
      <c r="H3297" s="1">
        <v>45402</v>
      </c>
      <c r="I3297" s="1">
        <v>45408</v>
      </c>
      <c r="J3297" t="str">
        <f t="shared" si="51"/>
        <v>Apr-2024</v>
      </c>
    </row>
    <row r="3298" spans="1:10">
      <c r="A3298">
        <v>3297</v>
      </c>
      <c r="B3298">
        <v>16630</v>
      </c>
      <c r="C3298" t="s">
        <v>23</v>
      </c>
      <c r="D3298">
        <v>76372.61</v>
      </c>
      <c r="E3298" t="s">
        <v>16</v>
      </c>
      <c r="F3298">
        <v>35</v>
      </c>
      <c r="G3298" t="s">
        <v>25</v>
      </c>
      <c r="H3298" s="1">
        <v>45475</v>
      </c>
      <c r="I3298" s="1">
        <v>45510</v>
      </c>
      <c r="J3298" t="str">
        <f t="shared" si="51"/>
        <v>Jul-2024</v>
      </c>
    </row>
    <row r="3299" spans="1:10">
      <c r="A3299">
        <v>3298</v>
      </c>
      <c r="B3299">
        <v>11047</v>
      </c>
      <c r="C3299" t="s">
        <v>22</v>
      </c>
      <c r="D3299">
        <v>176667.9</v>
      </c>
      <c r="E3299" t="s">
        <v>16</v>
      </c>
      <c r="F3299">
        <v>39</v>
      </c>
      <c r="G3299" t="s">
        <v>20</v>
      </c>
      <c r="H3299" s="1">
        <v>45559</v>
      </c>
      <c r="I3299" s="1">
        <v>45598</v>
      </c>
      <c r="J3299" t="str">
        <f t="shared" si="51"/>
        <v>Sep-2024</v>
      </c>
    </row>
    <row r="3300" spans="1:10">
      <c r="A3300">
        <v>3299</v>
      </c>
      <c r="B3300">
        <v>11942</v>
      </c>
      <c r="C3300" t="s">
        <v>22</v>
      </c>
      <c r="D3300">
        <v>30698.400000000001</v>
      </c>
      <c r="E3300" t="s">
        <v>19</v>
      </c>
      <c r="F3300">
        <v>12</v>
      </c>
      <c r="G3300" t="s">
        <v>25</v>
      </c>
      <c r="H3300" s="1">
        <v>45461</v>
      </c>
      <c r="I3300" s="1">
        <v>45473</v>
      </c>
      <c r="J3300" t="str">
        <f t="shared" si="51"/>
        <v>Jun-2024</v>
      </c>
    </row>
    <row r="3301" spans="1:10">
      <c r="A3301">
        <v>3300</v>
      </c>
      <c r="B3301">
        <v>10239</v>
      </c>
      <c r="C3301" t="s">
        <v>23</v>
      </c>
      <c r="D3301">
        <v>28835.67</v>
      </c>
      <c r="E3301" t="s">
        <v>16</v>
      </c>
      <c r="F3301">
        <v>3</v>
      </c>
      <c r="G3301" t="s">
        <v>21</v>
      </c>
      <c r="H3301" s="1">
        <v>45653</v>
      </c>
      <c r="I3301" s="1">
        <v>45656</v>
      </c>
      <c r="J3301" t="str">
        <f t="shared" si="51"/>
        <v>Dec-2024</v>
      </c>
    </row>
    <row r="3302" spans="1:10">
      <c r="A3302">
        <v>3301</v>
      </c>
      <c r="B3302">
        <v>16464</v>
      </c>
      <c r="C3302" t="s">
        <v>23</v>
      </c>
      <c r="D3302">
        <v>101325.12</v>
      </c>
      <c r="E3302" t="s">
        <v>16</v>
      </c>
      <c r="F3302">
        <v>26</v>
      </c>
      <c r="G3302" t="s">
        <v>25</v>
      </c>
      <c r="H3302" s="1">
        <v>45535</v>
      </c>
      <c r="I3302" s="1">
        <v>45561</v>
      </c>
      <c r="J3302" t="str">
        <f t="shared" si="51"/>
        <v>Aug-2024</v>
      </c>
    </row>
    <row r="3303" spans="1:10">
      <c r="A3303">
        <v>3302</v>
      </c>
      <c r="B3303">
        <v>10671</v>
      </c>
      <c r="C3303" t="s">
        <v>23</v>
      </c>
      <c r="D3303">
        <v>58900.06</v>
      </c>
      <c r="E3303" t="s">
        <v>19</v>
      </c>
      <c r="F3303">
        <v>26</v>
      </c>
      <c r="G3303" t="s">
        <v>20</v>
      </c>
      <c r="H3303" s="1">
        <v>45622</v>
      </c>
      <c r="I3303" s="1">
        <v>45648</v>
      </c>
      <c r="J3303" t="str">
        <f t="shared" si="51"/>
        <v>Nov-2024</v>
      </c>
    </row>
    <row r="3304" spans="1:10">
      <c r="A3304">
        <v>3303</v>
      </c>
      <c r="B3304">
        <v>12619</v>
      </c>
      <c r="C3304" t="s">
        <v>23</v>
      </c>
      <c r="D3304">
        <v>115901.95</v>
      </c>
      <c r="E3304" t="s">
        <v>16</v>
      </c>
      <c r="F3304">
        <v>2</v>
      </c>
      <c r="G3304" t="s">
        <v>21</v>
      </c>
      <c r="H3304" s="1">
        <v>45429</v>
      </c>
      <c r="I3304" s="1">
        <v>45431</v>
      </c>
      <c r="J3304" t="str">
        <f t="shared" si="51"/>
        <v>May-2024</v>
      </c>
    </row>
    <row r="3305" spans="1:10">
      <c r="A3305">
        <v>3304</v>
      </c>
      <c r="B3305">
        <v>17919</v>
      </c>
      <c r="C3305" t="s">
        <v>15</v>
      </c>
      <c r="D3305">
        <v>93069.15</v>
      </c>
      <c r="E3305" t="s">
        <v>24</v>
      </c>
      <c r="G3305" t="s">
        <v>17</v>
      </c>
      <c r="H3305" s="1">
        <v>45319</v>
      </c>
      <c r="J3305" t="str">
        <f t="shared" si="51"/>
        <v>Jan-2024</v>
      </c>
    </row>
    <row r="3306" spans="1:10">
      <c r="A3306">
        <v>3305</v>
      </c>
      <c r="B3306">
        <v>12461</v>
      </c>
      <c r="C3306" t="s">
        <v>23</v>
      </c>
      <c r="D3306">
        <v>89817.03</v>
      </c>
      <c r="E3306" t="s">
        <v>24</v>
      </c>
      <c r="G3306" t="s">
        <v>25</v>
      </c>
      <c r="H3306" s="1">
        <v>45298</v>
      </c>
      <c r="J3306" t="str">
        <f t="shared" si="51"/>
        <v>Jan-2024</v>
      </c>
    </row>
    <row r="3307" spans="1:10">
      <c r="A3307">
        <v>3306</v>
      </c>
      <c r="B3307">
        <v>18593</v>
      </c>
      <c r="C3307" t="s">
        <v>23</v>
      </c>
      <c r="D3307">
        <v>26834.73</v>
      </c>
      <c r="E3307" t="s">
        <v>16</v>
      </c>
      <c r="F3307">
        <v>41</v>
      </c>
      <c r="G3307" t="s">
        <v>21</v>
      </c>
      <c r="H3307" s="1">
        <v>45624</v>
      </c>
      <c r="I3307" s="1">
        <v>45665</v>
      </c>
      <c r="J3307" t="str">
        <f t="shared" si="51"/>
        <v>Nov-2024</v>
      </c>
    </row>
    <row r="3308" spans="1:10">
      <c r="A3308">
        <v>3307</v>
      </c>
      <c r="B3308">
        <v>12106</v>
      </c>
      <c r="C3308" t="s">
        <v>23</v>
      </c>
      <c r="D3308">
        <v>32504.69</v>
      </c>
      <c r="E3308" t="s">
        <v>16</v>
      </c>
      <c r="F3308">
        <v>5</v>
      </c>
      <c r="G3308" t="s">
        <v>25</v>
      </c>
      <c r="H3308" s="1">
        <v>45608</v>
      </c>
      <c r="I3308" s="1">
        <v>45613</v>
      </c>
      <c r="J3308" t="str">
        <f t="shared" si="51"/>
        <v>Nov-2024</v>
      </c>
    </row>
    <row r="3309" spans="1:10">
      <c r="A3309">
        <v>3308</v>
      </c>
      <c r="B3309">
        <v>14148</v>
      </c>
      <c r="C3309" t="s">
        <v>22</v>
      </c>
      <c r="D3309">
        <v>165110.32</v>
      </c>
      <c r="E3309" t="s">
        <v>16</v>
      </c>
      <c r="F3309">
        <v>6</v>
      </c>
      <c r="G3309" t="s">
        <v>21</v>
      </c>
      <c r="H3309" s="1">
        <v>45342</v>
      </c>
      <c r="I3309" s="1">
        <v>45348</v>
      </c>
      <c r="J3309" t="str">
        <f t="shared" si="51"/>
        <v>Feb-2024</v>
      </c>
    </row>
    <row r="3310" spans="1:10">
      <c r="A3310">
        <v>3309</v>
      </c>
      <c r="B3310">
        <v>11087</v>
      </c>
      <c r="C3310" t="s">
        <v>18</v>
      </c>
      <c r="D3310">
        <v>177747.13</v>
      </c>
      <c r="E3310" t="s">
        <v>19</v>
      </c>
      <c r="F3310">
        <v>6</v>
      </c>
      <c r="G3310" t="s">
        <v>21</v>
      </c>
      <c r="H3310" s="1">
        <v>45427</v>
      </c>
      <c r="I3310" s="1">
        <v>45433</v>
      </c>
      <c r="J3310" t="str">
        <f t="shared" si="51"/>
        <v>May-2024</v>
      </c>
    </row>
    <row r="3311" spans="1:10">
      <c r="A3311">
        <v>3310</v>
      </c>
      <c r="B3311">
        <v>16776</v>
      </c>
      <c r="C3311" t="s">
        <v>23</v>
      </c>
      <c r="D3311">
        <v>50763.29</v>
      </c>
      <c r="E3311" t="s">
        <v>16</v>
      </c>
      <c r="F3311">
        <v>17</v>
      </c>
      <c r="G3311" t="s">
        <v>25</v>
      </c>
      <c r="H3311" s="1">
        <v>45469</v>
      </c>
      <c r="I3311" s="1">
        <v>45486</v>
      </c>
      <c r="J3311" t="str">
        <f t="shared" si="51"/>
        <v>Jun-2024</v>
      </c>
    </row>
    <row r="3312" spans="1:10">
      <c r="A3312">
        <v>3311</v>
      </c>
      <c r="B3312">
        <v>19334</v>
      </c>
      <c r="C3312" t="s">
        <v>23</v>
      </c>
      <c r="D3312">
        <v>27124.799999999999</v>
      </c>
      <c r="E3312" t="s">
        <v>16</v>
      </c>
      <c r="F3312">
        <v>19</v>
      </c>
      <c r="G3312" t="s">
        <v>17</v>
      </c>
      <c r="H3312" s="1">
        <v>45420</v>
      </c>
      <c r="I3312" s="1">
        <v>45439</v>
      </c>
      <c r="J3312" t="str">
        <f t="shared" si="51"/>
        <v>May-2024</v>
      </c>
    </row>
    <row r="3313" spans="1:10">
      <c r="A3313">
        <v>3312</v>
      </c>
      <c r="B3313">
        <v>14381</v>
      </c>
      <c r="C3313" t="s">
        <v>22</v>
      </c>
      <c r="D3313">
        <v>15416.25</v>
      </c>
      <c r="E3313" t="s">
        <v>19</v>
      </c>
      <c r="F3313">
        <v>44</v>
      </c>
      <c r="G3313" t="s">
        <v>21</v>
      </c>
      <c r="H3313" s="1">
        <v>45488</v>
      </c>
      <c r="I3313" s="1">
        <v>45532</v>
      </c>
      <c r="J3313" t="str">
        <f t="shared" si="51"/>
        <v>Jul-2024</v>
      </c>
    </row>
    <row r="3314" spans="1:10">
      <c r="A3314">
        <v>3313</v>
      </c>
      <c r="B3314">
        <v>15124</v>
      </c>
      <c r="C3314" t="s">
        <v>15</v>
      </c>
      <c r="D3314">
        <v>123618.03</v>
      </c>
      <c r="E3314" t="s">
        <v>16</v>
      </c>
      <c r="F3314">
        <v>18</v>
      </c>
      <c r="G3314" t="s">
        <v>21</v>
      </c>
      <c r="H3314" s="1">
        <v>45558</v>
      </c>
      <c r="I3314" s="1">
        <v>45576</v>
      </c>
      <c r="J3314" t="str">
        <f t="shared" si="51"/>
        <v>Sep-2024</v>
      </c>
    </row>
    <row r="3315" spans="1:10">
      <c r="A3315">
        <v>3314</v>
      </c>
      <c r="B3315">
        <v>17559</v>
      </c>
      <c r="C3315" t="s">
        <v>23</v>
      </c>
      <c r="D3315">
        <v>144493.88</v>
      </c>
      <c r="E3315" t="s">
        <v>19</v>
      </c>
      <c r="F3315">
        <v>36</v>
      </c>
      <c r="G3315" t="s">
        <v>21</v>
      </c>
      <c r="H3315" s="1">
        <v>45398</v>
      </c>
      <c r="I3315" s="1">
        <v>45434</v>
      </c>
      <c r="J3315" t="str">
        <f t="shared" si="51"/>
        <v>Apr-2024</v>
      </c>
    </row>
    <row r="3316" spans="1:10">
      <c r="A3316">
        <v>3315</v>
      </c>
      <c r="B3316">
        <v>10141</v>
      </c>
      <c r="C3316" t="s">
        <v>23</v>
      </c>
      <c r="D3316">
        <v>77697.95</v>
      </c>
      <c r="E3316" t="s">
        <v>19</v>
      </c>
      <c r="F3316">
        <v>19</v>
      </c>
      <c r="G3316" t="s">
        <v>17</v>
      </c>
      <c r="H3316" s="1">
        <v>45339</v>
      </c>
      <c r="I3316" s="1">
        <v>45358</v>
      </c>
      <c r="J3316" t="str">
        <f t="shared" si="51"/>
        <v>Feb-2024</v>
      </c>
    </row>
    <row r="3317" spans="1:10">
      <c r="A3317">
        <v>3316</v>
      </c>
      <c r="B3317">
        <v>10396</v>
      </c>
      <c r="C3317" t="s">
        <v>23</v>
      </c>
      <c r="D3317">
        <v>137536.79</v>
      </c>
      <c r="E3317" t="s">
        <v>16</v>
      </c>
      <c r="F3317">
        <v>5</v>
      </c>
      <c r="G3317" t="s">
        <v>17</v>
      </c>
      <c r="H3317" s="1">
        <v>45429</v>
      </c>
      <c r="I3317" s="1">
        <v>45434</v>
      </c>
      <c r="J3317" t="str">
        <f t="shared" si="51"/>
        <v>May-2024</v>
      </c>
    </row>
    <row r="3318" spans="1:10">
      <c r="A3318">
        <v>3317</v>
      </c>
      <c r="B3318">
        <v>15137</v>
      </c>
      <c r="C3318" t="s">
        <v>23</v>
      </c>
      <c r="D3318">
        <v>144026.97</v>
      </c>
      <c r="E3318" t="s">
        <v>19</v>
      </c>
      <c r="F3318">
        <v>32</v>
      </c>
      <c r="G3318" t="s">
        <v>20</v>
      </c>
      <c r="H3318" s="1">
        <v>45394</v>
      </c>
      <c r="I3318" s="1">
        <v>45426</v>
      </c>
      <c r="J3318" t="str">
        <f t="shared" si="51"/>
        <v>Apr-2024</v>
      </c>
    </row>
    <row r="3319" spans="1:10">
      <c r="A3319">
        <v>3318</v>
      </c>
      <c r="B3319">
        <v>17281</v>
      </c>
      <c r="C3319" t="s">
        <v>18</v>
      </c>
      <c r="D3319">
        <v>187391.74</v>
      </c>
      <c r="E3319" t="s">
        <v>19</v>
      </c>
      <c r="F3319">
        <v>32</v>
      </c>
      <c r="G3319" t="s">
        <v>25</v>
      </c>
      <c r="H3319" s="1">
        <v>45338</v>
      </c>
      <c r="I3319" s="1">
        <v>45370</v>
      </c>
      <c r="J3319" t="str">
        <f t="shared" si="51"/>
        <v>Feb-2024</v>
      </c>
    </row>
    <row r="3320" spans="1:10">
      <c r="A3320">
        <v>3319</v>
      </c>
      <c r="B3320">
        <v>11555</v>
      </c>
      <c r="C3320" t="s">
        <v>22</v>
      </c>
      <c r="D3320">
        <v>17650.36</v>
      </c>
      <c r="E3320" t="s">
        <v>16</v>
      </c>
      <c r="F3320">
        <v>10</v>
      </c>
      <c r="G3320" t="s">
        <v>17</v>
      </c>
      <c r="H3320" s="1">
        <v>45444</v>
      </c>
      <c r="I3320" s="1">
        <v>45454</v>
      </c>
      <c r="J3320" t="str">
        <f t="shared" si="51"/>
        <v>Jun-2024</v>
      </c>
    </row>
    <row r="3321" spans="1:10">
      <c r="A3321">
        <v>3320</v>
      </c>
      <c r="B3321">
        <v>17054</v>
      </c>
      <c r="C3321" t="s">
        <v>23</v>
      </c>
      <c r="D3321">
        <v>42496.89</v>
      </c>
      <c r="E3321" t="s">
        <v>16</v>
      </c>
      <c r="F3321">
        <v>32</v>
      </c>
      <c r="G3321" t="s">
        <v>25</v>
      </c>
      <c r="H3321" s="1">
        <v>45297</v>
      </c>
      <c r="I3321" s="1">
        <v>45329</v>
      </c>
      <c r="J3321" t="str">
        <f t="shared" si="51"/>
        <v>Jan-2024</v>
      </c>
    </row>
    <row r="3322" spans="1:10">
      <c r="A3322">
        <v>3321</v>
      </c>
      <c r="B3322">
        <v>15894</v>
      </c>
      <c r="C3322" t="s">
        <v>15</v>
      </c>
      <c r="D3322">
        <v>18362.57</v>
      </c>
      <c r="E3322" t="s">
        <v>16</v>
      </c>
      <c r="F3322">
        <v>6</v>
      </c>
      <c r="G3322" t="s">
        <v>20</v>
      </c>
      <c r="H3322" s="1">
        <v>45302</v>
      </c>
      <c r="I3322" s="1">
        <v>45308</v>
      </c>
      <c r="J3322" t="str">
        <f t="shared" si="51"/>
        <v>Jan-2024</v>
      </c>
    </row>
    <row r="3323" spans="1:10">
      <c r="A3323">
        <v>3322</v>
      </c>
      <c r="B3323">
        <v>11028</v>
      </c>
      <c r="C3323" t="s">
        <v>23</v>
      </c>
      <c r="D3323">
        <v>174258.82</v>
      </c>
      <c r="E3323" t="s">
        <v>16</v>
      </c>
      <c r="F3323">
        <v>37</v>
      </c>
      <c r="G3323" t="s">
        <v>25</v>
      </c>
      <c r="H3323" s="1">
        <v>45308</v>
      </c>
      <c r="I3323" s="1">
        <v>45345</v>
      </c>
      <c r="J3323" t="str">
        <f t="shared" si="51"/>
        <v>Jan-2024</v>
      </c>
    </row>
    <row r="3324" spans="1:10">
      <c r="A3324">
        <v>3323</v>
      </c>
      <c r="B3324">
        <v>15051</v>
      </c>
      <c r="C3324" t="s">
        <v>18</v>
      </c>
      <c r="D3324">
        <v>159554.5</v>
      </c>
      <c r="E3324" t="s">
        <v>24</v>
      </c>
      <c r="G3324" t="s">
        <v>17</v>
      </c>
      <c r="H3324" s="1">
        <v>45434</v>
      </c>
      <c r="J3324" t="str">
        <f t="shared" si="51"/>
        <v>May-2024</v>
      </c>
    </row>
    <row r="3325" spans="1:10">
      <c r="A3325">
        <v>3324</v>
      </c>
      <c r="B3325">
        <v>10670</v>
      </c>
      <c r="C3325" t="s">
        <v>18</v>
      </c>
      <c r="D3325">
        <v>117055.2</v>
      </c>
      <c r="E3325" t="s">
        <v>16</v>
      </c>
      <c r="F3325">
        <v>43</v>
      </c>
      <c r="G3325" t="s">
        <v>25</v>
      </c>
      <c r="H3325" s="1">
        <v>45563</v>
      </c>
      <c r="I3325" s="1">
        <v>45606</v>
      </c>
      <c r="J3325" t="str">
        <f t="shared" si="51"/>
        <v>Sep-2024</v>
      </c>
    </row>
    <row r="3326" spans="1:10">
      <c r="A3326">
        <v>3325</v>
      </c>
      <c r="B3326">
        <v>14594</v>
      </c>
      <c r="C3326" t="s">
        <v>23</v>
      </c>
      <c r="D3326">
        <v>21314.36</v>
      </c>
      <c r="E3326" t="s">
        <v>16</v>
      </c>
      <c r="F3326">
        <v>42</v>
      </c>
      <c r="G3326" t="s">
        <v>17</v>
      </c>
      <c r="H3326" s="1">
        <v>45603</v>
      </c>
      <c r="I3326" s="1">
        <v>45645</v>
      </c>
      <c r="J3326" t="str">
        <f t="shared" si="51"/>
        <v>Nov-2024</v>
      </c>
    </row>
    <row r="3327" spans="1:10">
      <c r="A3327">
        <v>3326</v>
      </c>
      <c r="B3327">
        <v>11855</v>
      </c>
      <c r="C3327" t="s">
        <v>23</v>
      </c>
      <c r="D3327">
        <v>58295.91</v>
      </c>
      <c r="E3327" t="s">
        <v>16</v>
      </c>
      <c r="F3327">
        <v>17</v>
      </c>
      <c r="G3327" t="s">
        <v>25</v>
      </c>
      <c r="H3327" s="1">
        <v>45357</v>
      </c>
      <c r="I3327" s="1">
        <v>45374</v>
      </c>
      <c r="J3327" t="str">
        <f t="shared" si="51"/>
        <v>Mar-2024</v>
      </c>
    </row>
    <row r="3328" spans="1:10">
      <c r="A3328">
        <v>3327</v>
      </c>
      <c r="B3328">
        <v>13429</v>
      </c>
      <c r="C3328" t="s">
        <v>18</v>
      </c>
      <c r="D3328">
        <v>63055.37</v>
      </c>
      <c r="E3328" t="s">
        <v>16</v>
      </c>
      <c r="F3328">
        <v>21</v>
      </c>
      <c r="G3328" t="s">
        <v>17</v>
      </c>
      <c r="H3328" s="1">
        <v>45630</v>
      </c>
      <c r="I3328" s="1">
        <v>45651</v>
      </c>
      <c r="J3328" t="str">
        <f t="shared" si="51"/>
        <v>Dec-2024</v>
      </c>
    </row>
    <row r="3329" spans="1:10">
      <c r="A3329">
        <v>3328</v>
      </c>
      <c r="B3329">
        <v>15276</v>
      </c>
      <c r="C3329" t="s">
        <v>23</v>
      </c>
      <c r="D3329">
        <v>114344.92</v>
      </c>
      <c r="E3329" t="s">
        <v>24</v>
      </c>
      <c r="G3329" t="s">
        <v>17</v>
      </c>
      <c r="H3329" s="1">
        <v>45622</v>
      </c>
      <c r="J3329" t="str">
        <f t="shared" si="51"/>
        <v>Nov-2024</v>
      </c>
    </row>
    <row r="3330" spans="1:10">
      <c r="A3330">
        <v>3329</v>
      </c>
      <c r="B3330">
        <v>16986</v>
      </c>
      <c r="C3330" t="s">
        <v>23</v>
      </c>
      <c r="D3330">
        <v>55318.559999999998</v>
      </c>
      <c r="E3330" t="s">
        <v>19</v>
      </c>
      <c r="F3330">
        <v>27</v>
      </c>
      <c r="G3330" t="s">
        <v>25</v>
      </c>
      <c r="H3330" s="1">
        <v>45547</v>
      </c>
      <c r="I3330" s="1">
        <v>45574</v>
      </c>
      <c r="J3330" t="str">
        <f t="shared" si="51"/>
        <v>Sep-2024</v>
      </c>
    </row>
    <row r="3331" spans="1:10">
      <c r="A3331">
        <v>3330</v>
      </c>
      <c r="B3331">
        <v>19880</v>
      </c>
      <c r="C3331" t="s">
        <v>18</v>
      </c>
      <c r="D3331">
        <v>19227.169999999998</v>
      </c>
      <c r="E3331" t="s">
        <v>16</v>
      </c>
      <c r="F3331">
        <v>32</v>
      </c>
      <c r="G3331" t="s">
        <v>20</v>
      </c>
      <c r="H3331" s="1">
        <v>45418</v>
      </c>
      <c r="I3331" s="1">
        <v>45450</v>
      </c>
      <c r="J3331" t="str">
        <f t="shared" ref="J3331:J3394" si="52">TEXT(H3331,"mmm-yyyy")</f>
        <v>May-2024</v>
      </c>
    </row>
    <row r="3332" spans="1:10">
      <c r="A3332">
        <v>3331</v>
      </c>
      <c r="B3332">
        <v>14431</v>
      </c>
      <c r="C3332" t="s">
        <v>22</v>
      </c>
      <c r="D3332">
        <v>147498.65</v>
      </c>
      <c r="E3332" t="s">
        <v>16</v>
      </c>
      <c r="F3332">
        <v>16</v>
      </c>
      <c r="G3332" t="s">
        <v>21</v>
      </c>
      <c r="H3332" s="1">
        <v>45422</v>
      </c>
      <c r="I3332" s="1">
        <v>45438</v>
      </c>
      <c r="J3332" t="str">
        <f t="shared" si="52"/>
        <v>May-2024</v>
      </c>
    </row>
    <row r="3333" spans="1:10">
      <c r="A3333">
        <v>3332</v>
      </c>
      <c r="B3333">
        <v>10569</v>
      </c>
      <c r="C3333" t="s">
        <v>23</v>
      </c>
      <c r="D3333">
        <v>63320.639999999999</v>
      </c>
      <c r="E3333" t="s">
        <v>16</v>
      </c>
      <c r="F3333">
        <v>42</v>
      </c>
      <c r="G3333" t="s">
        <v>20</v>
      </c>
      <c r="H3333" s="1">
        <v>45309</v>
      </c>
      <c r="I3333" s="1">
        <v>45351</v>
      </c>
      <c r="J3333" t="str">
        <f t="shared" si="52"/>
        <v>Jan-2024</v>
      </c>
    </row>
    <row r="3334" spans="1:10">
      <c r="A3334">
        <v>3333</v>
      </c>
      <c r="B3334">
        <v>16456</v>
      </c>
      <c r="C3334" t="s">
        <v>15</v>
      </c>
      <c r="D3334">
        <v>93212.96</v>
      </c>
      <c r="E3334" t="s">
        <v>16</v>
      </c>
      <c r="F3334">
        <v>39</v>
      </c>
      <c r="G3334" t="s">
        <v>25</v>
      </c>
      <c r="H3334" s="1">
        <v>45498</v>
      </c>
      <c r="I3334" s="1">
        <v>45537</v>
      </c>
      <c r="J3334" t="str">
        <f t="shared" si="52"/>
        <v>Jul-2024</v>
      </c>
    </row>
    <row r="3335" spans="1:10">
      <c r="A3335">
        <v>3334</v>
      </c>
      <c r="B3335">
        <v>11146</v>
      </c>
      <c r="C3335" t="s">
        <v>23</v>
      </c>
      <c r="D3335">
        <v>29894.99</v>
      </c>
      <c r="E3335" t="s">
        <v>16</v>
      </c>
      <c r="F3335">
        <v>39</v>
      </c>
      <c r="G3335" t="s">
        <v>20</v>
      </c>
      <c r="H3335" s="1">
        <v>45380</v>
      </c>
      <c r="I3335" s="1">
        <v>45419</v>
      </c>
      <c r="J3335" t="str">
        <f t="shared" si="52"/>
        <v>Mar-2024</v>
      </c>
    </row>
    <row r="3336" spans="1:10">
      <c r="A3336">
        <v>3335</v>
      </c>
      <c r="B3336">
        <v>19056</v>
      </c>
      <c r="C3336" t="s">
        <v>18</v>
      </c>
      <c r="D3336">
        <v>161496.92000000001</v>
      </c>
      <c r="E3336" t="s">
        <v>16</v>
      </c>
      <c r="F3336">
        <v>44</v>
      </c>
      <c r="G3336" t="s">
        <v>17</v>
      </c>
      <c r="H3336" s="1">
        <v>45534</v>
      </c>
      <c r="I3336" s="1">
        <v>45578</v>
      </c>
      <c r="J3336" t="str">
        <f t="shared" si="52"/>
        <v>Aug-2024</v>
      </c>
    </row>
    <row r="3337" spans="1:10">
      <c r="A3337">
        <v>3336</v>
      </c>
      <c r="B3337">
        <v>16514</v>
      </c>
      <c r="C3337" t="s">
        <v>18</v>
      </c>
      <c r="D3337">
        <v>115278.72</v>
      </c>
      <c r="E3337" t="s">
        <v>24</v>
      </c>
      <c r="G3337" t="s">
        <v>21</v>
      </c>
      <c r="H3337" s="1">
        <v>45641</v>
      </c>
      <c r="J3337" t="str">
        <f t="shared" si="52"/>
        <v>Dec-2024</v>
      </c>
    </row>
    <row r="3338" spans="1:10">
      <c r="A3338">
        <v>3337</v>
      </c>
      <c r="B3338">
        <v>14900</v>
      </c>
      <c r="C3338" t="s">
        <v>15</v>
      </c>
      <c r="D3338">
        <v>180809.2</v>
      </c>
      <c r="E3338" t="s">
        <v>16</v>
      </c>
      <c r="F3338">
        <v>36</v>
      </c>
      <c r="G3338" t="s">
        <v>25</v>
      </c>
      <c r="H3338" s="1">
        <v>45308</v>
      </c>
      <c r="I3338" s="1">
        <v>45344</v>
      </c>
      <c r="J3338" t="str">
        <f t="shared" si="52"/>
        <v>Jan-2024</v>
      </c>
    </row>
    <row r="3339" spans="1:10">
      <c r="A3339">
        <v>3338</v>
      </c>
      <c r="B3339">
        <v>10027</v>
      </c>
      <c r="C3339" t="s">
        <v>23</v>
      </c>
      <c r="D3339">
        <v>101616.95</v>
      </c>
      <c r="E3339" t="s">
        <v>19</v>
      </c>
      <c r="F3339">
        <v>24</v>
      </c>
      <c r="G3339" t="s">
        <v>25</v>
      </c>
      <c r="H3339" s="1">
        <v>45514</v>
      </c>
      <c r="I3339" s="1">
        <v>45538</v>
      </c>
      <c r="J3339" t="str">
        <f t="shared" si="52"/>
        <v>Aug-2024</v>
      </c>
    </row>
    <row r="3340" spans="1:10">
      <c r="A3340">
        <v>3339</v>
      </c>
      <c r="B3340">
        <v>15349</v>
      </c>
      <c r="C3340" t="s">
        <v>18</v>
      </c>
      <c r="D3340">
        <v>188578.01</v>
      </c>
      <c r="E3340" t="s">
        <v>16</v>
      </c>
      <c r="F3340">
        <v>40</v>
      </c>
      <c r="G3340" t="s">
        <v>25</v>
      </c>
      <c r="H3340" s="1">
        <v>45654</v>
      </c>
      <c r="I3340" s="1">
        <v>45694</v>
      </c>
      <c r="J3340" t="str">
        <f t="shared" si="52"/>
        <v>Dec-2024</v>
      </c>
    </row>
    <row r="3341" spans="1:10">
      <c r="A3341">
        <v>3340</v>
      </c>
      <c r="B3341">
        <v>11029</v>
      </c>
      <c r="C3341" t="s">
        <v>18</v>
      </c>
      <c r="D3341">
        <v>178914.3</v>
      </c>
      <c r="E3341" t="s">
        <v>16</v>
      </c>
      <c r="F3341">
        <v>26</v>
      </c>
      <c r="G3341" t="s">
        <v>21</v>
      </c>
      <c r="H3341" s="1">
        <v>45501</v>
      </c>
      <c r="I3341" s="1">
        <v>45527</v>
      </c>
      <c r="J3341" t="str">
        <f t="shared" si="52"/>
        <v>Jul-2024</v>
      </c>
    </row>
    <row r="3342" spans="1:10">
      <c r="A3342">
        <v>3341</v>
      </c>
      <c r="B3342">
        <v>16616</v>
      </c>
      <c r="C3342" t="s">
        <v>23</v>
      </c>
      <c r="D3342">
        <v>117409.67</v>
      </c>
      <c r="E3342" t="s">
        <v>19</v>
      </c>
      <c r="F3342">
        <v>23</v>
      </c>
      <c r="G3342" t="s">
        <v>17</v>
      </c>
      <c r="H3342" s="1">
        <v>45390</v>
      </c>
      <c r="I3342" s="1">
        <v>45413</v>
      </c>
      <c r="J3342" t="str">
        <f t="shared" si="52"/>
        <v>Apr-2024</v>
      </c>
    </row>
    <row r="3343" spans="1:10">
      <c r="A3343">
        <v>3342</v>
      </c>
      <c r="B3343">
        <v>11996</v>
      </c>
      <c r="C3343" t="s">
        <v>23</v>
      </c>
      <c r="D3343">
        <v>187109.22</v>
      </c>
      <c r="E3343" t="s">
        <v>16</v>
      </c>
      <c r="F3343">
        <v>9</v>
      </c>
      <c r="G3343" t="s">
        <v>25</v>
      </c>
      <c r="H3343" s="1">
        <v>45304</v>
      </c>
      <c r="I3343" s="1">
        <v>45313</v>
      </c>
      <c r="J3343" t="str">
        <f t="shared" si="52"/>
        <v>Jan-2024</v>
      </c>
    </row>
    <row r="3344" spans="1:10">
      <c r="A3344">
        <v>3343</v>
      </c>
      <c r="B3344">
        <v>11341</v>
      </c>
      <c r="C3344" t="s">
        <v>23</v>
      </c>
      <c r="D3344">
        <v>68002.31</v>
      </c>
      <c r="E3344" t="s">
        <v>19</v>
      </c>
      <c r="F3344">
        <v>10</v>
      </c>
      <c r="G3344" t="s">
        <v>20</v>
      </c>
      <c r="H3344" s="1">
        <v>45610</v>
      </c>
      <c r="I3344" s="1">
        <v>45620</v>
      </c>
      <c r="J3344" t="str">
        <f t="shared" si="52"/>
        <v>Nov-2024</v>
      </c>
    </row>
    <row r="3345" spans="1:10">
      <c r="A3345">
        <v>3344</v>
      </c>
      <c r="B3345">
        <v>19440</v>
      </c>
      <c r="C3345" t="s">
        <v>23</v>
      </c>
      <c r="D3345">
        <v>76300.22</v>
      </c>
      <c r="E3345" t="s">
        <v>16</v>
      </c>
      <c r="F3345">
        <v>16</v>
      </c>
      <c r="G3345" t="s">
        <v>25</v>
      </c>
      <c r="H3345" s="1">
        <v>45561</v>
      </c>
      <c r="I3345" s="1">
        <v>45577</v>
      </c>
      <c r="J3345" t="str">
        <f t="shared" si="52"/>
        <v>Sep-2024</v>
      </c>
    </row>
    <row r="3346" spans="1:10">
      <c r="A3346">
        <v>3345</v>
      </c>
      <c r="B3346">
        <v>12087</v>
      </c>
      <c r="C3346" t="s">
        <v>15</v>
      </c>
      <c r="D3346">
        <v>13868.2</v>
      </c>
      <c r="E3346" t="s">
        <v>16</v>
      </c>
      <c r="F3346">
        <v>21</v>
      </c>
      <c r="G3346" t="s">
        <v>25</v>
      </c>
      <c r="H3346" s="1">
        <v>45478</v>
      </c>
      <c r="I3346" s="1">
        <v>45499</v>
      </c>
      <c r="J3346" t="str">
        <f t="shared" si="52"/>
        <v>Jul-2024</v>
      </c>
    </row>
    <row r="3347" spans="1:10">
      <c r="A3347">
        <v>3346</v>
      </c>
      <c r="B3347">
        <v>18872</v>
      </c>
      <c r="C3347" t="s">
        <v>23</v>
      </c>
      <c r="D3347">
        <v>119894.18</v>
      </c>
      <c r="E3347" t="s">
        <v>19</v>
      </c>
      <c r="F3347">
        <v>36</v>
      </c>
      <c r="G3347" t="s">
        <v>25</v>
      </c>
      <c r="H3347" s="1">
        <v>45565</v>
      </c>
      <c r="I3347" s="1">
        <v>45601</v>
      </c>
      <c r="J3347" t="str">
        <f t="shared" si="52"/>
        <v>Sep-2024</v>
      </c>
    </row>
    <row r="3348" spans="1:10">
      <c r="A3348">
        <v>3347</v>
      </c>
      <c r="B3348">
        <v>10374</v>
      </c>
      <c r="C3348" t="s">
        <v>23</v>
      </c>
      <c r="D3348">
        <v>145775.17000000001</v>
      </c>
      <c r="E3348" t="s">
        <v>16</v>
      </c>
      <c r="F3348">
        <v>38</v>
      </c>
      <c r="G3348" t="s">
        <v>25</v>
      </c>
      <c r="H3348" s="1">
        <v>45424</v>
      </c>
      <c r="I3348" s="1">
        <v>45462</v>
      </c>
      <c r="J3348" t="str">
        <f t="shared" si="52"/>
        <v>May-2024</v>
      </c>
    </row>
    <row r="3349" spans="1:10">
      <c r="A3349">
        <v>3348</v>
      </c>
      <c r="B3349">
        <v>13045</v>
      </c>
      <c r="C3349" t="s">
        <v>18</v>
      </c>
      <c r="D3349">
        <v>155836.24</v>
      </c>
      <c r="E3349" t="s">
        <v>19</v>
      </c>
      <c r="F3349">
        <v>4</v>
      </c>
      <c r="G3349" t="s">
        <v>17</v>
      </c>
      <c r="H3349" s="1">
        <v>45305</v>
      </c>
      <c r="I3349" s="1">
        <v>45309</v>
      </c>
      <c r="J3349" t="str">
        <f t="shared" si="52"/>
        <v>Jan-2024</v>
      </c>
    </row>
    <row r="3350" spans="1:10">
      <c r="A3350">
        <v>3349</v>
      </c>
      <c r="B3350">
        <v>16275</v>
      </c>
      <c r="C3350" t="s">
        <v>23</v>
      </c>
      <c r="D3350">
        <v>34214.18</v>
      </c>
      <c r="E3350" t="s">
        <v>24</v>
      </c>
      <c r="G3350" t="s">
        <v>20</v>
      </c>
      <c r="H3350" s="1">
        <v>45572</v>
      </c>
      <c r="J3350" t="str">
        <f t="shared" si="52"/>
        <v>Oct-2024</v>
      </c>
    </row>
    <row r="3351" spans="1:10">
      <c r="A3351">
        <v>3350</v>
      </c>
      <c r="B3351">
        <v>15949</v>
      </c>
      <c r="C3351" t="s">
        <v>18</v>
      </c>
      <c r="D3351">
        <v>91611.02</v>
      </c>
      <c r="E3351" t="s">
        <v>16</v>
      </c>
      <c r="F3351">
        <v>35</v>
      </c>
      <c r="G3351" t="s">
        <v>17</v>
      </c>
      <c r="H3351" s="1">
        <v>45335</v>
      </c>
      <c r="I3351" s="1">
        <v>45370</v>
      </c>
      <c r="J3351" t="str">
        <f t="shared" si="52"/>
        <v>Feb-2024</v>
      </c>
    </row>
    <row r="3352" spans="1:10">
      <c r="A3352">
        <v>3351</v>
      </c>
      <c r="B3352">
        <v>10805</v>
      </c>
      <c r="C3352" t="s">
        <v>23</v>
      </c>
      <c r="D3352">
        <v>39488.33</v>
      </c>
      <c r="E3352" t="s">
        <v>16</v>
      </c>
      <c r="F3352">
        <v>37</v>
      </c>
      <c r="G3352" t="s">
        <v>20</v>
      </c>
      <c r="H3352" s="1">
        <v>45586</v>
      </c>
      <c r="I3352" s="1">
        <v>45623</v>
      </c>
      <c r="J3352" t="str">
        <f t="shared" si="52"/>
        <v>Oct-2024</v>
      </c>
    </row>
    <row r="3353" spans="1:10">
      <c r="A3353">
        <v>3352</v>
      </c>
      <c r="B3353">
        <v>16352</v>
      </c>
      <c r="C3353" t="s">
        <v>22</v>
      </c>
      <c r="D3353">
        <v>134114.82999999999</v>
      </c>
      <c r="E3353" t="s">
        <v>16</v>
      </c>
      <c r="F3353">
        <v>36</v>
      </c>
      <c r="G3353" t="s">
        <v>25</v>
      </c>
      <c r="H3353" s="1">
        <v>45395</v>
      </c>
      <c r="I3353" s="1">
        <v>45431</v>
      </c>
      <c r="J3353" t="str">
        <f t="shared" si="52"/>
        <v>Apr-2024</v>
      </c>
    </row>
    <row r="3354" spans="1:10">
      <c r="A3354">
        <v>3353</v>
      </c>
      <c r="B3354">
        <v>16470</v>
      </c>
      <c r="C3354" t="s">
        <v>15</v>
      </c>
      <c r="D3354">
        <v>35799.54</v>
      </c>
      <c r="E3354" t="s">
        <v>16</v>
      </c>
      <c r="F3354">
        <v>10</v>
      </c>
      <c r="G3354" t="s">
        <v>21</v>
      </c>
      <c r="H3354" s="1">
        <v>45353</v>
      </c>
      <c r="I3354" s="1">
        <v>45363</v>
      </c>
      <c r="J3354" t="str">
        <f t="shared" si="52"/>
        <v>Mar-2024</v>
      </c>
    </row>
    <row r="3355" spans="1:10">
      <c r="A3355">
        <v>3354</v>
      </c>
      <c r="B3355">
        <v>16646</v>
      </c>
      <c r="C3355" t="s">
        <v>15</v>
      </c>
      <c r="D3355">
        <v>181311.92</v>
      </c>
      <c r="E3355" t="s">
        <v>19</v>
      </c>
      <c r="F3355">
        <v>31</v>
      </c>
      <c r="G3355" t="s">
        <v>17</v>
      </c>
      <c r="H3355" s="1">
        <v>45344</v>
      </c>
      <c r="I3355" s="1">
        <v>45375</v>
      </c>
      <c r="J3355" t="str">
        <f t="shared" si="52"/>
        <v>Feb-2024</v>
      </c>
    </row>
    <row r="3356" spans="1:10">
      <c r="A3356">
        <v>3355</v>
      </c>
      <c r="B3356">
        <v>10278</v>
      </c>
      <c r="C3356" t="s">
        <v>23</v>
      </c>
      <c r="D3356">
        <v>49973.760000000002</v>
      </c>
      <c r="E3356" t="s">
        <v>16</v>
      </c>
      <c r="F3356">
        <v>27</v>
      </c>
      <c r="G3356" t="s">
        <v>21</v>
      </c>
      <c r="H3356" s="1">
        <v>45600</v>
      </c>
      <c r="I3356" s="1">
        <v>45627</v>
      </c>
      <c r="J3356" t="str">
        <f t="shared" si="52"/>
        <v>Nov-2024</v>
      </c>
    </row>
    <row r="3357" spans="1:10">
      <c r="A3357">
        <v>3356</v>
      </c>
      <c r="B3357">
        <v>11405</v>
      </c>
      <c r="C3357" t="s">
        <v>18</v>
      </c>
      <c r="D3357">
        <v>61823.44</v>
      </c>
      <c r="E3357" t="s">
        <v>16</v>
      </c>
      <c r="F3357">
        <v>13</v>
      </c>
      <c r="G3357" t="s">
        <v>17</v>
      </c>
      <c r="H3357" s="1">
        <v>45409</v>
      </c>
      <c r="I3357" s="1">
        <v>45422</v>
      </c>
      <c r="J3357" t="str">
        <f t="shared" si="52"/>
        <v>Apr-2024</v>
      </c>
    </row>
    <row r="3358" spans="1:10">
      <c r="A3358">
        <v>3357</v>
      </c>
      <c r="B3358">
        <v>18979</v>
      </c>
      <c r="C3358" t="s">
        <v>23</v>
      </c>
      <c r="D3358">
        <v>170926.73</v>
      </c>
      <c r="E3358" t="s">
        <v>19</v>
      </c>
      <c r="F3358">
        <v>25</v>
      </c>
      <c r="G3358" t="s">
        <v>25</v>
      </c>
      <c r="H3358" s="1">
        <v>45612</v>
      </c>
      <c r="I3358" s="1">
        <v>45637</v>
      </c>
      <c r="J3358" t="str">
        <f t="shared" si="52"/>
        <v>Nov-2024</v>
      </c>
    </row>
    <row r="3359" spans="1:10">
      <c r="A3359">
        <v>3358</v>
      </c>
      <c r="B3359">
        <v>17150</v>
      </c>
      <c r="C3359" t="s">
        <v>23</v>
      </c>
      <c r="D3359">
        <v>94401.18</v>
      </c>
      <c r="E3359" t="s">
        <v>16</v>
      </c>
      <c r="F3359">
        <v>42</v>
      </c>
      <c r="G3359" t="s">
        <v>17</v>
      </c>
      <c r="H3359" s="1">
        <v>45422</v>
      </c>
      <c r="I3359" s="1">
        <v>45464</v>
      </c>
      <c r="J3359" t="str">
        <f t="shared" si="52"/>
        <v>May-2024</v>
      </c>
    </row>
    <row r="3360" spans="1:10">
      <c r="A3360">
        <v>3359</v>
      </c>
      <c r="B3360">
        <v>11332</v>
      </c>
      <c r="C3360" t="s">
        <v>23</v>
      </c>
      <c r="D3360">
        <v>9679.2099999999991</v>
      </c>
      <c r="E3360" t="s">
        <v>19</v>
      </c>
      <c r="F3360">
        <v>20</v>
      </c>
      <c r="G3360" t="s">
        <v>25</v>
      </c>
      <c r="H3360" s="1">
        <v>45590</v>
      </c>
      <c r="I3360" s="1">
        <v>45610</v>
      </c>
      <c r="J3360" t="str">
        <f t="shared" si="52"/>
        <v>Oct-2024</v>
      </c>
    </row>
    <row r="3361" spans="1:10">
      <c r="A3361">
        <v>3360</v>
      </c>
      <c r="B3361">
        <v>18065</v>
      </c>
      <c r="C3361" t="s">
        <v>18</v>
      </c>
      <c r="D3361">
        <v>101444.32</v>
      </c>
      <c r="E3361" t="s">
        <v>16</v>
      </c>
      <c r="F3361">
        <v>17</v>
      </c>
      <c r="G3361" t="s">
        <v>17</v>
      </c>
      <c r="H3361" s="1">
        <v>45597</v>
      </c>
      <c r="I3361" s="1">
        <v>45614</v>
      </c>
      <c r="J3361" t="str">
        <f t="shared" si="52"/>
        <v>Nov-2024</v>
      </c>
    </row>
    <row r="3362" spans="1:10">
      <c r="A3362">
        <v>3361</v>
      </c>
      <c r="B3362">
        <v>13147</v>
      </c>
      <c r="C3362" t="s">
        <v>23</v>
      </c>
      <c r="D3362">
        <v>21485.95</v>
      </c>
      <c r="E3362" t="s">
        <v>24</v>
      </c>
      <c r="G3362" t="s">
        <v>25</v>
      </c>
      <c r="H3362" s="1">
        <v>45490</v>
      </c>
      <c r="J3362" t="str">
        <f t="shared" si="52"/>
        <v>Jul-2024</v>
      </c>
    </row>
    <row r="3363" spans="1:10">
      <c r="A3363">
        <v>3362</v>
      </c>
      <c r="B3363">
        <v>17992</v>
      </c>
      <c r="C3363" t="s">
        <v>18</v>
      </c>
      <c r="D3363">
        <v>197142.22</v>
      </c>
      <c r="E3363" t="s">
        <v>16</v>
      </c>
      <c r="F3363">
        <v>24</v>
      </c>
      <c r="G3363" t="s">
        <v>25</v>
      </c>
      <c r="H3363" s="1">
        <v>45327</v>
      </c>
      <c r="I3363" s="1">
        <v>45351</v>
      </c>
      <c r="J3363" t="str">
        <f t="shared" si="52"/>
        <v>Feb-2024</v>
      </c>
    </row>
    <row r="3364" spans="1:10">
      <c r="A3364">
        <v>3363</v>
      </c>
      <c r="B3364">
        <v>13449</v>
      </c>
      <c r="C3364" t="s">
        <v>23</v>
      </c>
      <c r="D3364">
        <v>119681.76</v>
      </c>
      <c r="E3364" t="s">
        <v>16</v>
      </c>
      <c r="F3364">
        <v>34</v>
      </c>
      <c r="G3364" t="s">
        <v>20</v>
      </c>
      <c r="H3364" s="1">
        <v>45570</v>
      </c>
      <c r="I3364" s="1">
        <v>45604</v>
      </c>
      <c r="J3364" t="str">
        <f t="shared" si="52"/>
        <v>Oct-2024</v>
      </c>
    </row>
    <row r="3365" spans="1:10">
      <c r="A3365">
        <v>3364</v>
      </c>
      <c r="B3365">
        <v>10432</v>
      </c>
      <c r="C3365" t="s">
        <v>23</v>
      </c>
      <c r="D3365">
        <v>55023.86</v>
      </c>
      <c r="E3365" t="s">
        <v>16</v>
      </c>
      <c r="F3365">
        <v>43</v>
      </c>
      <c r="G3365" t="s">
        <v>25</v>
      </c>
      <c r="H3365" s="1">
        <v>45507</v>
      </c>
      <c r="I3365" s="1">
        <v>45550</v>
      </c>
      <c r="J3365" t="str">
        <f t="shared" si="52"/>
        <v>Aug-2024</v>
      </c>
    </row>
    <row r="3366" spans="1:10">
      <c r="A3366">
        <v>3365</v>
      </c>
      <c r="B3366">
        <v>18026</v>
      </c>
      <c r="C3366" t="s">
        <v>18</v>
      </c>
      <c r="D3366">
        <v>114924.95</v>
      </c>
      <c r="E3366" t="s">
        <v>16</v>
      </c>
      <c r="F3366">
        <v>31</v>
      </c>
      <c r="G3366" t="s">
        <v>20</v>
      </c>
      <c r="H3366" s="1">
        <v>45365</v>
      </c>
      <c r="I3366" s="1">
        <v>45396</v>
      </c>
      <c r="J3366" t="str">
        <f t="shared" si="52"/>
        <v>Mar-2024</v>
      </c>
    </row>
    <row r="3367" spans="1:10">
      <c r="A3367">
        <v>3366</v>
      </c>
      <c r="B3367">
        <v>11009</v>
      </c>
      <c r="C3367" t="s">
        <v>23</v>
      </c>
      <c r="D3367">
        <v>19989.09</v>
      </c>
      <c r="E3367" t="s">
        <v>24</v>
      </c>
      <c r="G3367" t="s">
        <v>25</v>
      </c>
      <c r="H3367" s="1">
        <v>45597</v>
      </c>
      <c r="J3367" t="str">
        <f t="shared" si="52"/>
        <v>Nov-2024</v>
      </c>
    </row>
    <row r="3368" spans="1:10">
      <c r="A3368">
        <v>3367</v>
      </c>
      <c r="B3368">
        <v>17279</v>
      </c>
      <c r="C3368" t="s">
        <v>18</v>
      </c>
      <c r="D3368">
        <v>160978.79999999999</v>
      </c>
      <c r="E3368" t="s">
        <v>16</v>
      </c>
      <c r="F3368">
        <v>11</v>
      </c>
      <c r="G3368" t="s">
        <v>21</v>
      </c>
      <c r="H3368" s="1">
        <v>45346</v>
      </c>
      <c r="I3368" s="1">
        <v>45357</v>
      </c>
      <c r="J3368" t="str">
        <f t="shared" si="52"/>
        <v>Feb-2024</v>
      </c>
    </row>
    <row r="3369" spans="1:10">
      <c r="A3369">
        <v>3368</v>
      </c>
      <c r="B3369">
        <v>15191</v>
      </c>
      <c r="C3369" t="s">
        <v>23</v>
      </c>
      <c r="D3369">
        <v>185438.97</v>
      </c>
      <c r="E3369" t="s">
        <v>19</v>
      </c>
      <c r="F3369">
        <v>37</v>
      </c>
      <c r="G3369" t="s">
        <v>25</v>
      </c>
      <c r="H3369" s="1">
        <v>45303</v>
      </c>
      <c r="I3369" s="1">
        <v>45340</v>
      </c>
      <c r="J3369" t="str">
        <f t="shared" si="52"/>
        <v>Jan-2024</v>
      </c>
    </row>
    <row r="3370" spans="1:10">
      <c r="A3370">
        <v>3369</v>
      </c>
      <c r="B3370">
        <v>18508</v>
      </c>
      <c r="C3370" t="s">
        <v>15</v>
      </c>
      <c r="D3370">
        <v>175516.66</v>
      </c>
      <c r="E3370" t="s">
        <v>16</v>
      </c>
      <c r="F3370">
        <v>32</v>
      </c>
      <c r="G3370" t="s">
        <v>21</v>
      </c>
      <c r="H3370" s="1">
        <v>45374</v>
      </c>
      <c r="I3370" s="1">
        <v>45406</v>
      </c>
      <c r="J3370" t="str">
        <f t="shared" si="52"/>
        <v>Mar-2024</v>
      </c>
    </row>
    <row r="3371" spans="1:10">
      <c r="A3371">
        <v>3370</v>
      </c>
      <c r="B3371">
        <v>15307</v>
      </c>
      <c r="C3371" t="s">
        <v>18</v>
      </c>
      <c r="D3371">
        <v>71642.73</v>
      </c>
      <c r="E3371" t="s">
        <v>16</v>
      </c>
      <c r="F3371">
        <v>44</v>
      </c>
      <c r="G3371" t="s">
        <v>21</v>
      </c>
      <c r="H3371" s="1">
        <v>45323</v>
      </c>
      <c r="I3371" s="1">
        <v>45367</v>
      </c>
      <c r="J3371" t="str">
        <f t="shared" si="52"/>
        <v>Feb-2024</v>
      </c>
    </row>
    <row r="3372" spans="1:10">
      <c r="A3372">
        <v>3371</v>
      </c>
      <c r="B3372">
        <v>14216</v>
      </c>
      <c r="C3372" t="s">
        <v>23</v>
      </c>
      <c r="D3372">
        <v>68524.78</v>
      </c>
      <c r="E3372" t="s">
        <v>16</v>
      </c>
      <c r="F3372">
        <v>23</v>
      </c>
      <c r="G3372" t="s">
        <v>25</v>
      </c>
      <c r="H3372" s="1">
        <v>45377</v>
      </c>
      <c r="I3372" s="1">
        <v>45400</v>
      </c>
      <c r="J3372" t="str">
        <f t="shared" si="52"/>
        <v>Mar-2024</v>
      </c>
    </row>
    <row r="3373" spans="1:10">
      <c r="A3373">
        <v>3372</v>
      </c>
      <c r="B3373">
        <v>11365</v>
      </c>
      <c r="C3373" t="s">
        <v>23</v>
      </c>
      <c r="D3373">
        <v>11842.08</v>
      </c>
      <c r="E3373" t="s">
        <v>16</v>
      </c>
      <c r="F3373">
        <v>44</v>
      </c>
      <c r="G3373" t="s">
        <v>21</v>
      </c>
      <c r="H3373" s="1">
        <v>45523</v>
      </c>
      <c r="I3373" s="1">
        <v>45567</v>
      </c>
      <c r="J3373" t="str">
        <f t="shared" si="52"/>
        <v>Aug-2024</v>
      </c>
    </row>
    <row r="3374" spans="1:10">
      <c r="A3374">
        <v>3373</v>
      </c>
      <c r="B3374">
        <v>16796</v>
      </c>
      <c r="C3374" t="s">
        <v>18</v>
      </c>
      <c r="D3374">
        <v>132023.07</v>
      </c>
      <c r="E3374" t="s">
        <v>16</v>
      </c>
      <c r="F3374">
        <v>44</v>
      </c>
      <c r="G3374" t="s">
        <v>20</v>
      </c>
      <c r="H3374" s="1">
        <v>45566</v>
      </c>
      <c r="I3374" s="1">
        <v>45610</v>
      </c>
      <c r="J3374" t="str">
        <f t="shared" si="52"/>
        <v>Oct-2024</v>
      </c>
    </row>
    <row r="3375" spans="1:10">
      <c r="A3375">
        <v>3374</v>
      </c>
      <c r="B3375">
        <v>19127</v>
      </c>
      <c r="C3375" t="s">
        <v>15</v>
      </c>
      <c r="D3375">
        <v>109306.43</v>
      </c>
      <c r="E3375" t="s">
        <v>16</v>
      </c>
      <c r="F3375">
        <v>39</v>
      </c>
      <c r="G3375" t="s">
        <v>17</v>
      </c>
      <c r="H3375" s="1">
        <v>45492</v>
      </c>
      <c r="I3375" s="1">
        <v>45531</v>
      </c>
      <c r="J3375" t="str">
        <f t="shared" si="52"/>
        <v>Jul-2024</v>
      </c>
    </row>
    <row r="3376" spans="1:10">
      <c r="A3376">
        <v>3375</v>
      </c>
      <c r="B3376">
        <v>13518</v>
      </c>
      <c r="C3376" t="s">
        <v>23</v>
      </c>
      <c r="D3376">
        <v>94572.54</v>
      </c>
      <c r="E3376" t="s">
        <v>24</v>
      </c>
      <c r="G3376" t="s">
        <v>25</v>
      </c>
      <c r="H3376" s="1">
        <v>45342</v>
      </c>
      <c r="J3376" t="str">
        <f t="shared" si="52"/>
        <v>Feb-2024</v>
      </c>
    </row>
    <row r="3377" spans="1:10">
      <c r="A3377">
        <v>3376</v>
      </c>
      <c r="B3377">
        <v>12768</v>
      </c>
      <c r="C3377" t="s">
        <v>23</v>
      </c>
      <c r="D3377">
        <v>181988.04</v>
      </c>
      <c r="E3377" t="s">
        <v>16</v>
      </c>
      <c r="F3377">
        <v>24</v>
      </c>
      <c r="G3377" t="s">
        <v>21</v>
      </c>
      <c r="H3377" s="1">
        <v>45611</v>
      </c>
      <c r="I3377" s="1">
        <v>45635</v>
      </c>
      <c r="J3377" t="str">
        <f t="shared" si="52"/>
        <v>Nov-2024</v>
      </c>
    </row>
    <row r="3378" spans="1:10">
      <c r="A3378">
        <v>3377</v>
      </c>
      <c r="B3378">
        <v>10495</v>
      </c>
      <c r="C3378" t="s">
        <v>15</v>
      </c>
      <c r="D3378">
        <v>37736.39</v>
      </c>
      <c r="E3378" t="s">
        <v>16</v>
      </c>
      <c r="F3378">
        <v>36</v>
      </c>
      <c r="G3378" t="s">
        <v>25</v>
      </c>
      <c r="H3378" s="1">
        <v>45547</v>
      </c>
      <c r="I3378" s="1">
        <v>45583</v>
      </c>
      <c r="J3378" t="str">
        <f t="shared" si="52"/>
        <v>Sep-2024</v>
      </c>
    </row>
    <row r="3379" spans="1:10">
      <c r="A3379">
        <v>3378</v>
      </c>
      <c r="B3379">
        <v>13592</v>
      </c>
      <c r="C3379" t="s">
        <v>18</v>
      </c>
      <c r="D3379">
        <v>6884.92</v>
      </c>
      <c r="E3379" t="s">
        <v>16</v>
      </c>
      <c r="F3379">
        <v>38</v>
      </c>
      <c r="G3379" t="s">
        <v>20</v>
      </c>
      <c r="H3379" s="1">
        <v>45532</v>
      </c>
      <c r="I3379" s="1">
        <v>45570</v>
      </c>
      <c r="J3379" t="str">
        <f t="shared" si="52"/>
        <v>Aug-2024</v>
      </c>
    </row>
    <row r="3380" spans="1:10">
      <c r="A3380">
        <v>3379</v>
      </c>
      <c r="B3380">
        <v>12232</v>
      </c>
      <c r="C3380" t="s">
        <v>23</v>
      </c>
      <c r="D3380">
        <v>19296.71</v>
      </c>
      <c r="E3380" t="s">
        <v>16</v>
      </c>
      <c r="F3380">
        <v>33</v>
      </c>
      <c r="G3380" t="s">
        <v>25</v>
      </c>
      <c r="H3380" s="1">
        <v>45496</v>
      </c>
      <c r="I3380" s="1">
        <v>45529</v>
      </c>
      <c r="J3380" t="str">
        <f t="shared" si="52"/>
        <v>Jul-2024</v>
      </c>
    </row>
    <row r="3381" spans="1:10">
      <c r="A3381">
        <v>3380</v>
      </c>
      <c r="B3381">
        <v>18048</v>
      </c>
      <c r="C3381" t="s">
        <v>23</v>
      </c>
      <c r="D3381">
        <v>48557.43</v>
      </c>
      <c r="E3381" t="s">
        <v>24</v>
      </c>
      <c r="G3381" t="s">
        <v>25</v>
      </c>
      <c r="H3381" s="1">
        <v>45487</v>
      </c>
      <c r="J3381" t="str">
        <f t="shared" si="52"/>
        <v>Jul-2024</v>
      </c>
    </row>
    <row r="3382" spans="1:10">
      <c r="A3382">
        <v>3381</v>
      </c>
      <c r="B3382">
        <v>12935</v>
      </c>
      <c r="C3382" t="s">
        <v>23</v>
      </c>
      <c r="D3382">
        <v>11490.68</v>
      </c>
      <c r="E3382" t="s">
        <v>16</v>
      </c>
      <c r="F3382">
        <v>13</v>
      </c>
      <c r="G3382" t="s">
        <v>21</v>
      </c>
      <c r="H3382" s="1">
        <v>45535</v>
      </c>
      <c r="I3382" s="1">
        <v>45548</v>
      </c>
      <c r="J3382" t="str">
        <f t="shared" si="52"/>
        <v>Aug-2024</v>
      </c>
    </row>
    <row r="3383" spans="1:10">
      <c r="A3383">
        <v>3382</v>
      </c>
      <c r="B3383">
        <v>16719</v>
      </c>
      <c r="C3383" t="s">
        <v>18</v>
      </c>
      <c r="D3383">
        <v>103054.52</v>
      </c>
      <c r="E3383" t="s">
        <v>16</v>
      </c>
      <c r="F3383">
        <v>36</v>
      </c>
      <c r="G3383" t="s">
        <v>20</v>
      </c>
      <c r="H3383" s="1">
        <v>45611</v>
      </c>
      <c r="I3383" s="1">
        <v>45647</v>
      </c>
      <c r="J3383" t="str">
        <f t="shared" si="52"/>
        <v>Nov-2024</v>
      </c>
    </row>
    <row r="3384" spans="1:10">
      <c r="A3384">
        <v>3383</v>
      </c>
      <c r="B3384">
        <v>14445</v>
      </c>
      <c r="C3384" t="s">
        <v>23</v>
      </c>
      <c r="D3384">
        <v>66247.64</v>
      </c>
      <c r="E3384" t="s">
        <v>16</v>
      </c>
      <c r="F3384">
        <v>42</v>
      </c>
      <c r="G3384" t="s">
        <v>17</v>
      </c>
      <c r="H3384" s="1">
        <v>45292</v>
      </c>
      <c r="I3384" s="1">
        <v>45334</v>
      </c>
      <c r="J3384" t="str">
        <f t="shared" si="52"/>
        <v>Jan-2024</v>
      </c>
    </row>
    <row r="3385" spans="1:10">
      <c r="A3385">
        <v>3384</v>
      </c>
      <c r="B3385">
        <v>12367</v>
      </c>
      <c r="C3385" t="s">
        <v>22</v>
      </c>
      <c r="D3385">
        <v>40194.19</v>
      </c>
      <c r="E3385" t="s">
        <v>16</v>
      </c>
      <c r="F3385">
        <v>4</v>
      </c>
      <c r="G3385" t="s">
        <v>17</v>
      </c>
      <c r="H3385" s="1">
        <v>45380</v>
      </c>
      <c r="I3385" s="1">
        <v>45384</v>
      </c>
      <c r="J3385" t="str">
        <f t="shared" si="52"/>
        <v>Mar-2024</v>
      </c>
    </row>
    <row r="3386" spans="1:10">
      <c r="A3386">
        <v>3385</v>
      </c>
      <c r="B3386">
        <v>16555</v>
      </c>
      <c r="C3386" t="s">
        <v>23</v>
      </c>
      <c r="D3386">
        <v>151266.39000000001</v>
      </c>
      <c r="E3386" t="s">
        <v>16</v>
      </c>
      <c r="F3386">
        <v>35</v>
      </c>
      <c r="G3386" t="s">
        <v>21</v>
      </c>
      <c r="H3386" s="1">
        <v>45573</v>
      </c>
      <c r="I3386" s="1">
        <v>45608</v>
      </c>
      <c r="J3386" t="str">
        <f t="shared" si="52"/>
        <v>Oct-2024</v>
      </c>
    </row>
    <row r="3387" spans="1:10">
      <c r="A3387">
        <v>3386</v>
      </c>
      <c r="B3387">
        <v>10905</v>
      </c>
      <c r="C3387" t="s">
        <v>23</v>
      </c>
      <c r="D3387">
        <v>44868.01</v>
      </c>
      <c r="E3387" t="s">
        <v>16</v>
      </c>
      <c r="F3387">
        <v>39</v>
      </c>
      <c r="G3387" t="s">
        <v>25</v>
      </c>
      <c r="H3387" s="1">
        <v>45430</v>
      </c>
      <c r="I3387" s="1">
        <v>45469</v>
      </c>
      <c r="J3387" t="str">
        <f t="shared" si="52"/>
        <v>May-2024</v>
      </c>
    </row>
    <row r="3388" spans="1:10">
      <c r="A3388">
        <v>3387</v>
      </c>
      <c r="B3388">
        <v>18168</v>
      </c>
      <c r="C3388" t="s">
        <v>18</v>
      </c>
      <c r="D3388">
        <v>139082.99</v>
      </c>
      <c r="E3388" t="s">
        <v>16</v>
      </c>
      <c r="F3388">
        <v>25</v>
      </c>
      <c r="G3388" t="s">
        <v>21</v>
      </c>
      <c r="H3388" s="1">
        <v>45378</v>
      </c>
      <c r="I3388" s="1">
        <v>45403</v>
      </c>
      <c r="J3388" t="str">
        <f t="shared" si="52"/>
        <v>Mar-2024</v>
      </c>
    </row>
    <row r="3389" spans="1:10">
      <c r="A3389">
        <v>3388</v>
      </c>
      <c r="B3389">
        <v>17900</v>
      </c>
      <c r="C3389" t="s">
        <v>22</v>
      </c>
      <c r="D3389">
        <v>73106.66</v>
      </c>
      <c r="E3389" t="s">
        <v>16</v>
      </c>
      <c r="F3389">
        <v>39</v>
      </c>
      <c r="G3389" t="s">
        <v>21</v>
      </c>
      <c r="H3389" s="1">
        <v>45293</v>
      </c>
      <c r="I3389" s="1">
        <v>45332</v>
      </c>
      <c r="J3389" t="str">
        <f t="shared" si="52"/>
        <v>Jan-2024</v>
      </c>
    </row>
    <row r="3390" spans="1:10">
      <c r="A3390">
        <v>3389</v>
      </c>
      <c r="B3390">
        <v>14597</v>
      </c>
      <c r="C3390" t="s">
        <v>15</v>
      </c>
      <c r="D3390">
        <v>104806.41</v>
      </c>
      <c r="E3390" t="s">
        <v>19</v>
      </c>
      <c r="F3390">
        <v>18</v>
      </c>
      <c r="G3390" t="s">
        <v>21</v>
      </c>
      <c r="H3390" s="1">
        <v>45640</v>
      </c>
      <c r="I3390" s="1">
        <v>45658</v>
      </c>
      <c r="J3390" t="str">
        <f t="shared" si="52"/>
        <v>Dec-2024</v>
      </c>
    </row>
    <row r="3391" spans="1:10">
      <c r="A3391">
        <v>3390</v>
      </c>
      <c r="B3391">
        <v>17653</v>
      </c>
      <c r="C3391" t="s">
        <v>23</v>
      </c>
      <c r="D3391">
        <v>187104.07</v>
      </c>
      <c r="E3391" t="s">
        <v>16</v>
      </c>
      <c r="F3391">
        <v>41</v>
      </c>
      <c r="G3391" t="s">
        <v>25</v>
      </c>
      <c r="H3391" s="1">
        <v>45459</v>
      </c>
      <c r="I3391" s="1">
        <v>45500</v>
      </c>
      <c r="J3391" t="str">
        <f t="shared" si="52"/>
        <v>Jun-2024</v>
      </c>
    </row>
    <row r="3392" spans="1:10">
      <c r="A3392">
        <v>3391</v>
      </c>
      <c r="B3392">
        <v>15009</v>
      </c>
      <c r="C3392" t="s">
        <v>18</v>
      </c>
      <c r="D3392">
        <v>12283.57</v>
      </c>
      <c r="E3392" t="s">
        <v>19</v>
      </c>
      <c r="F3392">
        <v>2</v>
      </c>
      <c r="G3392" t="s">
        <v>20</v>
      </c>
      <c r="H3392" s="1">
        <v>45410</v>
      </c>
      <c r="I3392" s="1">
        <v>45412</v>
      </c>
      <c r="J3392" t="str">
        <f t="shared" si="52"/>
        <v>Apr-2024</v>
      </c>
    </row>
    <row r="3393" spans="1:10">
      <c r="A3393">
        <v>3392</v>
      </c>
      <c r="B3393">
        <v>17235</v>
      </c>
      <c r="C3393" t="s">
        <v>18</v>
      </c>
      <c r="D3393">
        <v>102551.58</v>
      </c>
      <c r="E3393" t="s">
        <v>16</v>
      </c>
      <c r="F3393">
        <v>9</v>
      </c>
      <c r="G3393" t="s">
        <v>21</v>
      </c>
      <c r="H3393" s="1">
        <v>45371</v>
      </c>
      <c r="I3393" s="1">
        <v>45380</v>
      </c>
      <c r="J3393" t="str">
        <f t="shared" si="52"/>
        <v>Mar-2024</v>
      </c>
    </row>
    <row r="3394" spans="1:10">
      <c r="A3394">
        <v>3393</v>
      </c>
      <c r="B3394">
        <v>19707</v>
      </c>
      <c r="C3394" t="s">
        <v>23</v>
      </c>
      <c r="D3394">
        <v>171612.48</v>
      </c>
      <c r="E3394" t="s">
        <v>19</v>
      </c>
      <c r="F3394">
        <v>16</v>
      </c>
      <c r="G3394" t="s">
        <v>25</v>
      </c>
      <c r="H3394" s="1">
        <v>45402</v>
      </c>
      <c r="I3394" s="1">
        <v>45418</v>
      </c>
      <c r="J3394" t="str">
        <f t="shared" si="52"/>
        <v>Apr-2024</v>
      </c>
    </row>
    <row r="3395" spans="1:10">
      <c r="A3395">
        <v>3394</v>
      </c>
      <c r="B3395">
        <v>17208</v>
      </c>
      <c r="C3395" t="s">
        <v>23</v>
      </c>
      <c r="D3395">
        <v>119654.98</v>
      </c>
      <c r="E3395" t="s">
        <v>16</v>
      </c>
      <c r="F3395">
        <v>26</v>
      </c>
      <c r="G3395" t="s">
        <v>20</v>
      </c>
      <c r="H3395" s="1">
        <v>45456</v>
      </c>
      <c r="I3395" s="1">
        <v>45482</v>
      </c>
      <c r="J3395" t="str">
        <f t="shared" ref="J3395:J3458" si="53">TEXT(H3395,"mmm-yyyy")</f>
        <v>Jun-2024</v>
      </c>
    </row>
    <row r="3396" spans="1:10">
      <c r="A3396">
        <v>3395</v>
      </c>
      <c r="B3396">
        <v>17958</v>
      </c>
      <c r="C3396" t="s">
        <v>23</v>
      </c>
      <c r="D3396">
        <v>58989.75</v>
      </c>
      <c r="E3396" t="s">
        <v>16</v>
      </c>
      <c r="F3396">
        <v>9</v>
      </c>
      <c r="G3396" t="s">
        <v>21</v>
      </c>
      <c r="H3396" s="1">
        <v>45510</v>
      </c>
      <c r="I3396" s="1">
        <v>45519</v>
      </c>
      <c r="J3396" t="str">
        <f t="shared" si="53"/>
        <v>Aug-2024</v>
      </c>
    </row>
    <row r="3397" spans="1:10">
      <c r="A3397">
        <v>3396</v>
      </c>
      <c r="B3397">
        <v>15288</v>
      </c>
      <c r="C3397" t="s">
        <v>23</v>
      </c>
      <c r="D3397">
        <v>82547.820000000007</v>
      </c>
      <c r="E3397" t="s">
        <v>16</v>
      </c>
      <c r="F3397">
        <v>33</v>
      </c>
      <c r="G3397" t="s">
        <v>17</v>
      </c>
      <c r="H3397" s="1">
        <v>45296</v>
      </c>
      <c r="I3397" s="1">
        <v>45329</v>
      </c>
      <c r="J3397" t="str">
        <f t="shared" si="53"/>
        <v>Jan-2024</v>
      </c>
    </row>
    <row r="3398" spans="1:10">
      <c r="A3398">
        <v>3397</v>
      </c>
      <c r="B3398">
        <v>17813</v>
      </c>
      <c r="C3398" t="s">
        <v>22</v>
      </c>
      <c r="D3398">
        <v>137651.79999999999</v>
      </c>
      <c r="E3398" t="s">
        <v>16</v>
      </c>
      <c r="F3398">
        <v>14</v>
      </c>
      <c r="G3398" t="s">
        <v>20</v>
      </c>
      <c r="H3398" s="1">
        <v>45506</v>
      </c>
      <c r="I3398" s="1">
        <v>45520</v>
      </c>
      <c r="J3398" t="str">
        <f t="shared" si="53"/>
        <v>Aug-2024</v>
      </c>
    </row>
    <row r="3399" spans="1:10">
      <c r="A3399">
        <v>3398</v>
      </c>
      <c r="B3399">
        <v>16136</v>
      </c>
      <c r="C3399" t="s">
        <v>23</v>
      </c>
      <c r="D3399">
        <v>178708.32</v>
      </c>
      <c r="E3399" t="s">
        <v>16</v>
      </c>
      <c r="F3399">
        <v>16</v>
      </c>
      <c r="G3399" t="s">
        <v>21</v>
      </c>
      <c r="H3399" s="1">
        <v>45486</v>
      </c>
      <c r="I3399" s="1">
        <v>45502</v>
      </c>
      <c r="J3399" t="str">
        <f t="shared" si="53"/>
        <v>Jul-2024</v>
      </c>
    </row>
    <row r="3400" spans="1:10">
      <c r="A3400">
        <v>3399</v>
      </c>
      <c r="B3400">
        <v>18303</v>
      </c>
      <c r="C3400" t="s">
        <v>22</v>
      </c>
      <c r="D3400">
        <v>13007.94</v>
      </c>
      <c r="E3400" t="s">
        <v>16</v>
      </c>
      <c r="F3400">
        <v>7</v>
      </c>
      <c r="G3400" t="s">
        <v>20</v>
      </c>
      <c r="H3400" s="1">
        <v>45573</v>
      </c>
      <c r="I3400" s="1">
        <v>45580</v>
      </c>
      <c r="J3400" t="str">
        <f t="shared" si="53"/>
        <v>Oct-2024</v>
      </c>
    </row>
    <row r="3401" spans="1:10">
      <c r="A3401">
        <v>3400</v>
      </c>
      <c r="B3401">
        <v>16606</v>
      </c>
      <c r="C3401" t="s">
        <v>18</v>
      </c>
      <c r="D3401">
        <v>18950.07</v>
      </c>
      <c r="E3401" t="s">
        <v>16</v>
      </c>
      <c r="F3401">
        <v>34</v>
      </c>
      <c r="G3401" t="s">
        <v>20</v>
      </c>
      <c r="H3401" s="1">
        <v>45297</v>
      </c>
      <c r="I3401" s="1">
        <v>45331</v>
      </c>
      <c r="J3401" t="str">
        <f t="shared" si="53"/>
        <v>Jan-2024</v>
      </c>
    </row>
    <row r="3402" spans="1:10">
      <c r="A3402">
        <v>3401</v>
      </c>
      <c r="B3402">
        <v>19864</v>
      </c>
      <c r="C3402" t="s">
        <v>18</v>
      </c>
      <c r="D3402">
        <v>68385.05</v>
      </c>
      <c r="E3402" t="s">
        <v>16</v>
      </c>
      <c r="F3402">
        <v>8</v>
      </c>
      <c r="G3402" t="s">
        <v>20</v>
      </c>
      <c r="H3402" s="1">
        <v>45591</v>
      </c>
      <c r="I3402" s="1">
        <v>45599</v>
      </c>
      <c r="J3402" t="str">
        <f t="shared" si="53"/>
        <v>Oct-2024</v>
      </c>
    </row>
    <row r="3403" spans="1:10">
      <c r="A3403">
        <v>3402</v>
      </c>
      <c r="B3403">
        <v>12302</v>
      </c>
      <c r="C3403" t="s">
        <v>18</v>
      </c>
      <c r="D3403">
        <v>50392.04</v>
      </c>
      <c r="E3403" t="s">
        <v>16</v>
      </c>
      <c r="F3403">
        <v>34</v>
      </c>
      <c r="G3403" t="s">
        <v>20</v>
      </c>
      <c r="H3403" s="1">
        <v>45349</v>
      </c>
      <c r="I3403" s="1">
        <v>45383</v>
      </c>
      <c r="J3403" t="str">
        <f t="shared" si="53"/>
        <v>Feb-2024</v>
      </c>
    </row>
    <row r="3404" spans="1:10">
      <c r="A3404">
        <v>3403</v>
      </c>
      <c r="B3404">
        <v>19842</v>
      </c>
      <c r="C3404" t="s">
        <v>23</v>
      </c>
      <c r="D3404">
        <v>56661.52</v>
      </c>
      <c r="E3404" t="s">
        <v>19</v>
      </c>
      <c r="F3404">
        <v>30</v>
      </c>
      <c r="G3404" t="s">
        <v>20</v>
      </c>
      <c r="H3404" s="1">
        <v>45628</v>
      </c>
      <c r="I3404" s="1">
        <v>45658</v>
      </c>
      <c r="J3404" t="str">
        <f t="shared" si="53"/>
        <v>Dec-2024</v>
      </c>
    </row>
    <row r="3405" spans="1:10">
      <c r="A3405">
        <v>3404</v>
      </c>
      <c r="B3405">
        <v>17325</v>
      </c>
      <c r="C3405" t="s">
        <v>23</v>
      </c>
      <c r="D3405">
        <v>48147.65</v>
      </c>
      <c r="E3405" t="s">
        <v>16</v>
      </c>
      <c r="F3405">
        <v>39</v>
      </c>
      <c r="G3405" t="s">
        <v>20</v>
      </c>
      <c r="H3405" s="1">
        <v>45593</v>
      </c>
      <c r="I3405" s="1">
        <v>45632</v>
      </c>
      <c r="J3405" t="str">
        <f t="shared" si="53"/>
        <v>Oct-2024</v>
      </c>
    </row>
    <row r="3406" spans="1:10">
      <c r="A3406">
        <v>3405</v>
      </c>
      <c r="B3406">
        <v>14395</v>
      </c>
      <c r="C3406" t="s">
        <v>23</v>
      </c>
      <c r="D3406">
        <v>43185.88</v>
      </c>
      <c r="E3406" t="s">
        <v>16</v>
      </c>
      <c r="F3406">
        <v>38</v>
      </c>
      <c r="G3406" t="s">
        <v>21</v>
      </c>
      <c r="H3406" s="1">
        <v>45393</v>
      </c>
      <c r="I3406" s="1">
        <v>45431</v>
      </c>
      <c r="J3406" t="str">
        <f t="shared" si="53"/>
        <v>Apr-2024</v>
      </c>
    </row>
    <row r="3407" spans="1:10">
      <c r="A3407">
        <v>3406</v>
      </c>
      <c r="B3407">
        <v>13995</v>
      </c>
      <c r="C3407" t="s">
        <v>18</v>
      </c>
      <c r="D3407">
        <v>30471.67</v>
      </c>
      <c r="E3407" t="s">
        <v>16</v>
      </c>
      <c r="F3407">
        <v>33</v>
      </c>
      <c r="G3407" t="s">
        <v>17</v>
      </c>
      <c r="H3407" s="1">
        <v>45339</v>
      </c>
      <c r="I3407" s="1">
        <v>45372</v>
      </c>
      <c r="J3407" t="str">
        <f t="shared" si="53"/>
        <v>Feb-2024</v>
      </c>
    </row>
    <row r="3408" spans="1:10">
      <c r="A3408">
        <v>3407</v>
      </c>
      <c r="B3408">
        <v>18498</v>
      </c>
      <c r="C3408" t="s">
        <v>23</v>
      </c>
      <c r="D3408">
        <v>187121.06</v>
      </c>
      <c r="E3408" t="s">
        <v>16</v>
      </c>
      <c r="F3408">
        <v>4</v>
      </c>
      <c r="G3408" t="s">
        <v>25</v>
      </c>
      <c r="H3408" s="1">
        <v>45567</v>
      </c>
      <c r="I3408" s="1">
        <v>45571</v>
      </c>
      <c r="J3408" t="str">
        <f t="shared" si="53"/>
        <v>Oct-2024</v>
      </c>
    </row>
    <row r="3409" spans="1:10">
      <c r="A3409">
        <v>3408</v>
      </c>
      <c r="B3409">
        <v>18312</v>
      </c>
      <c r="C3409" t="s">
        <v>18</v>
      </c>
      <c r="D3409">
        <v>33116.949999999997</v>
      </c>
      <c r="E3409" t="s">
        <v>16</v>
      </c>
      <c r="F3409">
        <v>21</v>
      </c>
      <c r="G3409" t="s">
        <v>20</v>
      </c>
      <c r="H3409" s="1">
        <v>45454</v>
      </c>
      <c r="I3409" s="1">
        <v>45475</v>
      </c>
      <c r="J3409" t="str">
        <f t="shared" si="53"/>
        <v>Jun-2024</v>
      </c>
    </row>
    <row r="3410" spans="1:10">
      <c r="A3410">
        <v>3409</v>
      </c>
      <c r="B3410">
        <v>17769</v>
      </c>
      <c r="C3410" t="s">
        <v>23</v>
      </c>
      <c r="D3410">
        <v>44858.74</v>
      </c>
      <c r="E3410" t="s">
        <v>19</v>
      </c>
      <c r="F3410">
        <v>15</v>
      </c>
      <c r="G3410" t="s">
        <v>25</v>
      </c>
      <c r="H3410" s="1">
        <v>45623</v>
      </c>
      <c r="I3410" s="1">
        <v>45638</v>
      </c>
      <c r="J3410" t="str">
        <f t="shared" si="53"/>
        <v>Nov-2024</v>
      </c>
    </row>
    <row r="3411" spans="1:10">
      <c r="A3411">
        <v>3410</v>
      </c>
      <c r="B3411">
        <v>19469</v>
      </c>
      <c r="C3411" t="s">
        <v>23</v>
      </c>
      <c r="D3411">
        <v>53021.82</v>
      </c>
      <c r="E3411" t="s">
        <v>16</v>
      </c>
      <c r="F3411">
        <v>29</v>
      </c>
      <c r="G3411" t="s">
        <v>21</v>
      </c>
      <c r="H3411" s="1">
        <v>45487</v>
      </c>
      <c r="I3411" s="1">
        <v>45516</v>
      </c>
      <c r="J3411" t="str">
        <f t="shared" si="53"/>
        <v>Jul-2024</v>
      </c>
    </row>
    <row r="3412" spans="1:10">
      <c r="A3412">
        <v>3411</v>
      </c>
      <c r="B3412">
        <v>11427</v>
      </c>
      <c r="C3412" t="s">
        <v>23</v>
      </c>
      <c r="D3412">
        <v>186937.9</v>
      </c>
      <c r="E3412" t="s">
        <v>16</v>
      </c>
      <c r="F3412">
        <v>39</v>
      </c>
      <c r="G3412" t="s">
        <v>20</v>
      </c>
      <c r="H3412" s="1">
        <v>45656</v>
      </c>
      <c r="I3412" s="1">
        <v>45695</v>
      </c>
      <c r="J3412" t="str">
        <f t="shared" si="53"/>
        <v>Dec-2024</v>
      </c>
    </row>
    <row r="3413" spans="1:10">
      <c r="A3413">
        <v>3412</v>
      </c>
      <c r="B3413">
        <v>15613</v>
      </c>
      <c r="C3413" t="s">
        <v>22</v>
      </c>
      <c r="D3413">
        <v>152364.26</v>
      </c>
      <c r="E3413" t="s">
        <v>16</v>
      </c>
      <c r="F3413">
        <v>5</v>
      </c>
      <c r="G3413" t="s">
        <v>17</v>
      </c>
      <c r="H3413" s="1">
        <v>45615</v>
      </c>
      <c r="I3413" s="1">
        <v>45620</v>
      </c>
      <c r="J3413" t="str">
        <f t="shared" si="53"/>
        <v>Nov-2024</v>
      </c>
    </row>
    <row r="3414" spans="1:10">
      <c r="A3414">
        <v>3413</v>
      </c>
      <c r="B3414">
        <v>13102</v>
      </c>
      <c r="C3414" t="s">
        <v>18</v>
      </c>
      <c r="D3414">
        <v>158991.39000000001</v>
      </c>
      <c r="E3414" t="s">
        <v>16</v>
      </c>
      <c r="F3414">
        <v>16</v>
      </c>
      <c r="G3414" t="s">
        <v>25</v>
      </c>
      <c r="H3414" s="1">
        <v>45423</v>
      </c>
      <c r="I3414" s="1">
        <v>45439</v>
      </c>
      <c r="J3414" t="str">
        <f t="shared" si="53"/>
        <v>May-2024</v>
      </c>
    </row>
    <row r="3415" spans="1:10">
      <c r="A3415">
        <v>3414</v>
      </c>
      <c r="B3415">
        <v>19377</v>
      </c>
      <c r="C3415" t="s">
        <v>23</v>
      </c>
      <c r="D3415">
        <v>25427.86</v>
      </c>
      <c r="E3415" t="s">
        <v>19</v>
      </c>
      <c r="F3415">
        <v>18</v>
      </c>
      <c r="G3415" t="s">
        <v>20</v>
      </c>
      <c r="H3415" s="1">
        <v>45357</v>
      </c>
      <c r="I3415" s="1">
        <v>45375</v>
      </c>
      <c r="J3415" t="str">
        <f t="shared" si="53"/>
        <v>Mar-2024</v>
      </c>
    </row>
    <row r="3416" spans="1:10">
      <c r="A3416">
        <v>3415</v>
      </c>
      <c r="B3416">
        <v>11455</v>
      </c>
      <c r="C3416" t="s">
        <v>18</v>
      </c>
      <c r="D3416">
        <v>168080.43</v>
      </c>
      <c r="E3416" t="s">
        <v>19</v>
      </c>
      <c r="F3416">
        <v>38</v>
      </c>
      <c r="G3416" t="s">
        <v>21</v>
      </c>
      <c r="H3416" s="1">
        <v>45374</v>
      </c>
      <c r="I3416" s="1">
        <v>45412</v>
      </c>
      <c r="J3416" t="str">
        <f t="shared" si="53"/>
        <v>Mar-2024</v>
      </c>
    </row>
    <row r="3417" spans="1:10">
      <c r="A3417">
        <v>3416</v>
      </c>
      <c r="B3417">
        <v>19371</v>
      </c>
      <c r="C3417" t="s">
        <v>23</v>
      </c>
      <c r="D3417">
        <v>84597.65</v>
      </c>
      <c r="E3417" t="s">
        <v>16</v>
      </c>
      <c r="F3417">
        <v>25</v>
      </c>
      <c r="G3417" t="s">
        <v>17</v>
      </c>
      <c r="H3417" s="1">
        <v>45556</v>
      </c>
      <c r="I3417" s="1">
        <v>45581</v>
      </c>
      <c r="J3417" t="str">
        <f t="shared" si="53"/>
        <v>Sep-2024</v>
      </c>
    </row>
    <row r="3418" spans="1:10">
      <c r="A3418">
        <v>3417</v>
      </c>
      <c r="B3418">
        <v>11346</v>
      </c>
      <c r="C3418" t="s">
        <v>22</v>
      </c>
      <c r="D3418">
        <v>56250.49</v>
      </c>
      <c r="E3418" t="s">
        <v>16</v>
      </c>
      <c r="F3418">
        <v>39</v>
      </c>
      <c r="G3418" t="s">
        <v>25</v>
      </c>
      <c r="H3418" s="1">
        <v>45520</v>
      </c>
      <c r="I3418" s="1">
        <v>45559</v>
      </c>
      <c r="J3418" t="str">
        <f t="shared" si="53"/>
        <v>Aug-2024</v>
      </c>
    </row>
    <row r="3419" spans="1:10">
      <c r="A3419">
        <v>3418</v>
      </c>
      <c r="B3419">
        <v>18820</v>
      </c>
      <c r="C3419" t="s">
        <v>18</v>
      </c>
      <c r="D3419">
        <v>117271.27</v>
      </c>
      <c r="E3419" t="s">
        <v>16</v>
      </c>
      <c r="F3419">
        <v>43</v>
      </c>
      <c r="G3419" t="s">
        <v>25</v>
      </c>
      <c r="H3419" s="1">
        <v>45564</v>
      </c>
      <c r="I3419" s="1">
        <v>45607</v>
      </c>
      <c r="J3419" t="str">
        <f t="shared" si="53"/>
        <v>Sep-2024</v>
      </c>
    </row>
    <row r="3420" spans="1:10">
      <c r="A3420">
        <v>3419</v>
      </c>
      <c r="B3420">
        <v>11214</v>
      </c>
      <c r="C3420" t="s">
        <v>23</v>
      </c>
      <c r="D3420">
        <v>165325.67000000001</v>
      </c>
      <c r="E3420" t="s">
        <v>16</v>
      </c>
      <c r="F3420">
        <v>42</v>
      </c>
      <c r="G3420" t="s">
        <v>20</v>
      </c>
      <c r="H3420" s="1">
        <v>45510</v>
      </c>
      <c r="I3420" s="1">
        <v>45552</v>
      </c>
      <c r="J3420" t="str">
        <f t="shared" si="53"/>
        <v>Aug-2024</v>
      </c>
    </row>
    <row r="3421" spans="1:10">
      <c r="A3421">
        <v>3420</v>
      </c>
      <c r="B3421">
        <v>11961</v>
      </c>
      <c r="C3421" t="s">
        <v>18</v>
      </c>
      <c r="D3421">
        <v>156837.17000000001</v>
      </c>
      <c r="E3421" t="s">
        <v>16</v>
      </c>
      <c r="F3421">
        <v>37</v>
      </c>
      <c r="G3421" t="s">
        <v>17</v>
      </c>
      <c r="H3421" s="1">
        <v>45516</v>
      </c>
      <c r="I3421" s="1">
        <v>45553</v>
      </c>
      <c r="J3421" t="str">
        <f t="shared" si="53"/>
        <v>Aug-2024</v>
      </c>
    </row>
    <row r="3422" spans="1:10">
      <c r="A3422">
        <v>3421</v>
      </c>
      <c r="B3422">
        <v>12995</v>
      </c>
      <c r="C3422" t="s">
        <v>23</v>
      </c>
      <c r="D3422">
        <v>178549.51</v>
      </c>
      <c r="E3422" t="s">
        <v>19</v>
      </c>
      <c r="F3422">
        <v>42</v>
      </c>
      <c r="G3422" t="s">
        <v>17</v>
      </c>
      <c r="H3422" s="1">
        <v>45404</v>
      </c>
      <c r="I3422" s="1">
        <v>45446</v>
      </c>
      <c r="J3422" t="str">
        <f t="shared" si="53"/>
        <v>Apr-2024</v>
      </c>
    </row>
    <row r="3423" spans="1:10">
      <c r="A3423">
        <v>3422</v>
      </c>
      <c r="B3423">
        <v>14612</v>
      </c>
      <c r="C3423" t="s">
        <v>22</v>
      </c>
      <c r="D3423">
        <v>185985.78</v>
      </c>
      <c r="E3423" t="s">
        <v>16</v>
      </c>
      <c r="F3423">
        <v>9</v>
      </c>
      <c r="G3423" t="s">
        <v>17</v>
      </c>
      <c r="H3423" s="1">
        <v>45431</v>
      </c>
      <c r="I3423" s="1">
        <v>45440</v>
      </c>
      <c r="J3423" t="str">
        <f t="shared" si="53"/>
        <v>May-2024</v>
      </c>
    </row>
    <row r="3424" spans="1:10">
      <c r="A3424">
        <v>3423</v>
      </c>
      <c r="B3424">
        <v>19739</v>
      </c>
      <c r="C3424" t="s">
        <v>23</v>
      </c>
      <c r="D3424">
        <v>51433.8</v>
      </c>
      <c r="E3424" t="s">
        <v>16</v>
      </c>
      <c r="F3424">
        <v>4</v>
      </c>
      <c r="G3424" t="s">
        <v>17</v>
      </c>
      <c r="H3424" s="1">
        <v>45476</v>
      </c>
      <c r="I3424" s="1">
        <v>45480</v>
      </c>
      <c r="J3424" t="str">
        <f t="shared" si="53"/>
        <v>Jul-2024</v>
      </c>
    </row>
    <row r="3425" spans="1:10">
      <c r="A3425">
        <v>3424</v>
      </c>
      <c r="B3425">
        <v>15690</v>
      </c>
      <c r="C3425" t="s">
        <v>18</v>
      </c>
      <c r="D3425">
        <v>87652.29</v>
      </c>
      <c r="E3425" t="s">
        <v>16</v>
      </c>
      <c r="F3425">
        <v>31</v>
      </c>
      <c r="G3425" t="s">
        <v>21</v>
      </c>
      <c r="H3425" s="1">
        <v>45464</v>
      </c>
      <c r="I3425" s="1">
        <v>45495</v>
      </c>
      <c r="J3425" t="str">
        <f t="shared" si="53"/>
        <v>Jun-2024</v>
      </c>
    </row>
    <row r="3426" spans="1:10">
      <c r="A3426">
        <v>3425</v>
      </c>
      <c r="B3426">
        <v>12858</v>
      </c>
      <c r="C3426" t="s">
        <v>23</v>
      </c>
      <c r="D3426">
        <v>7852.57</v>
      </c>
      <c r="E3426" t="s">
        <v>19</v>
      </c>
      <c r="F3426">
        <v>23</v>
      </c>
      <c r="G3426" t="s">
        <v>17</v>
      </c>
      <c r="H3426" s="1">
        <v>45302</v>
      </c>
      <c r="I3426" s="1">
        <v>45325</v>
      </c>
      <c r="J3426" t="str">
        <f t="shared" si="53"/>
        <v>Jan-2024</v>
      </c>
    </row>
    <row r="3427" spans="1:10">
      <c r="A3427">
        <v>3426</v>
      </c>
      <c r="B3427">
        <v>10761</v>
      </c>
      <c r="C3427" t="s">
        <v>18</v>
      </c>
      <c r="D3427">
        <v>176467.72</v>
      </c>
      <c r="E3427" t="s">
        <v>16</v>
      </c>
      <c r="F3427">
        <v>34</v>
      </c>
      <c r="G3427" t="s">
        <v>25</v>
      </c>
      <c r="H3427" s="1">
        <v>45450</v>
      </c>
      <c r="I3427" s="1">
        <v>45484</v>
      </c>
      <c r="J3427" t="str">
        <f t="shared" si="53"/>
        <v>Jun-2024</v>
      </c>
    </row>
    <row r="3428" spans="1:10">
      <c r="A3428">
        <v>3427</v>
      </c>
      <c r="B3428">
        <v>15458</v>
      </c>
      <c r="C3428" t="s">
        <v>18</v>
      </c>
      <c r="D3428">
        <v>35141.57</v>
      </c>
      <c r="E3428" t="s">
        <v>19</v>
      </c>
      <c r="F3428">
        <v>26</v>
      </c>
      <c r="G3428" t="s">
        <v>25</v>
      </c>
      <c r="H3428" s="1">
        <v>45496</v>
      </c>
      <c r="I3428" s="1">
        <v>45522</v>
      </c>
      <c r="J3428" t="str">
        <f t="shared" si="53"/>
        <v>Jul-2024</v>
      </c>
    </row>
    <row r="3429" spans="1:10">
      <c r="A3429">
        <v>3428</v>
      </c>
      <c r="B3429">
        <v>18047</v>
      </c>
      <c r="C3429" t="s">
        <v>18</v>
      </c>
      <c r="D3429">
        <v>172987.59</v>
      </c>
      <c r="E3429" t="s">
        <v>16</v>
      </c>
      <c r="F3429">
        <v>31</v>
      </c>
      <c r="G3429" t="s">
        <v>21</v>
      </c>
      <c r="H3429" s="1">
        <v>45521</v>
      </c>
      <c r="I3429" s="1">
        <v>45552</v>
      </c>
      <c r="J3429" t="str">
        <f t="shared" si="53"/>
        <v>Aug-2024</v>
      </c>
    </row>
    <row r="3430" spans="1:10">
      <c r="A3430">
        <v>3429</v>
      </c>
      <c r="B3430">
        <v>14902</v>
      </c>
      <c r="C3430" t="s">
        <v>18</v>
      </c>
      <c r="D3430">
        <v>69230.53</v>
      </c>
      <c r="E3430" t="s">
        <v>16</v>
      </c>
      <c r="F3430">
        <v>38</v>
      </c>
      <c r="G3430" t="s">
        <v>25</v>
      </c>
      <c r="H3430" s="1">
        <v>45317</v>
      </c>
      <c r="I3430" s="1">
        <v>45355</v>
      </c>
      <c r="J3430" t="str">
        <f t="shared" si="53"/>
        <v>Jan-2024</v>
      </c>
    </row>
    <row r="3431" spans="1:10">
      <c r="A3431">
        <v>3430</v>
      </c>
      <c r="B3431">
        <v>18105</v>
      </c>
      <c r="C3431" t="s">
        <v>15</v>
      </c>
      <c r="D3431">
        <v>76786.05</v>
      </c>
      <c r="E3431" t="s">
        <v>19</v>
      </c>
      <c r="F3431">
        <v>4</v>
      </c>
      <c r="G3431" t="s">
        <v>25</v>
      </c>
      <c r="H3431" s="1">
        <v>45610</v>
      </c>
      <c r="I3431" s="1">
        <v>45614</v>
      </c>
      <c r="J3431" t="str">
        <f t="shared" si="53"/>
        <v>Nov-2024</v>
      </c>
    </row>
    <row r="3432" spans="1:10">
      <c r="A3432">
        <v>3431</v>
      </c>
      <c r="B3432">
        <v>11496</v>
      </c>
      <c r="C3432" t="s">
        <v>23</v>
      </c>
      <c r="D3432">
        <v>12630.79</v>
      </c>
      <c r="E3432" t="s">
        <v>19</v>
      </c>
      <c r="F3432">
        <v>5</v>
      </c>
      <c r="G3432" t="s">
        <v>17</v>
      </c>
      <c r="H3432" s="1">
        <v>45450</v>
      </c>
      <c r="I3432" s="1">
        <v>45455</v>
      </c>
      <c r="J3432" t="str">
        <f t="shared" si="53"/>
        <v>Jun-2024</v>
      </c>
    </row>
    <row r="3433" spans="1:10">
      <c r="A3433">
        <v>3432</v>
      </c>
      <c r="B3433">
        <v>19435</v>
      </c>
      <c r="C3433" t="s">
        <v>23</v>
      </c>
      <c r="D3433">
        <v>68741.36</v>
      </c>
      <c r="E3433" t="s">
        <v>16</v>
      </c>
      <c r="F3433">
        <v>30</v>
      </c>
      <c r="G3433" t="s">
        <v>25</v>
      </c>
      <c r="H3433" s="1">
        <v>45569</v>
      </c>
      <c r="I3433" s="1">
        <v>45599</v>
      </c>
      <c r="J3433" t="str">
        <f t="shared" si="53"/>
        <v>Oct-2024</v>
      </c>
    </row>
    <row r="3434" spans="1:10">
      <c r="A3434">
        <v>3433</v>
      </c>
      <c r="B3434">
        <v>14582</v>
      </c>
      <c r="C3434" t="s">
        <v>23</v>
      </c>
      <c r="D3434">
        <v>178230.92</v>
      </c>
      <c r="E3434" t="s">
        <v>16</v>
      </c>
      <c r="F3434">
        <v>33</v>
      </c>
      <c r="G3434" t="s">
        <v>21</v>
      </c>
      <c r="H3434" s="1">
        <v>45439</v>
      </c>
      <c r="I3434" s="1">
        <v>45472</v>
      </c>
      <c r="J3434" t="str">
        <f t="shared" si="53"/>
        <v>May-2024</v>
      </c>
    </row>
    <row r="3435" spans="1:10">
      <c r="A3435">
        <v>3434</v>
      </c>
      <c r="B3435">
        <v>12043</v>
      </c>
      <c r="C3435" t="s">
        <v>22</v>
      </c>
      <c r="D3435">
        <v>9981.74</v>
      </c>
      <c r="E3435" t="s">
        <v>19</v>
      </c>
      <c r="F3435">
        <v>24</v>
      </c>
      <c r="G3435" t="s">
        <v>17</v>
      </c>
      <c r="H3435" s="1">
        <v>45557</v>
      </c>
      <c r="I3435" s="1">
        <v>45581</v>
      </c>
      <c r="J3435" t="str">
        <f t="shared" si="53"/>
        <v>Sep-2024</v>
      </c>
    </row>
    <row r="3436" spans="1:10">
      <c r="A3436">
        <v>3435</v>
      </c>
      <c r="B3436">
        <v>13376</v>
      </c>
      <c r="C3436" t="s">
        <v>23</v>
      </c>
      <c r="D3436">
        <v>84233.86</v>
      </c>
      <c r="E3436" t="s">
        <v>16</v>
      </c>
      <c r="F3436">
        <v>20</v>
      </c>
      <c r="G3436" t="s">
        <v>20</v>
      </c>
      <c r="H3436" s="1">
        <v>45374</v>
      </c>
      <c r="I3436" s="1">
        <v>45394</v>
      </c>
      <c r="J3436" t="str">
        <f t="shared" si="53"/>
        <v>Mar-2024</v>
      </c>
    </row>
    <row r="3437" spans="1:10">
      <c r="A3437">
        <v>3436</v>
      </c>
      <c r="B3437">
        <v>18708</v>
      </c>
      <c r="C3437" t="s">
        <v>18</v>
      </c>
      <c r="D3437">
        <v>11122.93</v>
      </c>
      <c r="E3437" t="s">
        <v>16</v>
      </c>
      <c r="F3437">
        <v>16</v>
      </c>
      <c r="G3437" t="s">
        <v>17</v>
      </c>
      <c r="H3437" s="1">
        <v>45317</v>
      </c>
      <c r="I3437" s="1">
        <v>45333</v>
      </c>
      <c r="J3437" t="str">
        <f t="shared" si="53"/>
        <v>Jan-2024</v>
      </c>
    </row>
    <row r="3438" spans="1:10">
      <c r="A3438">
        <v>3437</v>
      </c>
      <c r="B3438">
        <v>10834</v>
      </c>
      <c r="C3438" t="s">
        <v>18</v>
      </c>
      <c r="D3438">
        <v>77330.070000000007</v>
      </c>
      <c r="E3438" t="s">
        <v>24</v>
      </c>
      <c r="G3438" t="s">
        <v>21</v>
      </c>
      <c r="H3438" s="1">
        <v>45362</v>
      </c>
      <c r="J3438" t="str">
        <f t="shared" si="53"/>
        <v>Mar-2024</v>
      </c>
    </row>
    <row r="3439" spans="1:10">
      <c r="A3439">
        <v>3438</v>
      </c>
      <c r="B3439">
        <v>10623</v>
      </c>
      <c r="C3439" t="s">
        <v>23</v>
      </c>
      <c r="D3439">
        <v>38664.92</v>
      </c>
      <c r="E3439" t="s">
        <v>16</v>
      </c>
      <c r="F3439">
        <v>24</v>
      </c>
      <c r="G3439" t="s">
        <v>17</v>
      </c>
      <c r="H3439" s="1">
        <v>45328</v>
      </c>
      <c r="I3439" s="1">
        <v>45352</v>
      </c>
      <c r="J3439" t="str">
        <f t="shared" si="53"/>
        <v>Feb-2024</v>
      </c>
    </row>
    <row r="3440" spans="1:10">
      <c r="A3440">
        <v>3439</v>
      </c>
      <c r="B3440">
        <v>11047</v>
      </c>
      <c r="C3440" t="s">
        <v>23</v>
      </c>
      <c r="D3440">
        <v>54182.59</v>
      </c>
      <c r="E3440" t="s">
        <v>16</v>
      </c>
      <c r="F3440">
        <v>41</v>
      </c>
      <c r="G3440" t="s">
        <v>17</v>
      </c>
      <c r="H3440" s="1">
        <v>45424</v>
      </c>
      <c r="I3440" s="1">
        <v>45465</v>
      </c>
      <c r="J3440" t="str">
        <f t="shared" si="53"/>
        <v>May-2024</v>
      </c>
    </row>
    <row r="3441" spans="1:10">
      <c r="A3441">
        <v>3440</v>
      </c>
      <c r="B3441">
        <v>11564</v>
      </c>
      <c r="C3441" t="s">
        <v>23</v>
      </c>
      <c r="D3441">
        <v>176131.68</v>
      </c>
      <c r="E3441" t="s">
        <v>16</v>
      </c>
      <c r="F3441">
        <v>38</v>
      </c>
      <c r="G3441" t="s">
        <v>21</v>
      </c>
      <c r="H3441" s="1">
        <v>45417</v>
      </c>
      <c r="I3441" s="1">
        <v>45455</v>
      </c>
      <c r="J3441" t="str">
        <f t="shared" si="53"/>
        <v>May-2024</v>
      </c>
    </row>
    <row r="3442" spans="1:10">
      <c r="A3442">
        <v>3441</v>
      </c>
      <c r="B3442">
        <v>13982</v>
      </c>
      <c r="C3442" t="s">
        <v>23</v>
      </c>
      <c r="D3442">
        <v>90029.6</v>
      </c>
      <c r="E3442" t="s">
        <v>16</v>
      </c>
      <c r="F3442">
        <v>2</v>
      </c>
      <c r="G3442" t="s">
        <v>17</v>
      </c>
      <c r="H3442" s="1">
        <v>45406</v>
      </c>
      <c r="I3442" s="1">
        <v>45408</v>
      </c>
      <c r="J3442" t="str">
        <f t="shared" si="53"/>
        <v>Apr-2024</v>
      </c>
    </row>
    <row r="3443" spans="1:10">
      <c r="A3443">
        <v>3442</v>
      </c>
      <c r="B3443">
        <v>15440</v>
      </c>
      <c r="C3443" t="s">
        <v>23</v>
      </c>
      <c r="D3443">
        <v>58390.61</v>
      </c>
      <c r="E3443" t="s">
        <v>16</v>
      </c>
      <c r="F3443">
        <v>20</v>
      </c>
      <c r="G3443" t="s">
        <v>21</v>
      </c>
      <c r="H3443" s="1">
        <v>45383</v>
      </c>
      <c r="I3443" s="1">
        <v>45403</v>
      </c>
      <c r="J3443" t="str">
        <f t="shared" si="53"/>
        <v>Apr-2024</v>
      </c>
    </row>
    <row r="3444" spans="1:10">
      <c r="A3444">
        <v>3443</v>
      </c>
      <c r="B3444">
        <v>10496</v>
      </c>
      <c r="C3444" t="s">
        <v>23</v>
      </c>
      <c r="D3444">
        <v>119920.98</v>
      </c>
      <c r="E3444" t="s">
        <v>16</v>
      </c>
      <c r="F3444">
        <v>38</v>
      </c>
      <c r="G3444" t="s">
        <v>21</v>
      </c>
      <c r="H3444" s="1">
        <v>45533</v>
      </c>
      <c r="I3444" s="1">
        <v>45571</v>
      </c>
      <c r="J3444" t="str">
        <f t="shared" si="53"/>
        <v>Aug-2024</v>
      </c>
    </row>
    <row r="3445" spans="1:10">
      <c r="A3445">
        <v>3444</v>
      </c>
      <c r="B3445">
        <v>10542</v>
      </c>
      <c r="C3445" t="s">
        <v>15</v>
      </c>
      <c r="D3445">
        <v>32710.86</v>
      </c>
      <c r="E3445" t="s">
        <v>16</v>
      </c>
      <c r="F3445">
        <v>36</v>
      </c>
      <c r="G3445" t="s">
        <v>20</v>
      </c>
      <c r="H3445" s="1">
        <v>45491</v>
      </c>
      <c r="I3445" s="1">
        <v>45527</v>
      </c>
      <c r="J3445" t="str">
        <f t="shared" si="53"/>
        <v>Jul-2024</v>
      </c>
    </row>
    <row r="3446" spans="1:10">
      <c r="A3446">
        <v>3445</v>
      </c>
      <c r="B3446">
        <v>10915</v>
      </c>
      <c r="C3446" t="s">
        <v>22</v>
      </c>
      <c r="D3446">
        <v>55581.36</v>
      </c>
      <c r="E3446" t="s">
        <v>16</v>
      </c>
      <c r="F3446">
        <v>31</v>
      </c>
      <c r="G3446" t="s">
        <v>25</v>
      </c>
      <c r="H3446" s="1">
        <v>45498</v>
      </c>
      <c r="I3446" s="1">
        <v>45529</v>
      </c>
      <c r="J3446" t="str">
        <f t="shared" si="53"/>
        <v>Jul-2024</v>
      </c>
    </row>
    <row r="3447" spans="1:10">
      <c r="A3447">
        <v>3446</v>
      </c>
      <c r="B3447">
        <v>11801</v>
      </c>
      <c r="C3447" t="s">
        <v>23</v>
      </c>
      <c r="D3447">
        <v>111518.35</v>
      </c>
      <c r="E3447" t="s">
        <v>16</v>
      </c>
      <c r="F3447">
        <v>18</v>
      </c>
      <c r="G3447" t="s">
        <v>25</v>
      </c>
      <c r="H3447" s="1">
        <v>45408</v>
      </c>
      <c r="I3447" s="1">
        <v>45426</v>
      </c>
      <c r="J3447" t="str">
        <f t="shared" si="53"/>
        <v>Apr-2024</v>
      </c>
    </row>
    <row r="3448" spans="1:10">
      <c r="A3448">
        <v>3447</v>
      </c>
      <c r="B3448">
        <v>10081</v>
      </c>
      <c r="C3448" t="s">
        <v>23</v>
      </c>
      <c r="D3448">
        <v>51316.99</v>
      </c>
      <c r="E3448" t="s">
        <v>16</v>
      </c>
      <c r="F3448">
        <v>40</v>
      </c>
      <c r="G3448" t="s">
        <v>17</v>
      </c>
      <c r="H3448" s="1">
        <v>45510</v>
      </c>
      <c r="I3448" s="1">
        <v>45550</v>
      </c>
      <c r="J3448" t="str">
        <f t="shared" si="53"/>
        <v>Aug-2024</v>
      </c>
    </row>
    <row r="3449" spans="1:10">
      <c r="A3449">
        <v>3448</v>
      </c>
      <c r="B3449">
        <v>11179</v>
      </c>
      <c r="C3449" t="s">
        <v>23</v>
      </c>
      <c r="D3449">
        <v>137429.91</v>
      </c>
      <c r="E3449" t="s">
        <v>24</v>
      </c>
      <c r="G3449" t="s">
        <v>17</v>
      </c>
      <c r="H3449" s="1">
        <v>45596</v>
      </c>
      <c r="J3449" t="str">
        <f t="shared" si="53"/>
        <v>Oct-2024</v>
      </c>
    </row>
    <row r="3450" spans="1:10">
      <c r="A3450">
        <v>3449</v>
      </c>
      <c r="B3450">
        <v>18357</v>
      </c>
      <c r="C3450" t="s">
        <v>18</v>
      </c>
      <c r="D3450">
        <v>100840.8</v>
      </c>
      <c r="E3450" t="s">
        <v>16</v>
      </c>
      <c r="F3450">
        <v>14</v>
      </c>
      <c r="G3450" t="s">
        <v>20</v>
      </c>
      <c r="H3450" s="1">
        <v>45534</v>
      </c>
      <c r="I3450" s="1">
        <v>45548</v>
      </c>
      <c r="J3450" t="str">
        <f t="shared" si="53"/>
        <v>Aug-2024</v>
      </c>
    </row>
    <row r="3451" spans="1:10">
      <c r="A3451">
        <v>3450</v>
      </c>
      <c r="B3451">
        <v>12071</v>
      </c>
      <c r="C3451" t="s">
        <v>15</v>
      </c>
      <c r="D3451">
        <v>155537.87</v>
      </c>
      <c r="E3451" t="s">
        <v>24</v>
      </c>
      <c r="G3451" t="s">
        <v>20</v>
      </c>
      <c r="H3451" s="1">
        <v>45583</v>
      </c>
      <c r="J3451" t="str">
        <f t="shared" si="53"/>
        <v>Oct-2024</v>
      </c>
    </row>
    <row r="3452" spans="1:10">
      <c r="A3452">
        <v>3451</v>
      </c>
      <c r="B3452">
        <v>18998</v>
      </c>
      <c r="C3452" t="s">
        <v>23</v>
      </c>
      <c r="D3452">
        <v>189907.68</v>
      </c>
      <c r="E3452" t="s">
        <v>16</v>
      </c>
      <c r="F3452">
        <v>24</v>
      </c>
      <c r="G3452" t="s">
        <v>20</v>
      </c>
      <c r="H3452" s="1">
        <v>45573</v>
      </c>
      <c r="I3452" s="1">
        <v>45597</v>
      </c>
      <c r="J3452" t="str">
        <f t="shared" si="53"/>
        <v>Oct-2024</v>
      </c>
    </row>
    <row r="3453" spans="1:10">
      <c r="A3453">
        <v>3452</v>
      </c>
      <c r="B3453">
        <v>17030</v>
      </c>
      <c r="C3453" t="s">
        <v>23</v>
      </c>
      <c r="D3453">
        <v>27581.95</v>
      </c>
      <c r="E3453" t="s">
        <v>19</v>
      </c>
      <c r="F3453">
        <v>44</v>
      </c>
      <c r="G3453" t="s">
        <v>21</v>
      </c>
      <c r="H3453" s="1">
        <v>45592</v>
      </c>
      <c r="I3453" s="1">
        <v>45636</v>
      </c>
      <c r="J3453" t="str">
        <f t="shared" si="53"/>
        <v>Oct-2024</v>
      </c>
    </row>
    <row r="3454" spans="1:10">
      <c r="A3454">
        <v>3453</v>
      </c>
      <c r="B3454">
        <v>10331</v>
      </c>
      <c r="C3454" t="s">
        <v>18</v>
      </c>
      <c r="D3454">
        <v>70259.679999999993</v>
      </c>
      <c r="E3454" t="s">
        <v>16</v>
      </c>
      <c r="F3454">
        <v>34</v>
      </c>
      <c r="G3454" t="s">
        <v>20</v>
      </c>
      <c r="H3454" s="1">
        <v>45608</v>
      </c>
      <c r="I3454" s="1">
        <v>45642</v>
      </c>
      <c r="J3454" t="str">
        <f t="shared" si="53"/>
        <v>Nov-2024</v>
      </c>
    </row>
    <row r="3455" spans="1:10">
      <c r="A3455">
        <v>3454</v>
      </c>
      <c r="B3455">
        <v>17145</v>
      </c>
      <c r="C3455" t="s">
        <v>18</v>
      </c>
      <c r="D3455">
        <v>67312.070000000007</v>
      </c>
      <c r="E3455" t="s">
        <v>16</v>
      </c>
      <c r="F3455">
        <v>28</v>
      </c>
      <c r="G3455" t="s">
        <v>20</v>
      </c>
      <c r="H3455" s="1">
        <v>45463</v>
      </c>
      <c r="I3455" s="1">
        <v>45491</v>
      </c>
      <c r="J3455" t="str">
        <f t="shared" si="53"/>
        <v>Jun-2024</v>
      </c>
    </row>
    <row r="3456" spans="1:10">
      <c r="A3456">
        <v>3455</v>
      </c>
      <c r="B3456">
        <v>19726</v>
      </c>
      <c r="C3456" t="s">
        <v>23</v>
      </c>
      <c r="D3456">
        <v>34480.67</v>
      </c>
      <c r="E3456" t="s">
        <v>19</v>
      </c>
      <c r="F3456">
        <v>36</v>
      </c>
      <c r="G3456" t="s">
        <v>17</v>
      </c>
      <c r="H3456" s="1">
        <v>45367</v>
      </c>
      <c r="I3456" s="1">
        <v>45403</v>
      </c>
      <c r="J3456" t="str">
        <f t="shared" si="53"/>
        <v>Mar-2024</v>
      </c>
    </row>
    <row r="3457" spans="1:10">
      <c r="A3457">
        <v>3456</v>
      </c>
      <c r="B3457">
        <v>16979</v>
      </c>
      <c r="C3457" t="s">
        <v>18</v>
      </c>
      <c r="D3457">
        <v>163009.10999999999</v>
      </c>
      <c r="E3457" t="s">
        <v>19</v>
      </c>
      <c r="F3457">
        <v>13</v>
      </c>
      <c r="G3457" t="s">
        <v>20</v>
      </c>
      <c r="H3457" s="1">
        <v>45500</v>
      </c>
      <c r="I3457" s="1">
        <v>45513</v>
      </c>
      <c r="J3457" t="str">
        <f t="shared" si="53"/>
        <v>Jul-2024</v>
      </c>
    </row>
    <row r="3458" spans="1:10">
      <c r="A3458">
        <v>3457</v>
      </c>
      <c r="B3458">
        <v>18372</v>
      </c>
      <c r="C3458" t="s">
        <v>23</v>
      </c>
      <c r="D3458">
        <v>153176.35</v>
      </c>
      <c r="E3458" t="s">
        <v>16</v>
      </c>
      <c r="F3458">
        <v>10</v>
      </c>
      <c r="G3458" t="s">
        <v>21</v>
      </c>
      <c r="H3458" s="1">
        <v>45605</v>
      </c>
      <c r="I3458" s="1">
        <v>45615</v>
      </c>
      <c r="J3458" t="str">
        <f t="shared" si="53"/>
        <v>Nov-2024</v>
      </c>
    </row>
    <row r="3459" spans="1:10">
      <c r="A3459">
        <v>3458</v>
      </c>
      <c r="B3459">
        <v>19508</v>
      </c>
      <c r="C3459" t="s">
        <v>23</v>
      </c>
      <c r="D3459">
        <v>99462.97</v>
      </c>
      <c r="E3459" t="s">
        <v>19</v>
      </c>
      <c r="F3459">
        <v>35</v>
      </c>
      <c r="G3459" t="s">
        <v>21</v>
      </c>
      <c r="H3459" s="1">
        <v>45396</v>
      </c>
      <c r="I3459" s="1">
        <v>45431</v>
      </c>
      <c r="J3459" t="str">
        <f t="shared" ref="J3459:J3522" si="54">TEXT(H3459,"mmm-yyyy")</f>
        <v>Apr-2024</v>
      </c>
    </row>
    <row r="3460" spans="1:10">
      <c r="A3460">
        <v>3459</v>
      </c>
      <c r="B3460">
        <v>16112</v>
      </c>
      <c r="C3460" t="s">
        <v>18</v>
      </c>
      <c r="D3460">
        <v>109865.3</v>
      </c>
      <c r="E3460" t="s">
        <v>16</v>
      </c>
      <c r="F3460">
        <v>15</v>
      </c>
      <c r="G3460" t="s">
        <v>17</v>
      </c>
      <c r="H3460" s="1">
        <v>45317</v>
      </c>
      <c r="I3460" s="1">
        <v>45332</v>
      </c>
      <c r="J3460" t="str">
        <f t="shared" si="54"/>
        <v>Jan-2024</v>
      </c>
    </row>
    <row r="3461" spans="1:10">
      <c r="A3461">
        <v>3460</v>
      </c>
      <c r="B3461">
        <v>19298</v>
      </c>
      <c r="C3461" t="s">
        <v>15</v>
      </c>
      <c r="D3461">
        <v>16611.11</v>
      </c>
      <c r="E3461" t="s">
        <v>19</v>
      </c>
      <c r="F3461">
        <v>38</v>
      </c>
      <c r="G3461" t="s">
        <v>20</v>
      </c>
      <c r="H3461" s="1">
        <v>45642</v>
      </c>
      <c r="I3461" s="1">
        <v>45680</v>
      </c>
      <c r="J3461" t="str">
        <f t="shared" si="54"/>
        <v>Dec-2024</v>
      </c>
    </row>
    <row r="3462" spans="1:10">
      <c r="A3462">
        <v>3461</v>
      </c>
      <c r="B3462">
        <v>11589</v>
      </c>
      <c r="C3462" t="s">
        <v>23</v>
      </c>
      <c r="D3462">
        <v>113323.93</v>
      </c>
      <c r="E3462" t="s">
        <v>16</v>
      </c>
      <c r="F3462">
        <v>4</v>
      </c>
      <c r="G3462" t="s">
        <v>20</v>
      </c>
      <c r="H3462" s="1">
        <v>45370</v>
      </c>
      <c r="I3462" s="1">
        <v>45374</v>
      </c>
      <c r="J3462" t="str">
        <f t="shared" si="54"/>
        <v>Mar-2024</v>
      </c>
    </row>
    <row r="3463" spans="1:10">
      <c r="A3463">
        <v>3462</v>
      </c>
      <c r="B3463">
        <v>12486</v>
      </c>
      <c r="C3463" t="s">
        <v>22</v>
      </c>
      <c r="D3463">
        <v>159311.6</v>
      </c>
      <c r="E3463" t="s">
        <v>16</v>
      </c>
      <c r="F3463">
        <v>22</v>
      </c>
      <c r="G3463" t="s">
        <v>21</v>
      </c>
      <c r="H3463" s="1">
        <v>45419</v>
      </c>
      <c r="I3463" s="1">
        <v>45441</v>
      </c>
      <c r="J3463" t="str">
        <f t="shared" si="54"/>
        <v>May-2024</v>
      </c>
    </row>
    <row r="3464" spans="1:10">
      <c r="A3464">
        <v>3463</v>
      </c>
      <c r="B3464">
        <v>15834</v>
      </c>
      <c r="C3464" t="s">
        <v>23</v>
      </c>
      <c r="D3464">
        <v>116896.38</v>
      </c>
      <c r="E3464" t="s">
        <v>16</v>
      </c>
      <c r="F3464">
        <v>8</v>
      </c>
      <c r="G3464" t="s">
        <v>20</v>
      </c>
      <c r="H3464" s="1">
        <v>45428</v>
      </c>
      <c r="I3464" s="1">
        <v>45436</v>
      </c>
      <c r="J3464" t="str">
        <f t="shared" si="54"/>
        <v>May-2024</v>
      </c>
    </row>
    <row r="3465" spans="1:10">
      <c r="A3465">
        <v>3464</v>
      </c>
      <c r="B3465">
        <v>12590</v>
      </c>
      <c r="C3465" t="s">
        <v>18</v>
      </c>
      <c r="D3465">
        <v>56734.74</v>
      </c>
      <c r="E3465" t="s">
        <v>16</v>
      </c>
      <c r="F3465">
        <v>34</v>
      </c>
      <c r="G3465" t="s">
        <v>20</v>
      </c>
      <c r="H3465" s="1">
        <v>45625</v>
      </c>
      <c r="I3465" s="1">
        <v>45659</v>
      </c>
      <c r="J3465" t="str">
        <f t="shared" si="54"/>
        <v>Nov-2024</v>
      </c>
    </row>
    <row r="3466" spans="1:10">
      <c r="A3466">
        <v>3465</v>
      </c>
      <c r="B3466">
        <v>18679</v>
      </c>
      <c r="C3466" t="s">
        <v>23</v>
      </c>
      <c r="D3466">
        <v>135171.91</v>
      </c>
      <c r="E3466" t="s">
        <v>19</v>
      </c>
      <c r="F3466">
        <v>36</v>
      </c>
      <c r="G3466" t="s">
        <v>20</v>
      </c>
      <c r="H3466" s="1">
        <v>45327</v>
      </c>
      <c r="I3466" s="1">
        <v>45363</v>
      </c>
      <c r="J3466" t="str">
        <f t="shared" si="54"/>
        <v>Feb-2024</v>
      </c>
    </row>
    <row r="3467" spans="1:10">
      <c r="A3467">
        <v>3466</v>
      </c>
      <c r="B3467">
        <v>18803</v>
      </c>
      <c r="C3467" t="s">
        <v>15</v>
      </c>
      <c r="D3467">
        <v>75490.240000000005</v>
      </c>
      <c r="E3467" t="s">
        <v>16</v>
      </c>
      <c r="F3467">
        <v>12</v>
      </c>
      <c r="G3467" t="s">
        <v>25</v>
      </c>
      <c r="H3467" s="1">
        <v>45350</v>
      </c>
      <c r="I3467" s="1">
        <v>45362</v>
      </c>
      <c r="J3467" t="str">
        <f t="shared" si="54"/>
        <v>Feb-2024</v>
      </c>
    </row>
    <row r="3468" spans="1:10">
      <c r="A3468">
        <v>3467</v>
      </c>
      <c r="B3468">
        <v>13420</v>
      </c>
      <c r="C3468" t="s">
        <v>22</v>
      </c>
      <c r="D3468">
        <v>111250.29</v>
      </c>
      <c r="E3468" t="s">
        <v>16</v>
      </c>
      <c r="F3468">
        <v>33</v>
      </c>
      <c r="G3468" t="s">
        <v>17</v>
      </c>
      <c r="H3468" s="1">
        <v>45521</v>
      </c>
      <c r="I3468" s="1">
        <v>45554</v>
      </c>
      <c r="J3468" t="str">
        <f t="shared" si="54"/>
        <v>Aug-2024</v>
      </c>
    </row>
    <row r="3469" spans="1:10">
      <c r="A3469">
        <v>3468</v>
      </c>
      <c r="B3469">
        <v>15208</v>
      </c>
      <c r="C3469" t="s">
        <v>23</v>
      </c>
      <c r="D3469">
        <v>100075.25</v>
      </c>
      <c r="E3469" t="s">
        <v>16</v>
      </c>
      <c r="F3469">
        <v>23</v>
      </c>
      <c r="G3469" t="s">
        <v>25</v>
      </c>
      <c r="H3469" s="1">
        <v>45415</v>
      </c>
      <c r="I3469" s="1">
        <v>45438</v>
      </c>
      <c r="J3469" t="str">
        <f t="shared" si="54"/>
        <v>May-2024</v>
      </c>
    </row>
    <row r="3470" spans="1:10">
      <c r="A3470">
        <v>3469</v>
      </c>
      <c r="B3470">
        <v>19589</v>
      </c>
      <c r="C3470" t="s">
        <v>22</v>
      </c>
      <c r="D3470">
        <v>79329.13</v>
      </c>
      <c r="E3470" t="s">
        <v>16</v>
      </c>
      <c r="F3470">
        <v>43</v>
      </c>
      <c r="G3470" t="s">
        <v>17</v>
      </c>
      <c r="H3470" s="1">
        <v>45379</v>
      </c>
      <c r="I3470" s="1">
        <v>45422</v>
      </c>
      <c r="J3470" t="str">
        <f t="shared" si="54"/>
        <v>Mar-2024</v>
      </c>
    </row>
    <row r="3471" spans="1:10">
      <c r="A3471">
        <v>3470</v>
      </c>
      <c r="B3471">
        <v>17214</v>
      </c>
      <c r="C3471" t="s">
        <v>15</v>
      </c>
      <c r="D3471">
        <v>145181.21</v>
      </c>
      <c r="E3471" t="s">
        <v>16</v>
      </c>
      <c r="F3471">
        <v>20</v>
      </c>
      <c r="G3471" t="s">
        <v>21</v>
      </c>
      <c r="H3471" s="1">
        <v>45628</v>
      </c>
      <c r="I3471" s="1">
        <v>45648</v>
      </c>
      <c r="J3471" t="str">
        <f t="shared" si="54"/>
        <v>Dec-2024</v>
      </c>
    </row>
    <row r="3472" spans="1:10">
      <c r="A3472">
        <v>3471</v>
      </c>
      <c r="B3472">
        <v>11456</v>
      </c>
      <c r="C3472" t="s">
        <v>18</v>
      </c>
      <c r="D3472">
        <v>177355.84</v>
      </c>
      <c r="E3472" t="s">
        <v>16</v>
      </c>
      <c r="F3472">
        <v>37</v>
      </c>
      <c r="G3472" t="s">
        <v>20</v>
      </c>
      <c r="H3472" s="1">
        <v>45432</v>
      </c>
      <c r="I3472" s="1">
        <v>45469</v>
      </c>
      <c r="J3472" t="str">
        <f t="shared" si="54"/>
        <v>May-2024</v>
      </c>
    </row>
    <row r="3473" spans="1:10">
      <c r="A3473">
        <v>3472</v>
      </c>
      <c r="B3473">
        <v>19529</v>
      </c>
      <c r="C3473" t="s">
        <v>23</v>
      </c>
      <c r="D3473">
        <v>6016.44</v>
      </c>
      <c r="E3473" t="s">
        <v>24</v>
      </c>
      <c r="G3473" t="s">
        <v>17</v>
      </c>
      <c r="H3473" s="1">
        <v>45564</v>
      </c>
      <c r="J3473" t="str">
        <f t="shared" si="54"/>
        <v>Sep-2024</v>
      </c>
    </row>
    <row r="3474" spans="1:10">
      <c r="A3474">
        <v>3473</v>
      </c>
      <c r="B3474">
        <v>14497</v>
      </c>
      <c r="C3474" t="s">
        <v>15</v>
      </c>
      <c r="D3474">
        <v>187055.22</v>
      </c>
      <c r="E3474" t="s">
        <v>16</v>
      </c>
      <c r="F3474">
        <v>12</v>
      </c>
      <c r="G3474" t="s">
        <v>25</v>
      </c>
      <c r="H3474" s="1">
        <v>45342</v>
      </c>
      <c r="I3474" s="1">
        <v>45354</v>
      </c>
      <c r="J3474" t="str">
        <f t="shared" si="54"/>
        <v>Feb-2024</v>
      </c>
    </row>
    <row r="3475" spans="1:10">
      <c r="A3475">
        <v>3474</v>
      </c>
      <c r="B3475">
        <v>12867</v>
      </c>
      <c r="C3475" t="s">
        <v>15</v>
      </c>
      <c r="D3475">
        <v>104745.45</v>
      </c>
      <c r="E3475" t="s">
        <v>16</v>
      </c>
      <c r="F3475">
        <v>42</v>
      </c>
      <c r="G3475" t="s">
        <v>20</v>
      </c>
      <c r="H3475" s="1">
        <v>45346</v>
      </c>
      <c r="I3475" s="1">
        <v>45388</v>
      </c>
      <c r="J3475" t="str">
        <f t="shared" si="54"/>
        <v>Feb-2024</v>
      </c>
    </row>
    <row r="3476" spans="1:10">
      <c r="A3476">
        <v>3475</v>
      </c>
      <c r="B3476">
        <v>14583</v>
      </c>
      <c r="C3476" t="s">
        <v>23</v>
      </c>
      <c r="D3476">
        <v>141642.72</v>
      </c>
      <c r="E3476" t="s">
        <v>19</v>
      </c>
      <c r="F3476">
        <v>14</v>
      </c>
      <c r="G3476" t="s">
        <v>21</v>
      </c>
      <c r="H3476" s="1">
        <v>45628</v>
      </c>
      <c r="I3476" s="1">
        <v>45642</v>
      </c>
      <c r="J3476" t="str">
        <f t="shared" si="54"/>
        <v>Dec-2024</v>
      </c>
    </row>
    <row r="3477" spans="1:10">
      <c r="A3477">
        <v>3476</v>
      </c>
      <c r="B3477">
        <v>15254</v>
      </c>
      <c r="C3477" t="s">
        <v>22</v>
      </c>
      <c r="D3477">
        <v>171846.79</v>
      </c>
      <c r="E3477" t="s">
        <v>16</v>
      </c>
      <c r="F3477">
        <v>29</v>
      </c>
      <c r="G3477" t="s">
        <v>17</v>
      </c>
      <c r="H3477" s="1">
        <v>45441</v>
      </c>
      <c r="I3477" s="1">
        <v>45470</v>
      </c>
      <c r="J3477" t="str">
        <f t="shared" si="54"/>
        <v>May-2024</v>
      </c>
    </row>
    <row r="3478" spans="1:10">
      <c r="A3478">
        <v>3477</v>
      </c>
      <c r="B3478">
        <v>16345</v>
      </c>
      <c r="C3478" t="s">
        <v>23</v>
      </c>
      <c r="D3478">
        <v>96085.22</v>
      </c>
      <c r="E3478" t="s">
        <v>24</v>
      </c>
      <c r="G3478" t="s">
        <v>17</v>
      </c>
      <c r="H3478" s="1">
        <v>45444</v>
      </c>
      <c r="J3478" t="str">
        <f t="shared" si="54"/>
        <v>Jun-2024</v>
      </c>
    </row>
    <row r="3479" spans="1:10">
      <c r="A3479">
        <v>3478</v>
      </c>
      <c r="B3479">
        <v>16571</v>
      </c>
      <c r="C3479" t="s">
        <v>23</v>
      </c>
      <c r="D3479">
        <v>167819.94</v>
      </c>
      <c r="E3479" t="s">
        <v>19</v>
      </c>
      <c r="F3479">
        <v>14</v>
      </c>
      <c r="G3479" t="s">
        <v>17</v>
      </c>
      <c r="H3479" s="1">
        <v>45510</v>
      </c>
      <c r="I3479" s="1">
        <v>45524</v>
      </c>
      <c r="J3479" t="str">
        <f t="shared" si="54"/>
        <v>Aug-2024</v>
      </c>
    </row>
    <row r="3480" spans="1:10">
      <c r="A3480">
        <v>3479</v>
      </c>
      <c r="B3480">
        <v>17083</v>
      </c>
      <c r="C3480" t="s">
        <v>18</v>
      </c>
      <c r="D3480">
        <v>39635.86</v>
      </c>
      <c r="E3480" t="s">
        <v>16</v>
      </c>
      <c r="F3480">
        <v>44</v>
      </c>
      <c r="G3480" t="s">
        <v>20</v>
      </c>
      <c r="H3480" s="1">
        <v>45510</v>
      </c>
      <c r="I3480" s="1">
        <v>45554</v>
      </c>
      <c r="J3480" t="str">
        <f t="shared" si="54"/>
        <v>Aug-2024</v>
      </c>
    </row>
    <row r="3481" spans="1:10">
      <c r="A3481">
        <v>3480</v>
      </c>
      <c r="B3481">
        <v>15298</v>
      </c>
      <c r="C3481" t="s">
        <v>18</v>
      </c>
      <c r="D3481">
        <v>36037.67</v>
      </c>
      <c r="E3481" t="s">
        <v>16</v>
      </c>
      <c r="F3481">
        <v>34</v>
      </c>
      <c r="G3481" t="s">
        <v>25</v>
      </c>
      <c r="H3481" s="1">
        <v>45633</v>
      </c>
      <c r="I3481" s="1">
        <v>45667</v>
      </c>
      <c r="J3481" t="str">
        <f t="shared" si="54"/>
        <v>Dec-2024</v>
      </c>
    </row>
    <row r="3482" spans="1:10">
      <c r="A3482">
        <v>3481</v>
      </c>
      <c r="B3482">
        <v>10078</v>
      </c>
      <c r="C3482" t="s">
        <v>18</v>
      </c>
      <c r="D3482">
        <v>133206.92000000001</v>
      </c>
      <c r="E3482" t="s">
        <v>16</v>
      </c>
      <c r="F3482">
        <v>9</v>
      </c>
      <c r="G3482" t="s">
        <v>25</v>
      </c>
      <c r="H3482" s="1">
        <v>45549</v>
      </c>
      <c r="I3482" s="1">
        <v>45558</v>
      </c>
      <c r="J3482" t="str">
        <f t="shared" si="54"/>
        <v>Sep-2024</v>
      </c>
    </row>
    <row r="3483" spans="1:10">
      <c r="A3483">
        <v>3482</v>
      </c>
      <c r="B3483">
        <v>15652</v>
      </c>
      <c r="C3483" t="s">
        <v>23</v>
      </c>
      <c r="D3483">
        <v>174677.89</v>
      </c>
      <c r="E3483" t="s">
        <v>16</v>
      </c>
      <c r="F3483">
        <v>33</v>
      </c>
      <c r="G3483" t="s">
        <v>17</v>
      </c>
      <c r="H3483" s="1">
        <v>45336</v>
      </c>
      <c r="I3483" s="1">
        <v>45369</v>
      </c>
      <c r="J3483" t="str">
        <f t="shared" si="54"/>
        <v>Feb-2024</v>
      </c>
    </row>
    <row r="3484" spans="1:10">
      <c r="A3484">
        <v>3483</v>
      </c>
      <c r="B3484">
        <v>10377</v>
      </c>
      <c r="C3484" t="s">
        <v>22</v>
      </c>
      <c r="D3484">
        <v>179023.1</v>
      </c>
      <c r="E3484" t="s">
        <v>19</v>
      </c>
      <c r="F3484">
        <v>38</v>
      </c>
      <c r="G3484" t="s">
        <v>21</v>
      </c>
      <c r="H3484" s="1">
        <v>45560</v>
      </c>
      <c r="I3484" s="1">
        <v>45598</v>
      </c>
      <c r="J3484" t="str">
        <f t="shared" si="54"/>
        <v>Sep-2024</v>
      </c>
    </row>
    <row r="3485" spans="1:10">
      <c r="A3485">
        <v>3484</v>
      </c>
      <c r="B3485">
        <v>10164</v>
      </c>
      <c r="C3485" t="s">
        <v>23</v>
      </c>
      <c r="D3485">
        <v>130529.39</v>
      </c>
      <c r="E3485" t="s">
        <v>16</v>
      </c>
      <c r="F3485">
        <v>5</v>
      </c>
      <c r="G3485" t="s">
        <v>21</v>
      </c>
      <c r="H3485" s="1">
        <v>45602</v>
      </c>
      <c r="I3485" s="1">
        <v>45607</v>
      </c>
      <c r="J3485" t="str">
        <f t="shared" si="54"/>
        <v>Nov-2024</v>
      </c>
    </row>
    <row r="3486" spans="1:10">
      <c r="A3486">
        <v>3485</v>
      </c>
      <c r="B3486">
        <v>17967</v>
      </c>
      <c r="C3486" t="s">
        <v>23</v>
      </c>
      <c r="D3486">
        <v>107470.39999999999</v>
      </c>
      <c r="E3486" t="s">
        <v>16</v>
      </c>
      <c r="F3486">
        <v>19</v>
      </c>
      <c r="G3486" t="s">
        <v>25</v>
      </c>
      <c r="H3486" s="1">
        <v>45451</v>
      </c>
      <c r="I3486" s="1">
        <v>45470</v>
      </c>
      <c r="J3486" t="str">
        <f t="shared" si="54"/>
        <v>Jun-2024</v>
      </c>
    </row>
    <row r="3487" spans="1:10">
      <c r="A3487">
        <v>3486</v>
      </c>
      <c r="B3487">
        <v>19912</v>
      </c>
      <c r="C3487" t="s">
        <v>23</v>
      </c>
      <c r="D3487">
        <v>69621.649999999994</v>
      </c>
      <c r="E3487" t="s">
        <v>16</v>
      </c>
      <c r="F3487">
        <v>24</v>
      </c>
      <c r="G3487" t="s">
        <v>21</v>
      </c>
      <c r="H3487" s="1">
        <v>45569</v>
      </c>
      <c r="I3487" s="1">
        <v>45593</v>
      </c>
      <c r="J3487" t="str">
        <f t="shared" si="54"/>
        <v>Oct-2024</v>
      </c>
    </row>
    <row r="3488" spans="1:10">
      <c r="A3488">
        <v>3487</v>
      </c>
      <c r="B3488">
        <v>15941</v>
      </c>
      <c r="C3488" t="s">
        <v>18</v>
      </c>
      <c r="D3488">
        <v>196100.08</v>
      </c>
      <c r="E3488" t="s">
        <v>16</v>
      </c>
      <c r="F3488">
        <v>30</v>
      </c>
      <c r="G3488" t="s">
        <v>25</v>
      </c>
      <c r="H3488" s="1">
        <v>45636</v>
      </c>
      <c r="I3488" s="1">
        <v>45666</v>
      </c>
      <c r="J3488" t="str">
        <f t="shared" si="54"/>
        <v>Dec-2024</v>
      </c>
    </row>
    <row r="3489" spans="1:10">
      <c r="A3489">
        <v>3488</v>
      </c>
      <c r="B3489">
        <v>18346</v>
      </c>
      <c r="C3489" t="s">
        <v>22</v>
      </c>
      <c r="D3489">
        <v>67340.66</v>
      </c>
      <c r="E3489" t="s">
        <v>16</v>
      </c>
      <c r="F3489">
        <v>3</v>
      </c>
      <c r="G3489" t="s">
        <v>17</v>
      </c>
      <c r="H3489" s="1">
        <v>45346</v>
      </c>
      <c r="I3489" s="1">
        <v>45349</v>
      </c>
      <c r="J3489" t="str">
        <f t="shared" si="54"/>
        <v>Feb-2024</v>
      </c>
    </row>
    <row r="3490" spans="1:10">
      <c r="A3490">
        <v>3489</v>
      </c>
      <c r="B3490">
        <v>11146</v>
      </c>
      <c r="C3490" t="s">
        <v>18</v>
      </c>
      <c r="D3490">
        <v>150116.29</v>
      </c>
      <c r="E3490" t="s">
        <v>19</v>
      </c>
      <c r="F3490">
        <v>14</v>
      </c>
      <c r="G3490" t="s">
        <v>25</v>
      </c>
      <c r="H3490" s="1">
        <v>45436</v>
      </c>
      <c r="I3490" s="1">
        <v>45450</v>
      </c>
      <c r="J3490" t="str">
        <f t="shared" si="54"/>
        <v>May-2024</v>
      </c>
    </row>
    <row r="3491" spans="1:10">
      <c r="A3491">
        <v>3490</v>
      </c>
      <c r="B3491">
        <v>19255</v>
      </c>
      <c r="C3491" t="s">
        <v>15</v>
      </c>
      <c r="D3491">
        <v>108736.45</v>
      </c>
      <c r="E3491" t="s">
        <v>16</v>
      </c>
      <c r="F3491">
        <v>17</v>
      </c>
      <c r="G3491" t="s">
        <v>25</v>
      </c>
      <c r="H3491" s="1">
        <v>45526</v>
      </c>
      <c r="I3491" s="1">
        <v>45543</v>
      </c>
      <c r="J3491" t="str">
        <f t="shared" si="54"/>
        <v>Aug-2024</v>
      </c>
    </row>
    <row r="3492" spans="1:10">
      <c r="A3492">
        <v>3491</v>
      </c>
      <c r="B3492">
        <v>12216</v>
      </c>
      <c r="C3492" t="s">
        <v>23</v>
      </c>
      <c r="D3492">
        <v>123659.91</v>
      </c>
      <c r="E3492" t="s">
        <v>16</v>
      </c>
      <c r="F3492">
        <v>9</v>
      </c>
      <c r="G3492" t="s">
        <v>17</v>
      </c>
      <c r="H3492" s="1">
        <v>45470</v>
      </c>
      <c r="I3492" s="1">
        <v>45479</v>
      </c>
      <c r="J3492" t="str">
        <f t="shared" si="54"/>
        <v>Jun-2024</v>
      </c>
    </row>
    <row r="3493" spans="1:10">
      <c r="A3493">
        <v>3492</v>
      </c>
      <c r="B3493">
        <v>15449</v>
      </c>
      <c r="C3493" t="s">
        <v>18</v>
      </c>
      <c r="D3493">
        <v>81728.710000000006</v>
      </c>
      <c r="E3493" t="s">
        <v>16</v>
      </c>
      <c r="F3493">
        <v>20</v>
      </c>
      <c r="G3493" t="s">
        <v>21</v>
      </c>
      <c r="H3493" s="1">
        <v>45499</v>
      </c>
      <c r="I3493" s="1">
        <v>45519</v>
      </c>
      <c r="J3493" t="str">
        <f t="shared" si="54"/>
        <v>Jul-2024</v>
      </c>
    </row>
    <row r="3494" spans="1:10">
      <c r="A3494">
        <v>3493</v>
      </c>
      <c r="B3494">
        <v>11463</v>
      </c>
      <c r="C3494" t="s">
        <v>23</v>
      </c>
      <c r="D3494">
        <v>193140.51</v>
      </c>
      <c r="E3494" t="s">
        <v>19</v>
      </c>
      <c r="F3494">
        <v>33</v>
      </c>
      <c r="G3494" t="s">
        <v>25</v>
      </c>
      <c r="H3494" s="1">
        <v>45427</v>
      </c>
      <c r="I3494" s="1">
        <v>45460</v>
      </c>
      <c r="J3494" t="str">
        <f t="shared" si="54"/>
        <v>May-2024</v>
      </c>
    </row>
    <row r="3495" spans="1:10">
      <c r="A3495">
        <v>3494</v>
      </c>
      <c r="B3495">
        <v>13470</v>
      </c>
      <c r="C3495" t="s">
        <v>23</v>
      </c>
      <c r="D3495">
        <v>116478.05</v>
      </c>
      <c r="E3495" t="s">
        <v>16</v>
      </c>
      <c r="F3495">
        <v>4</v>
      </c>
      <c r="G3495" t="s">
        <v>25</v>
      </c>
      <c r="H3495" s="1">
        <v>45644</v>
      </c>
      <c r="I3495" s="1">
        <v>45648</v>
      </c>
      <c r="J3495" t="str">
        <f t="shared" si="54"/>
        <v>Dec-2024</v>
      </c>
    </row>
    <row r="3496" spans="1:10">
      <c r="A3496">
        <v>3495</v>
      </c>
      <c r="B3496">
        <v>11516</v>
      </c>
      <c r="C3496" t="s">
        <v>23</v>
      </c>
      <c r="D3496">
        <v>187868.59</v>
      </c>
      <c r="E3496" t="s">
        <v>19</v>
      </c>
      <c r="F3496">
        <v>33</v>
      </c>
      <c r="G3496" t="s">
        <v>17</v>
      </c>
      <c r="H3496" s="1">
        <v>45566</v>
      </c>
      <c r="I3496" s="1">
        <v>45599</v>
      </c>
      <c r="J3496" t="str">
        <f t="shared" si="54"/>
        <v>Oct-2024</v>
      </c>
    </row>
    <row r="3497" spans="1:10">
      <c r="A3497">
        <v>3496</v>
      </c>
      <c r="B3497">
        <v>14423</v>
      </c>
      <c r="C3497" t="s">
        <v>18</v>
      </c>
      <c r="D3497">
        <v>6480.33</v>
      </c>
      <c r="E3497" t="s">
        <v>16</v>
      </c>
      <c r="F3497">
        <v>42</v>
      </c>
      <c r="G3497" t="s">
        <v>21</v>
      </c>
      <c r="H3497" s="1">
        <v>45614</v>
      </c>
      <c r="I3497" s="1">
        <v>45656</v>
      </c>
      <c r="J3497" t="str">
        <f t="shared" si="54"/>
        <v>Nov-2024</v>
      </c>
    </row>
    <row r="3498" spans="1:10">
      <c r="A3498">
        <v>3497</v>
      </c>
      <c r="B3498">
        <v>11526</v>
      </c>
      <c r="C3498" t="s">
        <v>18</v>
      </c>
      <c r="D3498">
        <v>116670.76</v>
      </c>
      <c r="E3498" t="s">
        <v>24</v>
      </c>
      <c r="G3498" t="s">
        <v>25</v>
      </c>
      <c r="H3498" s="1">
        <v>45474</v>
      </c>
      <c r="J3498" t="str">
        <f t="shared" si="54"/>
        <v>Jul-2024</v>
      </c>
    </row>
    <row r="3499" spans="1:10">
      <c r="A3499">
        <v>3498</v>
      </c>
      <c r="B3499">
        <v>10788</v>
      </c>
      <c r="C3499" t="s">
        <v>18</v>
      </c>
      <c r="D3499">
        <v>144851.44</v>
      </c>
      <c r="E3499" t="s">
        <v>16</v>
      </c>
      <c r="F3499">
        <v>26</v>
      </c>
      <c r="G3499" t="s">
        <v>17</v>
      </c>
      <c r="H3499" s="1">
        <v>45352</v>
      </c>
      <c r="I3499" s="1">
        <v>45378</v>
      </c>
      <c r="J3499" t="str">
        <f t="shared" si="54"/>
        <v>Mar-2024</v>
      </c>
    </row>
    <row r="3500" spans="1:10">
      <c r="A3500">
        <v>3499</v>
      </c>
      <c r="B3500">
        <v>16520</v>
      </c>
      <c r="C3500" t="s">
        <v>23</v>
      </c>
      <c r="D3500">
        <v>150290.63</v>
      </c>
      <c r="E3500" t="s">
        <v>16</v>
      </c>
      <c r="F3500">
        <v>18</v>
      </c>
      <c r="G3500" t="s">
        <v>25</v>
      </c>
      <c r="H3500" s="1">
        <v>45354</v>
      </c>
      <c r="I3500" s="1">
        <v>45372</v>
      </c>
      <c r="J3500" t="str">
        <f t="shared" si="54"/>
        <v>Mar-2024</v>
      </c>
    </row>
    <row r="3501" spans="1:10">
      <c r="A3501">
        <v>3500</v>
      </c>
      <c r="B3501">
        <v>17421</v>
      </c>
      <c r="C3501" t="s">
        <v>23</v>
      </c>
      <c r="D3501">
        <v>181470.49</v>
      </c>
      <c r="E3501" t="s">
        <v>16</v>
      </c>
      <c r="F3501">
        <v>26</v>
      </c>
      <c r="G3501" t="s">
        <v>20</v>
      </c>
      <c r="H3501" s="1">
        <v>45652</v>
      </c>
      <c r="I3501" s="1">
        <v>45678</v>
      </c>
      <c r="J3501" t="str">
        <f t="shared" si="54"/>
        <v>Dec-2024</v>
      </c>
    </row>
    <row r="3502" spans="1:10">
      <c r="A3502">
        <v>3501</v>
      </c>
      <c r="B3502">
        <v>16577</v>
      </c>
      <c r="C3502" t="s">
        <v>18</v>
      </c>
      <c r="D3502">
        <v>5858.31</v>
      </c>
      <c r="E3502" t="s">
        <v>16</v>
      </c>
      <c r="F3502">
        <v>34</v>
      </c>
      <c r="G3502" t="s">
        <v>17</v>
      </c>
      <c r="H3502" s="1">
        <v>45506</v>
      </c>
      <c r="I3502" s="1">
        <v>45540</v>
      </c>
      <c r="J3502" t="str">
        <f t="shared" si="54"/>
        <v>Aug-2024</v>
      </c>
    </row>
    <row r="3503" spans="1:10">
      <c r="A3503">
        <v>3502</v>
      </c>
      <c r="B3503">
        <v>12548</v>
      </c>
      <c r="C3503" t="s">
        <v>23</v>
      </c>
      <c r="D3503">
        <v>5064.38</v>
      </c>
      <c r="E3503" t="s">
        <v>16</v>
      </c>
      <c r="F3503">
        <v>32</v>
      </c>
      <c r="G3503" t="s">
        <v>21</v>
      </c>
      <c r="H3503" s="1">
        <v>45651</v>
      </c>
      <c r="I3503" s="1">
        <v>45683</v>
      </c>
      <c r="J3503" t="str">
        <f t="shared" si="54"/>
        <v>Dec-2024</v>
      </c>
    </row>
    <row r="3504" spans="1:10">
      <c r="A3504">
        <v>3503</v>
      </c>
      <c r="B3504">
        <v>17252</v>
      </c>
      <c r="C3504" t="s">
        <v>15</v>
      </c>
      <c r="D3504">
        <v>97091.37</v>
      </c>
      <c r="E3504" t="s">
        <v>16</v>
      </c>
      <c r="F3504">
        <v>37</v>
      </c>
      <c r="G3504" t="s">
        <v>21</v>
      </c>
      <c r="H3504" s="1">
        <v>45430</v>
      </c>
      <c r="I3504" s="1">
        <v>45467</v>
      </c>
      <c r="J3504" t="str">
        <f t="shared" si="54"/>
        <v>May-2024</v>
      </c>
    </row>
    <row r="3505" spans="1:10">
      <c r="A3505">
        <v>3504</v>
      </c>
      <c r="B3505">
        <v>14608</v>
      </c>
      <c r="C3505" t="s">
        <v>18</v>
      </c>
      <c r="D3505">
        <v>10712.27</v>
      </c>
      <c r="E3505" t="s">
        <v>16</v>
      </c>
      <c r="F3505">
        <v>24</v>
      </c>
      <c r="G3505" t="s">
        <v>21</v>
      </c>
      <c r="H3505" s="1">
        <v>45425</v>
      </c>
      <c r="I3505" s="1">
        <v>45449</v>
      </c>
      <c r="J3505" t="str">
        <f t="shared" si="54"/>
        <v>May-2024</v>
      </c>
    </row>
    <row r="3506" spans="1:10">
      <c r="A3506">
        <v>3505</v>
      </c>
      <c r="B3506">
        <v>18707</v>
      </c>
      <c r="C3506" t="s">
        <v>23</v>
      </c>
      <c r="D3506">
        <v>195033.85</v>
      </c>
      <c r="E3506" t="s">
        <v>16</v>
      </c>
      <c r="F3506">
        <v>26</v>
      </c>
      <c r="G3506" t="s">
        <v>21</v>
      </c>
      <c r="H3506" s="1">
        <v>45325</v>
      </c>
      <c r="I3506" s="1">
        <v>45351</v>
      </c>
      <c r="J3506" t="str">
        <f t="shared" si="54"/>
        <v>Feb-2024</v>
      </c>
    </row>
    <row r="3507" spans="1:10">
      <c r="A3507">
        <v>3506</v>
      </c>
      <c r="B3507">
        <v>16640</v>
      </c>
      <c r="C3507" t="s">
        <v>22</v>
      </c>
      <c r="D3507">
        <v>48302.71</v>
      </c>
      <c r="E3507" t="s">
        <v>24</v>
      </c>
      <c r="G3507" t="s">
        <v>25</v>
      </c>
      <c r="H3507" s="1">
        <v>45484</v>
      </c>
      <c r="J3507" t="str">
        <f t="shared" si="54"/>
        <v>Jul-2024</v>
      </c>
    </row>
    <row r="3508" spans="1:10">
      <c r="A3508">
        <v>3507</v>
      </c>
      <c r="B3508">
        <v>16745</v>
      </c>
      <c r="C3508" t="s">
        <v>18</v>
      </c>
      <c r="D3508">
        <v>97169.62</v>
      </c>
      <c r="E3508" t="s">
        <v>16</v>
      </c>
      <c r="F3508">
        <v>14</v>
      </c>
      <c r="G3508" t="s">
        <v>25</v>
      </c>
      <c r="H3508" s="1">
        <v>45646</v>
      </c>
      <c r="I3508" s="1">
        <v>45660</v>
      </c>
      <c r="J3508" t="str">
        <f t="shared" si="54"/>
        <v>Dec-2024</v>
      </c>
    </row>
    <row r="3509" spans="1:10">
      <c r="A3509">
        <v>3508</v>
      </c>
      <c r="B3509">
        <v>13062</v>
      </c>
      <c r="C3509" t="s">
        <v>23</v>
      </c>
      <c r="D3509">
        <v>16921.84</v>
      </c>
      <c r="E3509" t="s">
        <v>19</v>
      </c>
      <c r="F3509">
        <v>44</v>
      </c>
      <c r="G3509" t="s">
        <v>21</v>
      </c>
      <c r="H3509" s="1">
        <v>45611</v>
      </c>
      <c r="I3509" s="1">
        <v>45655</v>
      </c>
      <c r="J3509" t="str">
        <f t="shared" si="54"/>
        <v>Nov-2024</v>
      </c>
    </row>
    <row r="3510" spans="1:10">
      <c r="A3510">
        <v>3509</v>
      </c>
      <c r="B3510">
        <v>15281</v>
      </c>
      <c r="C3510" t="s">
        <v>18</v>
      </c>
      <c r="D3510">
        <v>106799.44</v>
      </c>
      <c r="E3510" t="s">
        <v>16</v>
      </c>
      <c r="F3510">
        <v>30</v>
      </c>
      <c r="G3510" t="s">
        <v>21</v>
      </c>
      <c r="H3510" s="1">
        <v>45378</v>
      </c>
      <c r="I3510" s="1">
        <v>45408</v>
      </c>
      <c r="J3510" t="str">
        <f t="shared" si="54"/>
        <v>Mar-2024</v>
      </c>
    </row>
    <row r="3511" spans="1:10">
      <c r="A3511">
        <v>3510</v>
      </c>
      <c r="B3511">
        <v>14762</v>
      </c>
      <c r="C3511" t="s">
        <v>23</v>
      </c>
      <c r="D3511">
        <v>79091.44</v>
      </c>
      <c r="E3511" t="s">
        <v>16</v>
      </c>
      <c r="F3511">
        <v>17</v>
      </c>
      <c r="G3511" t="s">
        <v>21</v>
      </c>
      <c r="H3511" s="1">
        <v>45501</v>
      </c>
      <c r="I3511" s="1">
        <v>45518</v>
      </c>
      <c r="J3511" t="str">
        <f t="shared" si="54"/>
        <v>Jul-2024</v>
      </c>
    </row>
    <row r="3512" spans="1:10">
      <c r="A3512">
        <v>3511</v>
      </c>
      <c r="B3512">
        <v>19759</v>
      </c>
      <c r="C3512" t="s">
        <v>15</v>
      </c>
      <c r="D3512">
        <v>13708.71</v>
      </c>
      <c r="E3512" t="s">
        <v>16</v>
      </c>
      <c r="F3512">
        <v>39</v>
      </c>
      <c r="G3512" t="s">
        <v>25</v>
      </c>
      <c r="H3512" s="1">
        <v>45372</v>
      </c>
      <c r="I3512" s="1">
        <v>45411</v>
      </c>
      <c r="J3512" t="str">
        <f t="shared" si="54"/>
        <v>Mar-2024</v>
      </c>
    </row>
    <row r="3513" spans="1:10">
      <c r="A3513">
        <v>3512</v>
      </c>
      <c r="B3513">
        <v>19640</v>
      </c>
      <c r="C3513" t="s">
        <v>15</v>
      </c>
      <c r="D3513">
        <v>70349.23</v>
      </c>
      <c r="E3513" t="s">
        <v>16</v>
      </c>
      <c r="F3513">
        <v>28</v>
      </c>
      <c r="G3513" t="s">
        <v>21</v>
      </c>
      <c r="H3513" s="1">
        <v>45613</v>
      </c>
      <c r="I3513" s="1">
        <v>45641</v>
      </c>
      <c r="J3513" t="str">
        <f t="shared" si="54"/>
        <v>Nov-2024</v>
      </c>
    </row>
    <row r="3514" spans="1:10">
      <c r="A3514">
        <v>3513</v>
      </c>
      <c r="B3514">
        <v>10966</v>
      </c>
      <c r="C3514" t="s">
        <v>22</v>
      </c>
      <c r="D3514">
        <v>81330.02</v>
      </c>
      <c r="E3514" t="s">
        <v>24</v>
      </c>
      <c r="G3514" t="s">
        <v>21</v>
      </c>
      <c r="H3514" s="1">
        <v>45630</v>
      </c>
      <c r="J3514" t="str">
        <f t="shared" si="54"/>
        <v>Dec-2024</v>
      </c>
    </row>
    <row r="3515" spans="1:10">
      <c r="A3515">
        <v>3514</v>
      </c>
      <c r="B3515">
        <v>16076</v>
      </c>
      <c r="C3515" t="s">
        <v>18</v>
      </c>
      <c r="D3515">
        <v>198034.69</v>
      </c>
      <c r="E3515" t="s">
        <v>16</v>
      </c>
      <c r="F3515">
        <v>12</v>
      </c>
      <c r="G3515" t="s">
        <v>20</v>
      </c>
      <c r="H3515" s="1">
        <v>45481</v>
      </c>
      <c r="I3515" s="1">
        <v>45493</v>
      </c>
      <c r="J3515" t="str">
        <f t="shared" si="54"/>
        <v>Jul-2024</v>
      </c>
    </row>
    <row r="3516" spans="1:10">
      <c r="A3516">
        <v>3515</v>
      </c>
      <c r="B3516">
        <v>15694</v>
      </c>
      <c r="C3516" t="s">
        <v>23</v>
      </c>
      <c r="D3516">
        <v>45537.75</v>
      </c>
      <c r="E3516" t="s">
        <v>19</v>
      </c>
      <c r="F3516">
        <v>38</v>
      </c>
      <c r="G3516" t="s">
        <v>20</v>
      </c>
      <c r="H3516" s="1">
        <v>45639</v>
      </c>
      <c r="I3516" s="1">
        <v>45677</v>
      </c>
      <c r="J3516" t="str">
        <f t="shared" si="54"/>
        <v>Dec-2024</v>
      </c>
    </row>
    <row r="3517" spans="1:10">
      <c r="A3517">
        <v>3516</v>
      </c>
      <c r="B3517">
        <v>18555</v>
      </c>
      <c r="C3517" t="s">
        <v>18</v>
      </c>
      <c r="D3517">
        <v>111232.02</v>
      </c>
      <c r="E3517" t="s">
        <v>24</v>
      </c>
      <c r="G3517" t="s">
        <v>21</v>
      </c>
      <c r="H3517" s="1">
        <v>45524</v>
      </c>
      <c r="J3517" t="str">
        <f t="shared" si="54"/>
        <v>Aug-2024</v>
      </c>
    </row>
    <row r="3518" spans="1:10">
      <c r="A3518">
        <v>3517</v>
      </c>
      <c r="B3518">
        <v>10107</v>
      </c>
      <c r="C3518" t="s">
        <v>23</v>
      </c>
      <c r="D3518">
        <v>197526.53</v>
      </c>
      <c r="E3518" t="s">
        <v>16</v>
      </c>
      <c r="F3518">
        <v>27</v>
      </c>
      <c r="G3518" t="s">
        <v>17</v>
      </c>
      <c r="H3518" s="1">
        <v>45460</v>
      </c>
      <c r="I3518" s="1">
        <v>45487</v>
      </c>
      <c r="J3518" t="str">
        <f t="shared" si="54"/>
        <v>Jun-2024</v>
      </c>
    </row>
    <row r="3519" spans="1:10">
      <c r="A3519">
        <v>3518</v>
      </c>
      <c r="B3519">
        <v>17181</v>
      </c>
      <c r="C3519" t="s">
        <v>18</v>
      </c>
      <c r="D3519">
        <v>159443.75</v>
      </c>
      <c r="E3519" t="s">
        <v>24</v>
      </c>
      <c r="G3519" t="s">
        <v>21</v>
      </c>
      <c r="H3519" s="1">
        <v>45542</v>
      </c>
      <c r="J3519" t="str">
        <f t="shared" si="54"/>
        <v>Sep-2024</v>
      </c>
    </row>
    <row r="3520" spans="1:10">
      <c r="A3520">
        <v>3519</v>
      </c>
      <c r="B3520">
        <v>18814</v>
      </c>
      <c r="C3520" t="s">
        <v>18</v>
      </c>
      <c r="D3520">
        <v>198706.66</v>
      </c>
      <c r="E3520" t="s">
        <v>16</v>
      </c>
      <c r="F3520">
        <v>34</v>
      </c>
      <c r="G3520" t="s">
        <v>20</v>
      </c>
      <c r="H3520" s="1">
        <v>45459</v>
      </c>
      <c r="I3520" s="1">
        <v>45493</v>
      </c>
      <c r="J3520" t="str">
        <f t="shared" si="54"/>
        <v>Jun-2024</v>
      </c>
    </row>
    <row r="3521" spans="1:10">
      <c r="A3521">
        <v>3520</v>
      </c>
      <c r="B3521">
        <v>14416</v>
      </c>
      <c r="C3521" t="s">
        <v>23</v>
      </c>
      <c r="D3521">
        <v>193818.17</v>
      </c>
      <c r="E3521" t="s">
        <v>24</v>
      </c>
      <c r="G3521" t="s">
        <v>17</v>
      </c>
      <c r="H3521" s="1">
        <v>45522</v>
      </c>
      <c r="J3521" t="str">
        <f t="shared" si="54"/>
        <v>Aug-2024</v>
      </c>
    </row>
    <row r="3522" spans="1:10">
      <c r="A3522">
        <v>3521</v>
      </c>
      <c r="B3522">
        <v>10509</v>
      </c>
      <c r="C3522" t="s">
        <v>23</v>
      </c>
      <c r="D3522">
        <v>100460.21</v>
      </c>
      <c r="E3522" t="s">
        <v>19</v>
      </c>
      <c r="F3522">
        <v>3</v>
      </c>
      <c r="G3522" t="s">
        <v>17</v>
      </c>
      <c r="H3522" s="1">
        <v>45441</v>
      </c>
      <c r="I3522" s="1">
        <v>45444</v>
      </c>
      <c r="J3522" t="str">
        <f t="shared" si="54"/>
        <v>May-2024</v>
      </c>
    </row>
    <row r="3523" spans="1:10">
      <c r="A3523">
        <v>3522</v>
      </c>
      <c r="B3523">
        <v>16815</v>
      </c>
      <c r="C3523" t="s">
        <v>15</v>
      </c>
      <c r="D3523">
        <v>140793.29</v>
      </c>
      <c r="E3523" t="s">
        <v>16</v>
      </c>
      <c r="F3523">
        <v>29</v>
      </c>
      <c r="G3523" t="s">
        <v>21</v>
      </c>
      <c r="H3523" s="1">
        <v>45443</v>
      </c>
      <c r="I3523" s="1">
        <v>45472</v>
      </c>
      <c r="J3523" t="str">
        <f t="shared" ref="J3523:J3586" si="55">TEXT(H3523,"mmm-yyyy")</f>
        <v>May-2024</v>
      </c>
    </row>
    <row r="3524" spans="1:10">
      <c r="A3524">
        <v>3523</v>
      </c>
      <c r="B3524">
        <v>19256</v>
      </c>
      <c r="C3524" t="s">
        <v>15</v>
      </c>
      <c r="D3524">
        <v>26536.41</v>
      </c>
      <c r="E3524" t="s">
        <v>24</v>
      </c>
      <c r="G3524" t="s">
        <v>20</v>
      </c>
      <c r="H3524" s="1">
        <v>45329</v>
      </c>
      <c r="J3524" t="str">
        <f t="shared" si="55"/>
        <v>Feb-2024</v>
      </c>
    </row>
    <row r="3525" spans="1:10">
      <c r="A3525">
        <v>3524</v>
      </c>
      <c r="B3525">
        <v>13865</v>
      </c>
      <c r="C3525" t="s">
        <v>23</v>
      </c>
      <c r="D3525">
        <v>91024.02</v>
      </c>
      <c r="E3525" t="s">
        <v>16</v>
      </c>
      <c r="F3525">
        <v>39</v>
      </c>
      <c r="G3525" t="s">
        <v>20</v>
      </c>
      <c r="H3525" s="1">
        <v>45588</v>
      </c>
      <c r="I3525" s="1">
        <v>45627</v>
      </c>
      <c r="J3525" t="str">
        <f t="shared" si="55"/>
        <v>Oct-2024</v>
      </c>
    </row>
    <row r="3526" spans="1:10">
      <c r="A3526">
        <v>3525</v>
      </c>
      <c r="B3526">
        <v>18495</v>
      </c>
      <c r="C3526" t="s">
        <v>23</v>
      </c>
      <c r="D3526">
        <v>162758.62</v>
      </c>
      <c r="E3526" t="s">
        <v>16</v>
      </c>
      <c r="F3526">
        <v>17</v>
      </c>
      <c r="G3526" t="s">
        <v>17</v>
      </c>
      <c r="H3526" s="1">
        <v>45566</v>
      </c>
      <c r="I3526" s="1">
        <v>45583</v>
      </c>
      <c r="J3526" t="str">
        <f t="shared" si="55"/>
        <v>Oct-2024</v>
      </c>
    </row>
    <row r="3527" spans="1:10">
      <c r="A3527">
        <v>3526</v>
      </c>
      <c r="B3527">
        <v>19160</v>
      </c>
      <c r="C3527" t="s">
        <v>23</v>
      </c>
      <c r="D3527">
        <v>103540.39</v>
      </c>
      <c r="E3527" t="s">
        <v>16</v>
      </c>
      <c r="F3527">
        <v>5</v>
      </c>
      <c r="G3527" t="s">
        <v>21</v>
      </c>
      <c r="H3527" s="1">
        <v>45396</v>
      </c>
      <c r="I3527" s="1">
        <v>45401</v>
      </c>
      <c r="J3527" t="str">
        <f t="shared" si="55"/>
        <v>Apr-2024</v>
      </c>
    </row>
    <row r="3528" spans="1:10">
      <c r="A3528">
        <v>3527</v>
      </c>
      <c r="B3528">
        <v>19630</v>
      </c>
      <c r="C3528" t="s">
        <v>15</v>
      </c>
      <c r="D3528">
        <v>142026.31</v>
      </c>
      <c r="E3528" t="s">
        <v>16</v>
      </c>
      <c r="F3528">
        <v>9</v>
      </c>
      <c r="G3528" t="s">
        <v>25</v>
      </c>
      <c r="H3528" s="1">
        <v>45639</v>
      </c>
      <c r="I3528" s="1">
        <v>45648</v>
      </c>
      <c r="J3528" t="str">
        <f t="shared" si="55"/>
        <v>Dec-2024</v>
      </c>
    </row>
    <row r="3529" spans="1:10">
      <c r="A3529">
        <v>3528</v>
      </c>
      <c r="B3529">
        <v>13871</v>
      </c>
      <c r="C3529" t="s">
        <v>23</v>
      </c>
      <c r="D3529">
        <v>150421.51</v>
      </c>
      <c r="E3529" t="s">
        <v>16</v>
      </c>
      <c r="F3529">
        <v>21</v>
      </c>
      <c r="G3529" t="s">
        <v>25</v>
      </c>
      <c r="H3529" s="1">
        <v>45643</v>
      </c>
      <c r="I3529" s="1">
        <v>45664</v>
      </c>
      <c r="J3529" t="str">
        <f t="shared" si="55"/>
        <v>Dec-2024</v>
      </c>
    </row>
    <row r="3530" spans="1:10">
      <c r="A3530">
        <v>3529</v>
      </c>
      <c r="B3530">
        <v>15513</v>
      </c>
      <c r="C3530" t="s">
        <v>18</v>
      </c>
      <c r="D3530">
        <v>54426.48</v>
      </c>
      <c r="E3530" t="s">
        <v>19</v>
      </c>
      <c r="F3530">
        <v>27</v>
      </c>
      <c r="G3530" t="s">
        <v>20</v>
      </c>
      <c r="H3530" s="1">
        <v>45353</v>
      </c>
      <c r="I3530" s="1">
        <v>45380</v>
      </c>
      <c r="J3530" t="str">
        <f t="shared" si="55"/>
        <v>Mar-2024</v>
      </c>
    </row>
    <row r="3531" spans="1:10">
      <c r="A3531">
        <v>3530</v>
      </c>
      <c r="B3531">
        <v>16508</v>
      </c>
      <c r="C3531" t="s">
        <v>23</v>
      </c>
      <c r="D3531">
        <v>175761.38</v>
      </c>
      <c r="E3531" t="s">
        <v>16</v>
      </c>
      <c r="F3531">
        <v>33</v>
      </c>
      <c r="G3531" t="s">
        <v>25</v>
      </c>
      <c r="H3531" s="1">
        <v>45307</v>
      </c>
      <c r="I3531" s="1">
        <v>45340</v>
      </c>
      <c r="J3531" t="str">
        <f t="shared" si="55"/>
        <v>Jan-2024</v>
      </c>
    </row>
    <row r="3532" spans="1:10">
      <c r="A3532">
        <v>3531</v>
      </c>
      <c r="B3532">
        <v>17164</v>
      </c>
      <c r="C3532" t="s">
        <v>18</v>
      </c>
      <c r="D3532">
        <v>94665.37</v>
      </c>
      <c r="E3532" t="s">
        <v>16</v>
      </c>
      <c r="F3532">
        <v>14</v>
      </c>
      <c r="G3532" t="s">
        <v>20</v>
      </c>
      <c r="H3532" s="1">
        <v>45641</v>
      </c>
      <c r="I3532" s="1">
        <v>45655</v>
      </c>
      <c r="J3532" t="str">
        <f t="shared" si="55"/>
        <v>Dec-2024</v>
      </c>
    </row>
    <row r="3533" spans="1:10">
      <c r="A3533">
        <v>3532</v>
      </c>
      <c r="B3533">
        <v>13500</v>
      </c>
      <c r="C3533" t="s">
        <v>23</v>
      </c>
      <c r="D3533">
        <v>45986.1</v>
      </c>
      <c r="E3533" t="s">
        <v>16</v>
      </c>
      <c r="F3533">
        <v>6</v>
      </c>
      <c r="G3533" t="s">
        <v>20</v>
      </c>
      <c r="H3533" s="1">
        <v>45441</v>
      </c>
      <c r="I3533" s="1">
        <v>45447</v>
      </c>
      <c r="J3533" t="str">
        <f t="shared" si="55"/>
        <v>May-2024</v>
      </c>
    </row>
    <row r="3534" spans="1:10">
      <c r="A3534">
        <v>3533</v>
      </c>
      <c r="B3534">
        <v>12199</v>
      </c>
      <c r="C3534" t="s">
        <v>18</v>
      </c>
      <c r="D3534">
        <v>173756.1</v>
      </c>
      <c r="E3534" t="s">
        <v>16</v>
      </c>
      <c r="F3534">
        <v>43</v>
      </c>
      <c r="G3534" t="s">
        <v>20</v>
      </c>
      <c r="H3534" s="1">
        <v>45433</v>
      </c>
      <c r="I3534" s="1">
        <v>45476</v>
      </c>
      <c r="J3534" t="str">
        <f t="shared" si="55"/>
        <v>May-2024</v>
      </c>
    </row>
    <row r="3535" spans="1:10">
      <c r="A3535">
        <v>3534</v>
      </c>
      <c r="B3535">
        <v>13901</v>
      </c>
      <c r="C3535" t="s">
        <v>23</v>
      </c>
      <c r="D3535">
        <v>86474.67</v>
      </c>
      <c r="E3535" t="s">
        <v>19</v>
      </c>
      <c r="F3535">
        <v>14</v>
      </c>
      <c r="G3535" t="s">
        <v>25</v>
      </c>
      <c r="H3535" s="1">
        <v>45407</v>
      </c>
      <c r="I3535" s="1">
        <v>45421</v>
      </c>
      <c r="J3535" t="str">
        <f t="shared" si="55"/>
        <v>Apr-2024</v>
      </c>
    </row>
    <row r="3536" spans="1:10">
      <c r="A3536">
        <v>3535</v>
      </c>
      <c r="B3536">
        <v>17758</v>
      </c>
      <c r="C3536" t="s">
        <v>18</v>
      </c>
      <c r="D3536">
        <v>151310.93</v>
      </c>
      <c r="E3536" t="s">
        <v>19</v>
      </c>
      <c r="F3536">
        <v>42</v>
      </c>
      <c r="G3536" t="s">
        <v>20</v>
      </c>
      <c r="H3536" s="1">
        <v>45603</v>
      </c>
      <c r="I3536" s="1">
        <v>45645</v>
      </c>
      <c r="J3536" t="str">
        <f t="shared" si="55"/>
        <v>Nov-2024</v>
      </c>
    </row>
    <row r="3537" spans="1:10">
      <c r="A3537">
        <v>3536</v>
      </c>
      <c r="B3537">
        <v>16070</v>
      </c>
      <c r="C3537" t="s">
        <v>23</v>
      </c>
      <c r="D3537">
        <v>111866.45</v>
      </c>
      <c r="E3537" t="s">
        <v>24</v>
      </c>
      <c r="G3537" t="s">
        <v>17</v>
      </c>
      <c r="H3537" s="1">
        <v>45356</v>
      </c>
      <c r="J3537" t="str">
        <f t="shared" si="55"/>
        <v>Mar-2024</v>
      </c>
    </row>
    <row r="3538" spans="1:10">
      <c r="A3538">
        <v>3537</v>
      </c>
      <c r="B3538">
        <v>12270</v>
      </c>
      <c r="C3538" t="s">
        <v>18</v>
      </c>
      <c r="D3538">
        <v>79464.990000000005</v>
      </c>
      <c r="E3538" t="s">
        <v>16</v>
      </c>
      <c r="F3538">
        <v>38</v>
      </c>
      <c r="G3538" t="s">
        <v>21</v>
      </c>
      <c r="H3538" s="1">
        <v>45601</v>
      </c>
      <c r="I3538" s="1">
        <v>45639</v>
      </c>
      <c r="J3538" t="str">
        <f t="shared" si="55"/>
        <v>Nov-2024</v>
      </c>
    </row>
    <row r="3539" spans="1:10">
      <c r="A3539">
        <v>3538</v>
      </c>
      <c r="B3539">
        <v>15385</v>
      </c>
      <c r="C3539" t="s">
        <v>15</v>
      </c>
      <c r="D3539">
        <v>162925.9</v>
      </c>
      <c r="E3539" t="s">
        <v>16</v>
      </c>
      <c r="F3539">
        <v>33</v>
      </c>
      <c r="G3539" t="s">
        <v>21</v>
      </c>
      <c r="H3539" s="1">
        <v>45485</v>
      </c>
      <c r="I3539" s="1">
        <v>45518</v>
      </c>
      <c r="J3539" t="str">
        <f t="shared" si="55"/>
        <v>Jul-2024</v>
      </c>
    </row>
    <row r="3540" spans="1:10">
      <c r="A3540">
        <v>3539</v>
      </c>
      <c r="B3540">
        <v>10229</v>
      </c>
      <c r="C3540" t="s">
        <v>23</v>
      </c>
      <c r="D3540">
        <v>118971.64</v>
      </c>
      <c r="E3540" t="s">
        <v>24</v>
      </c>
      <c r="G3540" t="s">
        <v>20</v>
      </c>
      <c r="H3540" s="1">
        <v>45633</v>
      </c>
      <c r="J3540" t="str">
        <f t="shared" si="55"/>
        <v>Dec-2024</v>
      </c>
    </row>
    <row r="3541" spans="1:10">
      <c r="A3541">
        <v>3540</v>
      </c>
      <c r="B3541">
        <v>12486</v>
      </c>
      <c r="C3541" t="s">
        <v>15</v>
      </c>
      <c r="D3541">
        <v>81159.61</v>
      </c>
      <c r="E3541" t="s">
        <v>19</v>
      </c>
      <c r="F3541">
        <v>19</v>
      </c>
      <c r="G3541" t="s">
        <v>21</v>
      </c>
      <c r="H3541" s="1">
        <v>45452</v>
      </c>
      <c r="I3541" s="1">
        <v>45471</v>
      </c>
      <c r="J3541" t="str">
        <f t="shared" si="55"/>
        <v>Jun-2024</v>
      </c>
    </row>
    <row r="3542" spans="1:10">
      <c r="A3542">
        <v>3541</v>
      </c>
      <c r="B3542">
        <v>18341</v>
      </c>
      <c r="C3542" t="s">
        <v>18</v>
      </c>
      <c r="D3542">
        <v>26371.58</v>
      </c>
      <c r="E3542" t="s">
        <v>16</v>
      </c>
      <c r="F3542">
        <v>30</v>
      </c>
      <c r="G3542" t="s">
        <v>25</v>
      </c>
      <c r="H3542" s="1">
        <v>45597</v>
      </c>
      <c r="I3542" s="1">
        <v>45627</v>
      </c>
      <c r="J3542" t="str">
        <f t="shared" si="55"/>
        <v>Nov-2024</v>
      </c>
    </row>
    <row r="3543" spans="1:10">
      <c r="A3543">
        <v>3542</v>
      </c>
      <c r="B3543">
        <v>10909</v>
      </c>
      <c r="C3543" t="s">
        <v>23</v>
      </c>
      <c r="D3543">
        <v>179611.84</v>
      </c>
      <c r="E3543" t="s">
        <v>16</v>
      </c>
      <c r="F3543">
        <v>16</v>
      </c>
      <c r="G3543" t="s">
        <v>25</v>
      </c>
      <c r="H3543" s="1">
        <v>45652</v>
      </c>
      <c r="I3543" s="1">
        <v>45668</v>
      </c>
      <c r="J3543" t="str">
        <f t="shared" si="55"/>
        <v>Dec-2024</v>
      </c>
    </row>
    <row r="3544" spans="1:10">
      <c r="A3544">
        <v>3543</v>
      </c>
      <c r="B3544">
        <v>10977</v>
      </c>
      <c r="C3544" t="s">
        <v>23</v>
      </c>
      <c r="D3544">
        <v>11916.57</v>
      </c>
      <c r="E3544" t="s">
        <v>24</v>
      </c>
      <c r="G3544" t="s">
        <v>21</v>
      </c>
      <c r="H3544" s="1">
        <v>45569</v>
      </c>
      <c r="J3544" t="str">
        <f t="shared" si="55"/>
        <v>Oct-2024</v>
      </c>
    </row>
    <row r="3545" spans="1:10">
      <c r="A3545">
        <v>3544</v>
      </c>
      <c r="B3545">
        <v>10634</v>
      </c>
      <c r="C3545" t="s">
        <v>23</v>
      </c>
      <c r="D3545">
        <v>173321.53</v>
      </c>
      <c r="E3545" t="s">
        <v>19</v>
      </c>
      <c r="F3545">
        <v>37</v>
      </c>
      <c r="G3545" t="s">
        <v>25</v>
      </c>
      <c r="H3545" s="1">
        <v>45587</v>
      </c>
      <c r="I3545" s="1">
        <v>45624</v>
      </c>
      <c r="J3545" t="str">
        <f t="shared" si="55"/>
        <v>Oct-2024</v>
      </c>
    </row>
    <row r="3546" spans="1:10">
      <c r="A3546">
        <v>3545</v>
      </c>
      <c r="B3546">
        <v>15989</v>
      </c>
      <c r="C3546" t="s">
        <v>18</v>
      </c>
      <c r="D3546">
        <v>75192.5</v>
      </c>
      <c r="E3546" t="s">
        <v>16</v>
      </c>
      <c r="F3546">
        <v>6</v>
      </c>
      <c r="G3546" t="s">
        <v>21</v>
      </c>
      <c r="H3546" s="1">
        <v>45330</v>
      </c>
      <c r="I3546" s="1">
        <v>45336</v>
      </c>
      <c r="J3546" t="str">
        <f t="shared" si="55"/>
        <v>Feb-2024</v>
      </c>
    </row>
    <row r="3547" spans="1:10">
      <c r="A3547">
        <v>3546</v>
      </c>
      <c r="B3547">
        <v>14717</v>
      </c>
      <c r="C3547" t="s">
        <v>18</v>
      </c>
      <c r="D3547">
        <v>129671.06</v>
      </c>
      <c r="E3547" t="s">
        <v>19</v>
      </c>
      <c r="F3547">
        <v>41</v>
      </c>
      <c r="G3547" t="s">
        <v>21</v>
      </c>
      <c r="H3547" s="1">
        <v>45652</v>
      </c>
      <c r="I3547" s="1">
        <v>45693</v>
      </c>
      <c r="J3547" t="str">
        <f t="shared" si="55"/>
        <v>Dec-2024</v>
      </c>
    </row>
    <row r="3548" spans="1:10">
      <c r="A3548">
        <v>3547</v>
      </c>
      <c r="B3548">
        <v>12190</v>
      </c>
      <c r="C3548" t="s">
        <v>23</v>
      </c>
      <c r="D3548">
        <v>184828.95</v>
      </c>
      <c r="E3548" t="s">
        <v>16</v>
      </c>
      <c r="F3548">
        <v>38</v>
      </c>
      <c r="G3548" t="s">
        <v>21</v>
      </c>
      <c r="H3548" s="1">
        <v>45460</v>
      </c>
      <c r="I3548" s="1">
        <v>45498</v>
      </c>
      <c r="J3548" t="str">
        <f t="shared" si="55"/>
        <v>Jun-2024</v>
      </c>
    </row>
    <row r="3549" spans="1:10">
      <c r="A3549">
        <v>3548</v>
      </c>
      <c r="B3549">
        <v>15189</v>
      </c>
      <c r="C3549" t="s">
        <v>18</v>
      </c>
      <c r="D3549">
        <v>34582.79</v>
      </c>
      <c r="E3549" t="s">
        <v>16</v>
      </c>
      <c r="F3549">
        <v>34</v>
      </c>
      <c r="G3549" t="s">
        <v>20</v>
      </c>
      <c r="H3549" s="1">
        <v>45359</v>
      </c>
      <c r="I3549" s="1">
        <v>45393</v>
      </c>
      <c r="J3549" t="str">
        <f t="shared" si="55"/>
        <v>Mar-2024</v>
      </c>
    </row>
    <row r="3550" spans="1:10">
      <c r="A3550">
        <v>3549</v>
      </c>
      <c r="B3550">
        <v>14939</v>
      </c>
      <c r="C3550" t="s">
        <v>15</v>
      </c>
      <c r="D3550">
        <v>115555.34</v>
      </c>
      <c r="E3550" t="s">
        <v>16</v>
      </c>
      <c r="F3550">
        <v>19</v>
      </c>
      <c r="G3550" t="s">
        <v>21</v>
      </c>
      <c r="H3550" s="1">
        <v>45298</v>
      </c>
      <c r="I3550" s="1">
        <v>45317</v>
      </c>
      <c r="J3550" t="str">
        <f t="shared" si="55"/>
        <v>Jan-2024</v>
      </c>
    </row>
    <row r="3551" spans="1:10">
      <c r="A3551">
        <v>3550</v>
      </c>
      <c r="B3551">
        <v>17081</v>
      </c>
      <c r="C3551" t="s">
        <v>22</v>
      </c>
      <c r="D3551">
        <v>154064.41</v>
      </c>
      <c r="E3551" t="s">
        <v>16</v>
      </c>
      <c r="F3551">
        <v>20</v>
      </c>
      <c r="G3551" t="s">
        <v>20</v>
      </c>
      <c r="H3551" s="1">
        <v>45376</v>
      </c>
      <c r="I3551" s="1">
        <v>45396</v>
      </c>
      <c r="J3551" t="str">
        <f t="shared" si="55"/>
        <v>Mar-2024</v>
      </c>
    </row>
    <row r="3552" spans="1:10">
      <c r="A3552">
        <v>3551</v>
      </c>
      <c r="B3552">
        <v>13474</v>
      </c>
      <c r="C3552" t="s">
        <v>18</v>
      </c>
      <c r="D3552">
        <v>152728.85</v>
      </c>
      <c r="E3552" t="s">
        <v>16</v>
      </c>
      <c r="F3552">
        <v>33</v>
      </c>
      <c r="G3552" t="s">
        <v>21</v>
      </c>
      <c r="H3552" s="1">
        <v>45490</v>
      </c>
      <c r="I3552" s="1">
        <v>45523</v>
      </c>
      <c r="J3552" t="str">
        <f t="shared" si="55"/>
        <v>Jul-2024</v>
      </c>
    </row>
    <row r="3553" spans="1:10">
      <c r="A3553">
        <v>3552</v>
      </c>
      <c r="B3553">
        <v>16695</v>
      </c>
      <c r="C3553" t="s">
        <v>22</v>
      </c>
      <c r="D3553">
        <v>107498.22</v>
      </c>
      <c r="E3553" t="s">
        <v>16</v>
      </c>
      <c r="F3553">
        <v>43</v>
      </c>
      <c r="G3553" t="s">
        <v>21</v>
      </c>
      <c r="H3553" s="1">
        <v>45423</v>
      </c>
      <c r="I3553" s="1">
        <v>45466</v>
      </c>
      <c r="J3553" t="str">
        <f t="shared" si="55"/>
        <v>May-2024</v>
      </c>
    </row>
    <row r="3554" spans="1:10">
      <c r="A3554">
        <v>3553</v>
      </c>
      <c r="B3554">
        <v>17194</v>
      </c>
      <c r="C3554" t="s">
        <v>18</v>
      </c>
      <c r="D3554">
        <v>126824.19</v>
      </c>
      <c r="E3554" t="s">
        <v>16</v>
      </c>
      <c r="F3554">
        <v>23</v>
      </c>
      <c r="G3554" t="s">
        <v>21</v>
      </c>
      <c r="H3554" s="1">
        <v>45367</v>
      </c>
      <c r="I3554" s="1">
        <v>45390</v>
      </c>
      <c r="J3554" t="str">
        <f t="shared" si="55"/>
        <v>Mar-2024</v>
      </c>
    </row>
    <row r="3555" spans="1:10">
      <c r="A3555">
        <v>3554</v>
      </c>
      <c r="B3555">
        <v>11865</v>
      </c>
      <c r="C3555" t="s">
        <v>23</v>
      </c>
      <c r="D3555">
        <v>152717.76000000001</v>
      </c>
      <c r="E3555" t="s">
        <v>19</v>
      </c>
      <c r="F3555">
        <v>42</v>
      </c>
      <c r="G3555" t="s">
        <v>25</v>
      </c>
      <c r="H3555" s="1">
        <v>45541</v>
      </c>
      <c r="I3555" s="1">
        <v>45583</v>
      </c>
      <c r="J3555" t="str">
        <f t="shared" si="55"/>
        <v>Sep-2024</v>
      </c>
    </row>
    <row r="3556" spans="1:10">
      <c r="A3556">
        <v>3555</v>
      </c>
      <c r="B3556">
        <v>10298</v>
      </c>
      <c r="C3556" t="s">
        <v>15</v>
      </c>
      <c r="D3556">
        <v>169000.39</v>
      </c>
      <c r="E3556" t="s">
        <v>24</v>
      </c>
      <c r="G3556" t="s">
        <v>20</v>
      </c>
      <c r="H3556" s="1">
        <v>45638</v>
      </c>
      <c r="J3556" t="str">
        <f t="shared" si="55"/>
        <v>Dec-2024</v>
      </c>
    </row>
    <row r="3557" spans="1:10">
      <c r="A3557">
        <v>3556</v>
      </c>
      <c r="B3557">
        <v>12739</v>
      </c>
      <c r="C3557" t="s">
        <v>23</v>
      </c>
      <c r="D3557">
        <v>153553.54999999999</v>
      </c>
      <c r="E3557" t="s">
        <v>16</v>
      </c>
      <c r="F3557">
        <v>26</v>
      </c>
      <c r="G3557" t="s">
        <v>20</v>
      </c>
      <c r="H3557" s="1">
        <v>45500</v>
      </c>
      <c r="I3557" s="1">
        <v>45526</v>
      </c>
      <c r="J3557" t="str">
        <f t="shared" si="55"/>
        <v>Jul-2024</v>
      </c>
    </row>
    <row r="3558" spans="1:10">
      <c r="A3558">
        <v>3557</v>
      </c>
      <c r="B3558">
        <v>16701</v>
      </c>
      <c r="C3558" t="s">
        <v>23</v>
      </c>
      <c r="D3558">
        <v>74030.960000000006</v>
      </c>
      <c r="E3558" t="s">
        <v>16</v>
      </c>
      <c r="F3558">
        <v>21</v>
      </c>
      <c r="G3558" t="s">
        <v>21</v>
      </c>
      <c r="H3558" s="1">
        <v>45375</v>
      </c>
      <c r="I3558" s="1">
        <v>45396</v>
      </c>
      <c r="J3558" t="str">
        <f t="shared" si="55"/>
        <v>Mar-2024</v>
      </c>
    </row>
    <row r="3559" spans="1:10">
      <c r="A3559">
        <v>3558</v>
      </c>
      <c r="B3559">
        <v>13725</v>
      </c>
      <c r="C3559" t="s">
        <v>23</v>
      </c>
      <c r="D3559">
        <v>199361.65</v>
      </c>
      <c r="E3559" t="s">
        <v>24</v>
      </c>
      <c r="G3559" t="s">
        <v>21</v>
      </c>
      <c r="H3559" s="1">
        <v>45514</v>
      </c>
      <c r="J3559" t="str">
        <f t="shared" si="55"/>
        <v>Aug-2024</v>
      </c>
    </row>
    <row r="3560" spans="1:10">
      <c r="A3560">
        <v>3559</v>
      </c>
      <c r="B3560">
        <v>14540</v>
      </c>
      <c r="C3560" t="s">
        <v>15</v>
      </c>
      <c r="D3560">
        <v>89728.03</v>
      </c>
      <c r="E3560" t="s">
        <v>16</v>
      </c>
      <c r="F3560">
        <v>7</v>
      </c>
      <c r="G3560" t="s">
        <v>25</v>
      </c>
      <c r="H3560" s="1">
        <v>45544</v>
      </c>
      <c r="I3560" s="1">
        <v>45551</v>
      </c>
      <c r="J3560" t="str">
        <f t="shared" si="55"/>
        <v>Sep-2024</v>
      </c>
    </row>
    <row r="3561" spans="1:10">
      <c r="A3561">
        <v>3560</v>
      </c>
      <c r="B3561">
        <v>18289</v>
      </c>
      <c r="C3561" t="s">
        <v>15</v>
      </c>
      <c r="D3561">
        <v>9770.6200000000008</v>
      </c>
      <c r="E3561" t="s">
        <v>19</v>
      </c>
      <c r="F3561">
        <v>7</v>
      </c>
      <c r="G3561" t="s">
        <v>25</v>
      </c>
      <c r="H3561" s="1">
        <v>45322</v>
      </c>
      <c r="I3561" s="1">
        <v>45329</v>
      </c>
      <c r="J3561" t="str">
        <f t="shared" si="55"/>
        <v>Jan-2024</v>
      </c>
    </row>
    <row r="3562" spans="1:10">
      <c r="A3562">
        <v>3561</v>
      </c>
      <c r="B3562">
        <v>14814</v>
      </c>
      <c r="C3562" t="s">
        <v>23</v>
      </c>
      <c r="D3562">
        <v>75710.31</v>
      </c>
      <c r="E3562" t="s">
        <v>19</v>
      </c>
      <c r="F3562">
        <v>38</v>
      </c>
      <c r="G3562" t="s">
        <v>25</v>
      </c>
      <c r="H3562" s="1">
        <v>45646</v>
      </c>
      <c r="I3562" s="1">
        <v>45684</v>
      </c>
      <c r="J3562" t="str">
        <f t="shared" si="55"/>
        <v>Dec-2024</v>
      </c>
    </row>
    <row r="3563" spans="1:10">
      <c r="A3563">
        <v>3562</v>
      </c>
      <c r="B3563">
        <v>16134</v>
      </c>
      <c r="C3563" t="s">
        <v>23</v>
      </c>
      <c r="D3563">
        <v>29917.68</v>
      </c>
      <c r="E3563" t="s">
        <v>16</v>
      </c>
      <c r="F3563">
        <v>4</v>
      </c>
      <c r="G3563" t="s">
        <v>20</v>
      </c>
      <c r="H3563" s="1">
        <v>45492</v>
      </c>
      <c r="I3563" s="1">
        <v>45496</v>
      </c>
      <c r="J3563" t="str">
        <f t="shared" si="55"/>
        <v>Jul-2024</v>
      </c>
    </row>
    <row r="3564" spans="1:10">
      <c r="A3564">
        <v>3563</v>
      </c>
      <c r="B3564">
        <v>13522</v>
      </c>
      <c r="C3564" t="s">
        <v>23</v>
      </c>
      <c r="D3564">
        <v>28681.31</v>
      </c>
      <c r="E3564" t="s">
        <v>19</v>
      </c>
      <c r="F3564">
        <v>38</v>
      </c>
      <c r="G3564" t="s">
        <v>20</v>
      </c>
      <c r="H3564" s="1">
        <v>45343</v>
      </c>
      <c r="I3564" s="1">
        <v>45381</v>
      </c>
      <c r="J3564" t="str">
        <f t="shared" si="55"/>
        <v>Feb-2024</v>
      </c>
    </row>
    <row r="3565" spans="1:10">
      <c r="A3565">
        <v>3564</v>
      </c>
      <c r="B3565">
        <v>14418</v>
      </c>
      <c r="C3565" t="s">
        <v>18</v>
      </c>
      <c r="D3565">
        <v>59899.33</v>
      </c>
      <c r="E3565" t="s">
        <v>19</v>
      </c>
      <c r="F3565">
        <v>32</v>
      </c>
      <c r="G3565" t="s">
        <v>20</v>
      </c>
      <c r="H3565" s="1">
        <v>45363</v>
      </c>
      <c r="I3565" s="1">
        <v>45395</v>
      </c>
      <c r="J3565" t="str">
        <f t="shared" si="55"/>
        <v>Mar-2024</v>
      </c>
    </row>
    <row r="3566" spans="1:10">
      <c r="A3566">
        <v>3565</v>
      </c>
      <c r="B3566">
        <v>16818</v>
      </c>
      <c r="C3566" t="s">
        <v>23</v>
      </c>
      <c r="D3566">
        <v>15408.22</v>
      </c>
      <c r="E3566" t="s">
        <v>16</v>
      </c>
      <c r="F3566">
        <v>36</v>
      </c>
      <c r="G3566" t="s">
        <v>21</v>
      </c>
      <c r="H3566" s="1">
        <v>45312</v>
      </c>
      <c r="I3566" s="1">
        <v>45348</v>
      </c>
      <c r="J3566" t="str">
        <f t="shared" si="55"/>
        <v>Jan-2024</v>
      </c>
    </row>
    <row r="3567" spans="1:10">
      <c r="A3567">
        <v>3566</v>
      </c>
      <c r="B3567">
        <v>18124</v>
      </c>
      <c r="C3567" t="s">
        <v>18</v>
      </c>
      <c r="D3567">
        <v>139259.88</v>
      </c>
      <c r="E3567" t="s">
        <v>16</v>
      </c>
      <c r="F3567">
        <v>16</v>
      </c>
      <c r="G3567" t="s">
        <v>20</v>
      </c>
      <c r="H3567" s="1">
        <v>45307</v>
      </c>
      <c r="I3567" s="1">
        <v>45323</v>
      </c>
      <c r="J3567" t="str">
        <f t="shared" si="55"/>
        <v>Jan-2024</v>
      </c>
    </row>
    <row r="3568" spans="1:10">
      <c r="A3568">
        <v>3567</v>
      </c>
      <c r="B3568">
        <v>18162</v>
      </c>
      <c r="C3568" t="s">
        <v>23</v>
      </c>
      <c r="D3568">
        <v>19427.830000000002</v>
      </c>
      <c r="E3568" t="s">
        <v>16</v>
      </c>
      <c r="F3568">
        <v>18</v>
      </c>
      <c r="G3568" t="s">
        <v>17</v>
      </c>
      <c r="H3568" s="1">
        <v>45307</v>
      </c>
      <c r="I3568" s="1">
        <v>45325</v>
      </c>
      <c r="J3568" t="str">
        <f t="shared" si="55"/>
        <v>Jan-2024</v>
      </c>
    </row>
    <row r="3569" spans="1:10">
      <c r="A3569">
        <v>3568</v>
      </c>
      <c r="B3569">
        <v>15489</v>
      </c>
      <c r="C3569" t="s">
        <v>23</v>
      </c>
      <c r="D3569">
        <v>44641.46</v>
      </c>
      <c r="E3569" t="s">
        <v>16</v>
      </c>
      <c r="F3569">
        <v>16</v>
      </c>
      <c r="G3569" t="s">
        <v>17</v>
      </c>
      <c r="H3569" s="1">
        <v>45466</v>
      </c>
      <c r="I3569" s="1">
        <v>45482</v>
      </c>
      <c r="J3569" t="str">
        <f t="shared" si="55"/>
        <v>Jun-2024</v>
      </c>
    </row>
    <row r="3570" spans="1:10">
      <c r="A3570">
        <v>3569</v>
      </c>
      <c r="B3570">
        <v>16085</v>
      </c>
      <c r="C3570" t="s">
        <v>23</v>
      </c>
      <c r="D3570">
        <v>23115.439999999999</v>
      </c>
      <c r="E3570" t="s">
        <v>16</v>
      </c>
      <c r="F3570">
        <v>6</v>
      </c>
      <c r="G3570" t="s">
        <v>25</v>
      </c>
      <c r="H3570" s="1">
        <v>45603</v>
      </c>
      <c r="I3570" s="1">
        <v>45609</v>
      </c>
      <c r="J3570" t="str">
        <f t="shared" si="55"/>
        <v>Nov-2024</v>
      </c>
    </row>
    <row r="3571" spans="1:10">
      <c r="A3571">
        <v>3570</v>
      </c>
      <c r="B3571">
        <v>19037</v>
      </c>
      <c r="C3571" t="s">
        <v>23</v>
      </c>
      <c r="D3571">
        <v>17317.71</v>
      </c>
      <c r="E3571" t="s">
        <v>16</v>
      </c>
      <c r="F3571">
        <v>23</v>
      </c>
      <c r="G3571" t="s">
        <v>20</v>
      </c>
      <c r="H3571" s="1">
        <v>45629</v>
      </c>
      <c r="I3571" s="1">
        <v>45652</v>
      </c>
      <c r="J3571" t="str">
        <f t="shared" si="55"/>
        <v>Dec-2024</v>
      </c>
    </row>
    <row r="3572" spans="1:10">
      <c r="A3572">
        <v>3571</v>
      </c>
      <c r="B3572">
        <v>14185</v>
      </c>
      <c r="C3572" t="s">
        <v>22</v>
      </c>
      <c r="D3572">
        <v>57211.57</v>
      </c>
      <c r="E3572" t="s">
        <v>16</v>
      </c>
      <c r="F3572">
        <v>12</v>
      </c>
      <c r="G3572" t="s">
        <v>17</v>
      </c>
      <c r="H3572" s="1">
        <v>45369</v>
      </c>
      <c r="I3572" s="1">
        <v>45381</v>
      </c>
      <c r="J3572" t="str">
        <f t="shared" si="55"/>
        <v>Mar-2024</v>
      </c>
    </row>
    <row r="3573" spans="1:10">
      <c r="A3573">
        <v>3572</v>
      </c>
      <c r="B3573">
        <v>14226</v>
      </c>
      <c r="C3573" t="s">
        <v>23</v>
      </c>
      <c r="D3573">
        <v>116520.3</v>
      </c>
      <c r="E3573" t="s">
        <v>24</v>
      </c>
      <c r="G3573" t="s">
        <v>25</v>
      </c>
      <c r="H3573" s="1">
        <v>45531</v>
      </c>
      <c r="J3573" t="str">
        <f t="shared" si="55"/>
        <v>Aug-2024</v>
      </c>
    </row>
    <row r="3574" spans="1:10">
      <c r="A3574">
        <v>3573</v>
      </c>
      <c r="B3574">
        <v>18096</v>
      </c>
      <c r="C3574" t="s">
        <v>23</v>
      </c>
      <c r="D3574">
        <v>193113.68</v>
      </c>
      <c r="E3574" t="s">
        <v>16</v>
      </c>
      <c r="F3574">
        <v>15</v>
      </c>
      <c r="G3574" t="s">
        <v>20</v>
      </c>
      <c r="H3574" s="1">
        <v>45328</v>
      </c>
      <c r="I3574" s="1">
        <v>45343</v>
      </c>
      <c r="J3574" t="str">
        <f t="shared" si="55"/>
        <v>Feb-2024</v>
      </c>
    </row>
    <row r="3575" spans="1:10">
      <c r="A3575">
        <v>3574</v>
      </c>
      <c r="B3575">
        <v>13881</v>
      </c>
      <c r="C3575" t="s">
        <v>23</v>
      </c>
      <c r="D3575">
        <v>175733.55</v>
      </c>
      <c r="E3575" t="s">
        <v>16</v>
      </c>
      <c r="F3575">
        <v>40</v>
      </c>
      <c r="G3575" t="s">
        <v>21</v>
      </c>
      <c r="H3575" s="1">
        <v>45523</v>
      </c>
      <c r="I3575" s="1">
        <v>45563</v>
      </c>
      <c r="J3575" t="str">
        <f t="shared" si="55"/>
        <v>Aug-2024</v>
      </c>
    </row>
    <row r="3576" spans="1:10">
      <c r="A3576">
        <v>3575</v>
      </c>
      <c r="B3576">
        <v>17692</v>
      </c>
      <c r="C3576" t="s">
        <v>23</v>
      </c>
      <c r="D3576">
        <v>175807.12</v>
      </c>
      <c r="E3576" t="s">
        <v>16</v>
      </c>
      <c r="F3576">
        <v>4</v>
      </c>
      <c r="G3576" t="s">
        <v>17</v>
      </c>
      <c r="H3576" s="1">
        <v>45504</v>
      </c>
      <c r="I3576" s="1">
        <v>45508</v>
      </c>
      <c r="J3576" t="str">
        <f t="shared" si="55"/>
        <v>Jul-2024</v>
      </c>
    </row>
    <row r="3577" spans="1:10">
      <c r="A3577">
        <v>3576</v>
      </c>
      <c r="B3577">
        <v>19244</v>
      </c>
      <c r="C3577" t="s">
        <v>23</v>
      </c>
      <c r="D3577">
        <v>39333.07</v>
      </c>
      <c r="E3577" t="s">
        <v>16</v>
      </c>
      <c r="F3577">
        <v>43</v>
      </c>
      <c r="G3577" t="s">
        <v>21</v>
      </c>
      <c r="H3577" s="1">
        <v>45484</v>
      </c>
      <c r="I3577" s="1">
        <v>45527</v>
      </c>
      <c r="J3577" t="str">
        <f t="shared" si="55"/>
        <v>Jul-2024</v>
      </c>
    </row>
    <row r="3578" spans="1:10">
      <c r="A3578">
        <v>3577</v>
      </c>
      <c r="B3578">
        <v>13615</v>
      </c>
      <c r="C3578" t="s">
        <v>23</v>
      </c>
      <c r="D3578">
        <v>56656.9</v>
      </c>
      <c r="E3578" t="s">
        <v>16</v>
      </c>
      <c r="F3578">
        <v>12</v>
      </c>
      <c r="G3578" t="s">
        <v>20</v>
      </c>
      <c r="H3578" s="1">
        <v>45351</v>
      </c>
      <c r="I3578" s="1">
        <v>45363</v>
      </c>
      <c r="J3578" t="str">
        <f t="shared" si="55"/>
        <v>Feb-2024</v>
      </c>
    </row>
    <row r="3579" spans="1:10">
      <c r="A3579">
        <v>3578</v>
      </c>
      <c r="B3579">
        <v>16805</v>
      </c>
      <c r="C3579" t="s">
        <v>18</v>
      </c>
      <c r="D3579">
        <v>19896.7</v>
      </c>
      <c r="E3579" t="s">
        <v>16</v>
      </c>
      <c r="F3579">
        <v>31</v>
      </c>
      <c r="G3579" t="s">
        <v>17</v>
      </c>
      <c r="H3579" s="1">
        <v>45480</v>
      </c>
      <c r="I3579" s="1">
        <v>45511</v>
      </c>
      <c r="J3579" t="str">
        <f t="shared" si="55"/>
        <v>Jul-2024</v>
      </c>
    </row>
    <row r="3580" spans="1:10">
      <c r="A3580">
        <v>3579</v>
      </c>
      <c r="B3580">
        <v>13157</v>
      </c>
      <c r="C3580" t="s">
        <v>18</v>
      </c>
      <c r="D3580">
        <v>156801.32999999999</v>
      </c>
      <c r="E3580" t="s">
        <v>16</v>
      </c>
      <c r="F3580">
        <v>39</v>
      </c>
      <c r="G3580" t="s">
        <v>20</v>
      </c>
      <c r="H3580" s="1">
        <v>45558</v>
      </c>
      <c r="I3580" s="1">
        <v>45597</v>
      </c>
      <c r="J3580" t="str">
        <f t="shared" si="55"/>
        <v>Sep-2024</v>
      </c>
    </row>
    <row r="3581" spans="1:10">
      <c r="A3581">
        <v>3580</v>
      </c>
      <c r="B3581">
        <v>12105</v>
      </c>
      <c r="C3581" t="s">
        <v>23</v>
      </c>
      <c r="D3581">
        <v>18614.18</v>
      </c>
      <c r="E3581" t="s">
        <v>19</v>
      </c>
      <c r="F3581">
        <v>6</v>
      </c>
      <c r="G3581" t="s">
        <v>21</v>
      </c>
      <c r="H3581" s="1">
        <v>45417</v>
      </c>
      <c r="I3581" s="1">
        <v>45423</v>
      </c>
      <c r="J3581" t="str">
        <f t="shared" si="55"/>
        <v>May-2024</v>
      </c>
    </row>
    <row r="3582" spans="1:10">
      <c r="A3582">
        <v>3581</v>
      </c>
      <c r="B3582">
        <v>15176</v>
      </c>
      <c r="C3582" t="s">
        <v>23</v>
      </c>
      <c r="D3582">
        <v>113555.66</v>
      </c>
      <c r="E3582" t="s">
        <v>24</v>
      </c>
      <c r="G3582" t="s">
        <v>17</v>
      </c>
      <c r="H3582" s="1">
        <v>45494</v>
      </c>
      <c r="J3582" t="str">
        <f t="shared" si="55"/>
        <v>Jul-2024</v>
      </c>
    </row>
    <row r="3583" spans="1:10">
      <c r="A3583">
        <v>3582</v>
      </c>
      <c r="B3583">
        <v>10993</v>
      </c>
      <c r="C3583" t="s">
        <v>22</v>
      </c>
      <c r="D3583">
        <v>53335.74</v>
      </c>
      <c r="E3583" t="s">
        <v>16</v>
      </c>
      <c r="F3583">
        <v>14</v>
      </c>
      <c r="G3583" t="s">
        <v>21</v>
      </c>
      <c r="H3583" s="1">
        <v>45613</v>
      </c>
      <c r="I3583" s="1">
        <v>45627</v>
      </c>
      <c r="J3583" t="str">
        <f t="shared" si="55"/>
        <v>Nov-2024</v>
      </c>
    </row>
    <row r="3584" spans="1:10">
      <c r="A3584">
        <v>3583</v>
      </c>
      <c r="B3584">
        <v>13096</v>
      </c>
      <c r="C3584" t="s">
        <v>23</v>
      </c>
      <c r="D3584">
        <v>52471.9</v>
      </c>
      <c r="E3584" t="s">
        <v>16</v>
      </c>
      <c r="F3584">
        <v>22</v>
      </c>
      <c r="G3584" t="s">
        <v>20</v>
      </c>
      <c r="H3584" s="1">
        <v>45323</v>
      </c>
      <c r="I3584" s="1">
        <v>45345</v>
      </c>
      <c r="J3584" t="str">
        <f t="shared" si="55"/>
        <v>Feb-2024</v>
      </c>
    </row>
    <row r="3585" spans="1:10">
      <c r="A3585">
        <v>3584</v>
      </c>
      <c r="B3585">
        <v>10189</v>
      </c>
      <c r="C3585" t="s">
        <v>23</v>
      </c>
      <c r="D3585">
        <v>198191.39</v>
      </c>
      <c r="E3585" t="s">
        <v>16</v>
      </c>
      <c r="F3585">
        <v>38</v>
      </c>
      <c r="G3585" t="s">
        <v>20</v>
      </c>
      <c r="H3585" s="1">
        <v>45603</v>
      </c>
      <c r="I3585" s="1">
        <v>45641</v>
      </c>
      <c r="J3585" t="str">
        <f t="shared" si="55"/>
        <v>Nov-2024</v>
      </c>
    </row>
    <row r="3586" spans="1:10">
      <c r="A3586">
        <v>3585</v>
      </c>
      <c r="B3586">
        <v>12898</v>
      </c>
      <c r="C3586" t="s">
        <v>23</v>
      </c>
      <c r="D3586">
        <v>152572.06</v>
      </c>
      <c r="E3586" t="s">
        <v>19</v>
      </c>
      <c r="F3586">
        <v>26</v>
      </c>
      <c r="G3586" t="s">
        <v>21</v>
      </c>
      <c r="H3586" s="1">
        <v>45552</v>
      </c>
      <c r="I3586" s="1">
        <v>45578</v>
      </c>
      <c r="J3586" t="str">
        <f t="shared" si="55"/>
        <v>Sep-2024</v>
      </c>
    </row>
    <row r="3587" spans="1:10">
      <c r="A3587">
        <v>3586</v>
      </c>
      <c r="B3587">
        <v>15856</v>
      </c>
      <c r="C3587" t="s">
        <v>23</v>
      </c>
      <c r="D3587">
        <v>168203.17</v>
      </c>
      <c r="E3587" t="s">
        <v>16</v>
      </c>
      <c r="F3587">
        <v>22</v>
      </c>
      <c r="G3587" t="s">
        <v>17</v>
      </c>
      <c r="H3587" s="1">
        <v>45637</v>
      </c>
      <c r="I3587" s="1">
        <v>45659</v>
      </c>
      <c r="J3587" t="str">
        <f t="shared" ref="J3587:J3650" si="56">TEXT(H3587,"mmm-yyyy")</f>
        <v>Dec-2024</v>
      </c>
    </row>
    <row r="3588" spans="1:10">
      <c r="A3588">
        <v>3587</v>
      </c>
      <c r="B3588">
        <v>14249</v>
      </c>
      <c r="C3588" t="s">
        <v>18</v>
      </c>
      <c r="D3588">
        <v>116536.62</v>
      </c>
      <c r="E3588" t="s">
        <v>24</v>
      </c>
      <c r="G3588" t="s">
        <v>21</v>
      </c>
      <c r="H3588" s="1">
        <v>45385</v>
      </c>
      <c r="J3588" t="str">
        <f t="shared" si="56"/>
        <v>Apr-2024</v>
      </c>
    </row>
    <row r="3589" spans="1:10">
      <c r="A3589">
        <v>3588</v>
      </c>
      <c r="B3589">
        <v>15388</v>
      </c>
      <c r="C3589" t="s">
        <v>23</v>
      </c>
      <c r="D3589">
        <v>174847.79</v>
      </c>
      <c r="E3589" t="s">
        <v>16</v>
      </c>
      <c r="F3589">
        <v>42</v>
      </c>
      <c r="G3589" t="s">
        <v>20</v>
      </c>
      <c r="H3589" s="1">
        <v>45619</v>
      </c>
      <c r="I3589" s="1">
        <v>45661</v>
      </c>
      <c r="J3589" t="str">
        <f t="shared" si="56"/>
        <v>Nov-2024</v>
      </c>
    </row>
    <row r="3590" spans="1:10">
      <c r="A3590">
        <v>3589</v>
      </c>
      <c r="B3590">
        <v>17046</v>
      </c>
      <c r="C3590" t="s">
        <v>18</v>
      </c>
      <c r="D3590">
        <v>130870.66</v>
      </c>
      <c r="E3590" t="s">
        <v>16</v>
      </c>
      <c r="F3590">
        <v>5</v>
      </c>
      <c r="G3590" t="s">
        <v>21</v>
      </c>
      <c r="H3590" s="1">
        <v>45391</v>
      </c>
      <c r="I3590" s="1">
        <v>45396</v>
      </c>
      <c r="J3590" t="str">
        <f t="shared" si="56"/>
        <v>Apr-2024</v>
      </c>
    </row>
    <row r="3591" spans="1:10">
      <c r="A3591">
        <v>3590</v>
      </c>
      <c r="B3591">
        <v>13411</v>
      </c>
      <c r="C3591" t="s">
        <v>23</v>
      </c>
      <c r="D3591">
        <v>189503.87</v>
      </c>
      <c r="E3591" t="s">
        <v>16</v>
      </c>
      <c r="F3591">
        <v>30</v>
      </c>
      <c r="G3591" t="s">
        <v>20</v>
      </c>
      <c r="H3591" s="1">
        <v>45576</v>
      </c>
      <c r="I3591" s="1">
        <v>45606</v>
      </c>
      <c r="J3591" t="str">
        <f t="shared" si="56"/>
        <v>Oct-2024</v>
      </c>
    </row>
    <row r="3592" spans="1:10">
      <c r="A3592">
        <v>3591</v>
      </c>
      <c r="B3592">
        <v>19238</v>
      </c>
      <c r="C3592" t="s">
        <v>23</v>
      </c>
      <c r="D3592">
        <v>59861.02</v>
      </c>
      <c r="E3592" t="s">
        <v>24</v>
      </c>
      <c r="G3592" t="s">
        <v>21</v>
      </c>
      <c r="H3592" s="1">
        <v>45606</v>
      </c>
      <c r="J3592" t="str">
        <f t="shared" si="56"/>
        <v>Nov-2024</v>
      </c>
    </row>
    <row r="3593" spans="1:10">
      <c r="A3593">
        <v>3592</v>
      </c>
      <c r="B3593">
        <v>10605</v>
      </c>
      <c r="C3593" t="s">
        <v>18</v>
      </c>
      <c r="D3593">
        <v>121087.31</v>
      </c>
      <c r="E3593" t="s">
        <v>19</v>
      </c>
      <c r="F3593">
        <v>24</v>
      </c>
      <c r="G3593" t="s">
        <v>17</v>
      </c>
      <c r="H3593" s="1">
        <v>45316</v>
      </c>
      <c r="I3593" s="1">
        <v>45340</v>
      </c>
      <c r="J3593" t="str">
        <f t="shared" si="56"/>
        <v>Jan-2024</v>
      </c>
    </row>
    <row r="3594" spans="1:10">
      <c r="A3594">
        <v>3593</v>
      </c>
      <c r="B3594">
        <v>11366</v>
      </c>
      <c r="C3594" t="s">
        <v>23</v>
      </c>
      <c r="D3594">
        <v>139575.60999999999</v>
      </c>
      <c r="E3594" t="s">
        <v>16</v>
      </c>
      <c r="F3594">
        <v>8</v>
      </c>
      <c r="G3594" t="s">
        <v>17</v>
      </c>
      <c r="H3594" s="1">
        <v>45644</v>
      </c>
      <c r="I3594" s="1">
        <v>45652</v>
      </c>
      <c r="J3594" t="str">
        <f t="shared" si="56"/>
        <v>Dec-2024</v>
      </c>
    </row>
    <row r="3595" spans="1:10">
      <c r="A3595">
        <v>3594</v>
      </c>
      <c r="B3595">
        <v>16482</v>
      </c>
      <c r="C3595" t="s">
        <v>18</v>
      </c>
      <c r="D3595">
        <v>81622.77</v>
      </c>
      <c r="E3595" t="s">
        <v>16</v>
      </c>
      <c r="F3595">
        <v>10</v>
      </c>
      <c r="G3595" t="s">
        <v>21</v>
      </c>
      <c r="H3595" s="1">
        <v>45648</v>
      </c>
      <c r="I3595" s="1">
        <v>45658</v>
      </c>
      <c r="J3595" t="str">
        <f t="shared" si="56"/>
        <v>Dec-2024</v>
      </c>
    </row>
    <row r="3596" spans="1:10">
      <c r="A3596">
        <v>3595</v>
      </c>
      <c r="B3596">
        <v>19256</v>
      </c>
      <c r="C3596" t="s">
        <v>23</v>
      </c>
      <c r="D3596">
        <v>176543.06</v>
      </c>
      <c r="E3596" t="s">
        <v>16</v>
      </c>
      <c r="F3596">
        <v>24</v>
      </c>
      <c r="G3596" t="s">
        <v>21</v>
      </c>
      <c r="H3596" s="1">
        <v>45408</v>
      </c>
      <c r="I3596" s="1">
        <v>45432</v>
      </c>
      <c r="J3596" t="str">
        <f t="shared" si="56"/>
        <v>Apr-2024</v>
      </c>
    </row>
    <row r="3597" spans="1:10">
      <c r="A3597">
        <v>3596</v>
      </c>
      <c r="B3597">
        <v>15795</v>
      </c>
      <c r="C3597" t="s">
        <v>18</v>
      </c>
      <c r="D3597">
        <v>196061.62</v>
      </c>
      <c r="E3597" t="s">
        <v>16</v>
      </c>
      <c r="F3597">
        <v>4</v>
      </c>
      <c r="G3597" t="s">
        <v>17</v>
      </c>
      <c r="H3597" s="1">
        <v>45490</v>
      </c>
      <c r="I3597" s="1">
        <v>45494</v>
      </c>
      <c r="J3597" t="str">
        <f t="shared" si="56"/>
        <v>Jul-2024</v>
      </c>
    </row>
    <row r="3598" spans="1:10">
      <c r="A3598">
        <v>3597</v>
      </c>
      <c r="B3598">
        <v>10517</v>
      </c>
      <c r="C3598" t="s">
        <v>23</v>
      </c>
      <c r="D3598">
        <v>101285.05</v>
      </c>
      <c r="E3598" t="s">
        <v>19</v>
      </c>
      <c r="F3598">
        <v>10</v>
      </c>
      <c r="G3598" t="s">
        <v>20</v>
      </c>
      <c r="H3598" s="1">
        <v>45570</v>
      </c>
      <c r="I3598" s="1">
        <v>45580</v>
      </c>
      <c r="J3598" t="str">
        <f t="shared" si="56"/>
        <v>Oct-2024</v>
      </c>
    </row>
    <row r="3599" spans="1:10">
      <c r="A3599">
        <v>3598</v>
      </c>
      <c r="B3599">
        <v>15218</v>
      </c>
      <c r="C3599" t="s">
        <v>15</v>
      </c>
      <c r="D3599">
        <v>81174.929999999993</v>
      </c>
      <c r="E3599" t="s">
        <v>19</v>
      </c>
      <c r="F3599">
        <v>5</v>
      </c>
      <c r="G3599" t="s">
        <v>17</v>
      </c>
      <c r="H3599" s="1">
        <v>45361</v>
      </c>
      <c r="I3599" s="1">
        <v>45366</v>
      </c>
      <c r="J3599" t="str">
        <f t="shared" si="56"/>
        <v>Mar-2024</v>
      </c>
    </row>
    <row r="3600" spans="1:10">
      <c r="A3600">
        <v>3599</v>
      </c>
      <c r="B3600">
        <v>13807</v>
      </c>
      <c r="C3600" t="s">
        <v>23</v>
      </c>
      <c r="D3600">
        <v>97027.9</v>
      </c>
      <c r="E3600" t="s">
        <v>19</v>
      </c>
      <c r="F3600">
        <v>26</v>
      </c>
      <c r="G3600" t="s">
        <v>20</v>
      </c>
      <c r="H3600" s="1">
        <v>45626</v>
      </c>
      <c r="I3600" s="1">
        <v>45652</v>
      </c>
      <c r="J3600" t="str">
        <f t="shared" si="56"/>
        <v>Nov-2024</v>
      </c>
    </row>
    <row r="3601" spans="1:10">
      <c r="A3601">
        <v>3600</v>
      </c>
      <c r="B3601">
        <v>15435</v>
      </c>
      <c r="C3601" t="s">
        <v>15</v>
      </c>
      <c r="D3601">
        <v>171283.67</v>
      </c>
      <c r="E3601" t="s">
        <v>24</v>
      </c>
      <c r="G3601" t="s">
        <v>21</v>
      </c>
      <c r="H3601" s="1">
        <v>45370</v>
      </c>
      <c r="J3601" t="str">
        <f t="shared" si="56"/>
        <v>Mar-2024</v>
      </c>
    </row>
    <row r="3602" spans="1:10">
      <c r="A3602">
        <v>3601</v>
      </c>
      <c r="B3602">
        <v>12272</v>
      </c>
      <c r="C3602" t="s">
        <v>23</v>
      </c>
      <c r="D3602">
        <v>130866.34</v>
      </c>
      <c r="E3602" t="s">
        <v>16</v>
      </c>
      <c r="F3602">
        <v>19</v>
      </c>
      <c r="G3602" t="s">
        <v>21</v>
      </c>
      <c r="H3602" s="1">
        <v>45645</v>
      </c>
      <c r="I3602" s="1">
        <v>45664</v>
      </c>
      <c r="J3602" t="str">
        <f t="shared" si="56"/>
        <v>Dec-2024</v>
      </c>
    </row>
    <row r="3603" spans="1:10">
      <c r="A3603">
        <v>3602</v>
      </c>
      <c r="B3603">
        <v>12308</v>
      </c>
      <c r="C3603" t="s">
        <v>18</v>
      </c>
      <c r="D3603">
        <v>13730.61</v>
      </c>
      <c r="E3603" t="s">
        <v>19</v>
      </c>
      <c r="F3603">
        <v>8</v>
      </c>
      <c r="G3603" t="s">
        <v>20</v>
      </c>
      <c r="H3603" s="1">
        <v>45305</v>
      </c>
      <c r="I3603" s="1">
        <v>45313</v>
      </c>
      <c r="J3603" t="str">
        <f t="shared" si="56"/>
        <v>Jan-2024</v>
      </c>
    </row>
    <row r="3604" spans="1:10">
      <c r="A3604">
        <v>3603</v>
      </c>
      <c r="B3604">
        <v>19294</v>
      </c>
      <c r="C3604" t="s">
        <v>23</v>
      </c>
      <c r="D3604">
        <v>110723.13</v>
      </c>
      <c r="E3604" t="s">
        <v>19</v>
      </c>
      <c r="F3604">
        <v>36</v>
      </c>
      <c r="G3604" t="s">
        <v>21</v>
      </c>
      <c r="H3604" s="1">
        <v>45320</v>
      </c>
      <c r="I3604" s="1">
        <v>45356</v>
      </c>
      <c r="J3604" t="str">
        <f t="shared" si="56"/>
        <v>Jan-2024</v>
      </c>
    </row>
    <row r="3605" spans="1:10">
      <c r="A3605">
        <v>3604</v>
      </c>
      <c r="B3605">
        <v>14792</v>
      </c>
      <c r="C3605" t="s">
        <v>22</v>
      </c>
      <c r="D3605">
        <v>8373.52</v>
      </c>
      <c r="E3605" t="s">
        <v>16</v>
      </c>
      <c r="F3605">
        <v>32</v>
      </c>
      <c r="G3605" t="s">
        <v>20</v>
      </c>
      <c r="H3605" s="1">
        <v>45435</v>
      </c>
      <c r="I3605" s="1">
        <v>45467</v>
      </c>
      <c r="J3605" t="str">
        <f t="shared" si="56"/>
        <v>May-2024</v>
      </c>
    </row>
    <row r="3606" spans="1:10">
      <c r="A3606">
        <v>3605</v>
      </c>
      <c r="B3606">
        <v>10810</v>
      </c>
      <c r="C3606" t="s">
        <v>23</v>
      </c>
      <c r="D3606">
        <v>156814.39999999999</v>
      </c>
      <c r="E3606" t="s">
        <v>19</v>
      </c>
      <c r="F3606">
        <v>39</v>
      </c>
      <c r="G3606" t="s">
        <v>25</v>
      </c>
      <c r="H3606" s="1">
        <v>45634</v>
      </c>
      <c r="I3606" s="1">
        <v>45673</v>
      </c>
      <c r="J3606" t="str">
        <f t="shared" si="56"/>
        <v>Dec-2024</v>
      </c>
    </row>
    <row r="3607" spans="1:10">
      <c r="A3607">
        <v>3606</v>
      </c>
      <c r="B3607">
        <v>18268</v>
      </c>
      <c r="C3607" t="s">
        <v>23</v>
      </c>
      <c r="D3607">
        <v>69020.89</v>
      </c>
      <c r="E3607" t="s">
        <v>16</v>
      </c>
      <c r="F3607">
        <v>33</v>
      </c>
      <c r="G3607" t="s">
        <v>17</v>
      </c>
      <c r="H3607" s="1">
        <v>45301</v>
      </c>
      <c r="I3607" s="1">
        <v>45334</v>
      </c>
      <c r="J3607" t="str">
        <f t="shared" si="56"/>
        <v>Jan-2024</v>
      </c>
    </row>
    <row r="3608" spans="1:10">
      <c r="A3608">
        <v>3607</v>
      </c>
      <c r="B3608">
        <v>12309</v>
      </c>
      <c r="C3608" t="s">
        <v>23</v>
      </c>
      <c r="D3608">
        <v>97041.46</v>
      </c>
      <c r="E3608" t="s">
        <v>19</v>
      </c>
      <c r="F3608">
        <v>36</v>
      </c>
      <c r="G3608" t="s">
        <v>25</v>
      </c>
      <c r="H3608" s="1">
        <v>45338</v>
      </c>
      <c r="I3608" s="1">
        <v>45374</v>
      </c>
      <c r="J3608" t="str">
        <f t="shared" si="56"/>
        <v>Feb-2024</v>
      </c>
    </row>
    <row r="3609" spans="1:10">
      <c r="A3609">
        <v>3608</v>
      </c>
      <c r="B3609">
        <v>17908</v>
      </c>
      <c r="C3609" t="s">
        <v>23</v>
      </c>
      <c r="D3609">
        <v>160742.23000000001</v>
      </c>
      <c r="E3609" t="s">
        <v>16</v>
      </c>
      <c r="F3609">
        <v>29</v>
      </c>
      <c r="G3609" t="s">
        <v>20</v>
      </c>
      <c r="H3609" s="1">
        <v>45551</v>
      </c>
      <c r="I3609" s="1">
        <v>45580</v>
      </c>
      <c r="J3609" t="str">
        <f t="shared" si="56"/>
        <v>Sep-2024</v>
      </c>
    </row>
    <row r="3610" spans="1:10">
      <c r="A3610">
        <v>3609</v>
      </c>
      <c r="B3610">
        <v>19217</v>
      </c>
      <c r="C3610" t="s">
        <v>23</v>
      </c>
      <c r="D3610">
        <v>14057.52</v>
      </c>
      <c r="E3610" t="s">
        <v>16</v>
      </c>
      <c r="F3610">
        <v>6</v>
      </c>
      <c r="G3610" t="s">
        <v>17</v>
      </c>
      <c r="H3610" s="1">
        <v>45303</v>
      </c>
      <c r="I3610" s="1">
        <v>45309</v>
      </c>
      <c r="J3610" t="str">
        <f t="shared" si="56"/>
        <v>Jan-2024</v>
      </c>
    </row>
    <row r="3611" spans="1:10">
      <c r="A3611">
        <v>3610</v>
      </c>
      <c r="B3611">
        <v>14439</v>
      </c>
      <c r="C3611" t="s">
        <v>22</v>
      </c>
      <c r="D3611">
        <v>35915.599999999999</v>
      </c>
      <c r="E3611" t="s">
        <v>16</v>
      </c>
      <c r="F3611">
        <v>31</v>
      </c>
      <c r="G3611" t="s">
        <v>20</v>
      </c>
      <c r="H3611" s="1">
        <v>45589</v>
      </c>
      <c r="I3611" s="1">
        <v>45620</v>
      </c>
      <c r="J3611" t="str">
        <f t="shared" si="56"/>
        <v>Oct-2024</v>
      </c>
    </row>
    <row r="3612" spans="1:10">
      <c r="A3612">
        <v>3611</v>
      </c>
      <c r="B3612">
        <v>16389</v>
      </c>
      <c r="C3612" t="s">
        <v>22</v>
      </c>
      <c r="D3612">
        <v>82602.27</v>
      </c>
      <c r="E3612" t="s">
        <v>16</v>
      </c>
      <c r="F3612">
        <v>23</v>
      </c>
      <c r="G3612" t="s">
        <v>17</v>
      </c>
      <c r="H3612" s="1">
        <v>45517</v>
      </c>
      <c r="I3612" s="1">
        <v>45540</v>
      </c>
      <c r="J3612" t="str">
        <f t="shared" si="56"/>
        <v>Aug-2024</v>
      </c>
    </row>
    <row r="3613" spans="1:10">
      <c r="A3613">
        <v>3612</v>
      </c>
      <c r="B3613">
        <v>13558</v>
      </c>
      <c r="C3613" t="s">
        <v>23</v>
      </c>
      <c r="D3613">
        <v>49835.41</v>
      </c>
      <c r="E3613" t="s">
        <v>16</v>
      </c>
      <c r="F3613">
        <v>18</v>
      </c>
      <c r="G3613" t="s">
        <v>17</v>
      </c>
      <c r="H3613" s="1">
        <v>45551</v>
      </c>
      <c r="I3613" s="1">
        <v>45569</v>
      </c>
      <c r="J3613" t="str">
        <f t="shared" si="56"/>
        <v>Sep-2024</v>
      </c>
    </row>
    <row r="3614" spans="1:10">
      <c r="A3614">
        <v>3613</v>
      </c>
      <c r="B3614">
        <v>18008</v>
      </c>
      <c r="C3614" t="s">
        <v>22</v>
      </c>
      <c r="D3614">
        <v>70890.78</v>
      </c>
      <c r="E3614" t="s">
        <v>16</v>
      </c>
      <c r="F3614">
        <v>11</v>
      </c>
      <c r="G3614" t="s">
        <v>17</v>
      </c>
      <c r="H3614" s="1">
        <v>45375</v>
      </c>
      <c r="I3614" s="1">
        <v>45386</v>
      </c>
      <c r="J3614" t="str">
        <f t="shared" si="56"/>
        <v>Mar-2024</v>
      </c>
    </row>
    <row r="3615" spans="1:10">
      <c r="A3615">
        <v>3614</v>
      </c>
      <c r="B3615">
        <v>10845</v>
      </c>
      <c r="C3615" t="s">
        <v>18</v>
      </c>
      <c r="D3615">
        <v>199644.07</v>
      </c>
      <c r="E3615" t="s">
        <v>16</v>
      </c>
      <c r="F3615">
        <v>8</v>
      </c>
      <c r="G3615" t="s">
        <v>17</v>
      </c>
      <c r="H3615" s="1">
        <v>45639</v>
      </c>
      <c r="I3615" s="1">
        <v>45647</v>
      </c>
      <c r="J3615" t="str">
        <f t="shared" si="56"/>
        <v>Dec-2024</v>
      </c>
    </row>
    <row r="3616" spans="1:10">
      <c r="A3616">
        <v>3615</v>
      </c>
      <c r="B3616">
        <v>18884</v>
      </c>
      <c r="C3616" t="s">
        <v>23</v>
      </c>
      <c r="D3616">
        <v>165955.82</v>
      </c>
      <c r="E3616" t="s">
        <v>16</v>
      </c>
      <c r="F3616">
        <v>5</v>
      </c>
      <c r="G3616" t="s">
        <v>20</v>
      </c>
      <c r="H3616" s="1">
        <v>45639</v>
      </c>
      <c r="I3616" s="1">
        <v>45644</v>
      </c>
      <c r="J3616" t="str">
        <f t="shared" si="56"/>
        <v>Dec-2024</v>
      </c>
    </row>
    <row r="3617" spans="1:10">
      <c r="A3617">
        <v>3616</v>
      </c>
      <c r="B3617">
        <v>11332</v>
      </c>
      <c r="C3617" t="s">
        <v>18</v>
      </c>
      <c r="D3617">
        <v>177360.85</v>
      </c>
      <c r="E3617" t="s">
        <v>19</v>
      </c>
      <c r="F3617">
        <v>43</v>
      </c>
      <c r="G3617" t="s">
        <v>17</v>
      </c>
      <c r="H3617" s="1">
        <v>45297</v>
      </c>
      <c r="I3617" s="1">
        <v>45340</v>
      </c>
      <c r="J3617" t="str">
        <f t="shared" si="56"/>
        <v>Jan-2024</v>
      </c>
    </row>
    <row r="3618" spans="1:10">
      <c r="A3618">
        <v>3617</v>
      </c>
      <c r="B3618">
        <v>16300</v>
      </c>
      <c r="C3618" t="s">
        <v>18</v>
      </c>
      <c r="D3618">
        <v>187725.65</v>
      </c>
      <c r="E3618" t="s">
        <v>24</v>
      </c>
      <c r="G3618" t="s">
        <v>17</v>
      </c>
      <c r="H3618" s="1">
        <v>45538</v>
      </c>
      <c r="J3618" t="str">
        <f t="shared" si="56"/>
        <v>Sep-2024</v>
      </c>
    </row>
    <row r="3619" spans="1:10">
      <c r="A3619">
        <v>3618</v>
      </c>
      <c r="B3619">
        <v>11274</v>
      </c>
      <c r="C3619" t="s">
        <v>22</v>
      </c>
      <c r="D3619">
        <v>71482.5</v>
      </c>
      <c r="E3619" t="s">
        <v>16</v>
      </c>
      <c r="F3619">
        <v>8</v>
      </c>
      <c r="G3619" t="s">
        <v>25</v>
      </c>
      <c r="H3619" s="1">
        <v>45326</v>
      </c>
      <c r="I3619" s="1">
        <v>45334</v>
      </c>
      <c r="J3619" t="str">
        <f t="shared" si="56"/>
        <v>Feb-2024</v>
      </c>
    </row>
    <row r="3620" spans="1:10">
      <c r="A3620">
        <v>3619</v>
      </c>
      <c r="B3620">
        <v>17166</v>
      </c>
      <c r="C3620" t="s">
        <v>23</v>
      </c>
      <c r="D3620">
        <v>62930.01</v>
      </c>
      <c r="E3620" t="s">
        <v>19</v>
      </c>
      <c r="F3620">
        <v>24</v>
      </c>
      <c r="G3620" t="s">
        <v>21</v>
      </c>
      <c r="H3620" s="1">
        <v>45466</v>
      </c>
      <c r="I3620" s="1">
        <v>45490</v>
      </c>
      <c r="J3620" t="str">
        <f t="shared" si="56"/>
        <v>Jun-2024</v>
      </c>
    </row>
    <row r="3621" spans="1:10">
      <c r="A3621">
        <v>3620</v>
      </c>
      <c r="B3621">
        <v>19436</v>
      </c>
      <c r="C3621" t="s">
        <v>18</v>
      </c>
      <c r="D3621">
        <v>50642.19</v>
      </c>
      <c r="E3621" t="s">
        <v>16</v>
      </c>
      <c r="F3621">
        <v>12</v>
      </c>
      <c r="G3621" t="s">
        <v>21</v>
      </c>
      <c r="H3621" s="1">
        <v>45356</v>
      </c>
      <c r="I3621" s="1">
        <v>45368</v>
      </c>
      <c r="J3621" t="str">
        <f t="shared" si="56"/>
        <v>Mar-2024</v>
      </c>
    </row>
    <row r="3622" spans="1:10">
      <c r="A3622">
        <v>3621</v>
      </c>
      <c r="B3622">
        <v>10337</v>
      </c>
      <c r="C3622" t="s">
        <v>23</v>
      </c>
      <c r="D3622">
        <v>166872.79999999999</v>
      </c>
      <c r="E3622" t="s">
        <v>19</v>
      </c>
      <c r="F3622">
        <v>9</v>
      </c>
      <c r="G3622" t="s">
        <v>25</v>
      </c>
      <c r="H3622" s="1">
        <v>45438</v>
      </c>
      <c r="I3622" s="1">
        <v>45447</v>
      </c>
      <c r="J3622" t="str">
        <f t="shared" si="56"/>
        <v>May-2024</v>
      </c>
    </row>
    <row r="3623" spans="1:10">
      <c r="A3623">
        <v>3622</v>
      </c>
      <c r="B3623">
        <v>13294</v>
      </c>
      <c r="C3623" t="s">
        <v>23</v>
      </c>
      <c r="D3623">
        <v>137512.60999999999</v>
      </c>
      <c r="E3623" t="s">
        <v>16</v>
      </c>
      <c r="F3623">
        <v>9</v>
      </c>
      <c r="G3623" t="s">
        <v>25</v>
      </c>
      <c r="H3623" s="1">
        <v>45348</v>
      </c>
      <c r="I3623" s="1">
        <v>45357</v>
      </c>
      <c r="J3623" t="str">
        <f t="shared" si="56"/>
        <v>Feb-2024</v>
      </c>
    </row>
    <row r="3624" spans="1:10">
      <c r="A3624">
        <v>3623</v>
      </c>
      <c r="B3624">
        <v>10336</v>
      </c>
      <c r="C3624" t="s">
        <v>23</v>
      </c>
      <c r="D3624">
        <v>51053.54</v>
      </c>
      <c r="E3624" t="s">
        <v>16</v>
      </c>
      <c r="F3624">
        <v>38</v>
      </c>
      <c r="G3624" t="s">
        <v>20</v>
      </c>
      <c r="H3624" s="1">
        <v>45484</v>
      </c>
      <c r="I3624" s="1">
        <v>45522</v>
      </c>
      <c r="J3624" t="str">
        <f t="shared" si="56"/>
        <v>Jul-2024</v>
      </c>
    </row>
    <row r="3625" spans="1:10">
      <c r="A3625">
        <v>3624</v>
      </c>
      <c r="B3625">
        <v>11867</v>
      </c>
      <c r="C3625" t="s">
        <v>22</v>
      </c>
      <c r="D3625">
        <v>78513.8</v>
      </c>
      <c r="E3625" t="s">
        <v>16</v>
      </c>
      <c r="F3625">
        <v>6</v>
      </c>
      <c r="G3625" t="s">
        <v>20</v>
      </c>
      <c r="H3625" s="1">
        <v>45304</v>
      </c>
      <c r="I3625" s="1">
        <v>45310</v>
      </c>
      <c r="J3625" t="str">
        <f t="shared" si="56"/>
        <v>Jan-2024</v>
      </c>
    </row>
    <row r="3626" spans="1:10">
      <c r="A3626">
        <v>3625</v>
      </c>
      <c r="B3626">
        <v>16914</v>
      </c>
      <c r="C3626" t="s">
        <v>15</v>
      </c>
      <c r="D3626">
        <v>103808.79</v>
      </c>
      <c r="E3626" t="s">
        <v>16</v>
      </c>
      <c r="F3626">
        <v>8</v>
      </c>
      <c r="G3626" t="s">
        <v>20</v>
      </c>
      <c r="H3626" s="1">
        <v>45309</v>
      </c>
      <c r="I3626" s="1">
        <v>45317</v>
      </c>
      <c r="J3626" t="str">
        <f t="shared" si="56"/>
        <v>Jan-2024</v>
      </c>
    </row>
    <row r="3627" spans="1:10">
      <c r="A3627">
        <v>3626</v>
      </c>
      <c r="B3627">
        <v>10494</v>
      </c>
      <c r="C3627" t="s">
        <v>18</v>
      </c>
      <c r="D3627">
        <v>107987.31</v>
      </c>
      <c r="E3627" t="s">
        <v>19</v>
      </c>
      <c r="F3627">
        <v>23</v>
      </c>
      <c r="G3627" t="s">
        <v>25</v>
      </c>
      <c r="H3627" s="1">
        <v>45537</v>
      </c>
      <c r="I3627" s="1">
        <v>45560</v>
      </c>
      <c r="J3627" t="str">
        <f t="shared" si="56"/>
        <v>Sep-2024</v>
      </c>
    </row>
    <row r="3628" spans="1:10">
      <c r="A3628">
        <v>3627</v>
      </c>
      <c r="B3628">
        <v>14642</v>
      </c>
      <c r="C3628" t="s">
        <v>18</v>
      </c>
      <c r="D3628">
        <v>178301.91</v>
      </c>
      <c r="E3628" t="s">
        <v>19</v>
      </c>
      <c r="F3628">
        <v>37</v>
      </c>
      <c r="G3628" t="s">
        <v>25</v>
      </c>
      <c r="H3628" s="1">
        <v>45454</v>
      </c>
      <c r="I3628" s="1">
        <v>45491</v>
      </c>
      <c r="J3628" t="str">
        <f t="shared" si="56"/>
        <v>Jun-2024</v>
      </c>
    </row>
    <row r="3629" spans="1:10">
      <c r="A3629">
        <v>3628</v>
      </c>
      <c r="B3629">
        <v>13886</v>
      </c>
      <c r="C3629" t="s">
        <v>23</v>
      </c>
      <c r="D3629">
        <v>79210.399999999994</v>
      </c>
      <c r="E3629" t="s">
        <v>16</v>
      </c>
      <c r="F3629">
        <v>3</v>
      </c>
      <c r="G3629" t="s">
        <v>17</v>
      </c>
      <c r="H3629" s="1">
        <v>45634</v>
      </c>
      <c r="I3629" s="1">
        <v>45637</v>
      </c>
      <c r="J3629" t="str">
        <f t="shared" si="56"/>
        <v>Dec-2024</v>
      </c>
    </row>
    <row r="3630" spans="1:10">
      <c r="A3630">
        <v>3629</v>
      </c>
      <c r="B3630">
        <v>18352</v>
      </c>
      <c r="C3630" t="s">
        <v>23</v>
      </c>
      <c r="D3630">
        <v>182162.19</v>
      </c>
      <c r="E3630" t="s">
        <v>16</v>
      </c>
      <c r="F3630">
        <v>25</v>
      </c>
      <c r="G3630" t="s">
        <v>20</v>
      </c>
      <c r="H3630" s="1">
        <v>45405</v>
      </c>
      <c r="I3630" s="1">
        <v>45430</v>
      </c>
      <c r="J3630" t="str">
        <f t="shared" si="56"/>
        <v>Apr-2024</v>
      </c>
    </row>
    <row r="3631" spans="1:10">
      <c r="A3631">
        <v>3630</v>
      </c>
      <c r="B3631">
        <v>12036</v>
      </c>
      <c r="C3631" t="s">
        <v>23</v>
      </c>
      <c r="D3631">
        <v>91066.67</v>
      </c>
      <c r="E3631" t="s">
        <v>19</v>
      </c>
      <c r="F3631">
        <v>3</v>
      </c>
      <c r="G3631" t="s">
        <v>20</v>
      </c>
      <c r="H3631" s="1">
        <v>45573</v>
      </c>
      <c r="I3631" s="1">
        <v>45576</v>
      </c>
      <c r="J3631" t="str">
        <f t="shared" si="56"/>
        <v>Oct-2024</v>
      </c>
    </row>
    <row r="3632" spans="1:10">
      <c r="A3632">
        <v>3631</v>
      </c>
      <c r="B3632">
        <v>19933</v>
      </c>
      <c r="C3632" t="s">
        <v>23</v>
      </c>
      <c r="D3632">
        <v>150542.67000000001</v>
      </c>
      <c r="E3632" t="s">
        <v>19</v>
      </c>
      <c r="F3632">
        <v>13</v>
      </c>
      <c r="G3632" t="s">
        <v>20</v>
      </c>
      <c r="H3632" s="1">
        <v>45524</v>
      </c>
      <c r="I3632" s="1">
        <v>45537</v>
      </c>
      <c r="J3632" t="str">
        <f t="shared" si="56"/>
        <v>Aug-2024</v>
      </c>
    </row>
    <row r="3633" spans="1:10">
      <c r="A3633">
        <v>3632</v>
      </c>
      <c r="B3633">
        <v>19699</v>
      </c>
      <c r="C3633" t="s">
        <v>18</v>
      </c>
      <c r="D3633">
        <v>186399.59</v>
      </c>
      <c r="E3633" t="s">
        <v>16</v>
      </c>
      <c r="F3633">
        <v>43</v>
      </c>
      <c r="G3633" t="s">
        <v>21</v>
      </c>
      <c r="H3633" s="1">
        <v>45457</v>
      </c>
      <c r="I3633" s="1">
        <v>45500</v>
      </c>
      <c r="J3633" t="str">
        <f t="shared" si="56"/>
        <v>Jun-2024</v>
      </c>
    </row>
    <row r="3634" spans="1:10">
      <c r="A3634">
        <v>3633</v>
      </c>
      <c r="B3634">
        <v>15083</v>
      </c>
      <c r="C3634" t="s">
        <v>18</v>
      </c>
      <c r="D3634">
        <v>181977.26</v>
      </c>
      <c r="E3634" t="s">
        <v>16</v>
      </c>
      <c r="F3634">
        <v>27</v>
      </c>
      <c r="G3634" t="s">
        <v>17</v>
      </c>
      <c r="H3634" s="1">
        <v>45613</v>
      </c>
      <c r="I3634" s="1">
        <v>45640</v>
      </c>
      <c r="J3634" t="str">
        <f t="shared" si="56"/>
        <v>Nov-2024</v>
      </c>
    </row>
    <row r="3635" spans="1:10">
      <c r="A3635">
        <v>3634</v>
      </c>
      <c r="B3635">
        <v>13560</v>
      </c>
      <c r="C3635" t="s">
        <v>23</v>
      </c>
      <c r="D3635">
        <v>16105.81</v>
      </c>
      <c r="E3635" t="s">
        <v>16</v>
      </c>
      <c r="F3635">
        <v>39</v>
      </c>
      <c r="G3635" t="s">
        <v>20</v>
      </c>
      <c r="H3635" s="1">
        <v>45317</v>
      </c>
      <c r="I3635" s="1">
        <v>45356</v>
      </c>
      <c r="J3635" t="str">
        <f t="shared" si="56"/>
        <v>Jan-2024</v>
      </c>
    </row>
    <row r="3636" spans="1:10">
      <c r="A3636">
        <v>3635</v>
      </c>
      <c r="B3636">
        <v>19567</v>
      </c>
      <c r="C3636" t="s">
        <v>23</v>
      </c>
      <c r="D3636">
        <v>45112.34</v>
      </c>
      <c r="E3636" t="s">
        <v>16</v>
      </c>
      <c r="F3636">
        <v>7</v>
      </c>
      <c r="G3636" t="s">
        <v>20</v>
      </c>
      <c r="H3636" s="1">
        <v>45417</v>
      </c>
      <c r="I3636" s="1">
        <v>45424</v>
      </c>
      <c r="J3636" t="str">
        <f t="shared" si="56"/>
        <v>May-2024</v>
      </c>
    </row>
    <row r="3637" spans="1:10">
      <c r="A3637">
        <v>3636</v>
      </c>
      <c r="B3637">
        <v>19745</v>
      </c>
      <c r="C3637" t="s">
        <v>23</v>
      </c>
      <c r="D3637">
        <v>97996.56</v>
      </c>
      <c r="E3637" t="s">
        <v>16</v>
      </c>
      <c r="F3637">
        <v>24</v>
      </c>
      <c r="G3637" t="s">
        <v>20</v>
      </c>
      <c r="H3637" s="1">
        <v>45604</v>
      </c>
      <c r="I3637" s="1">
        <v>45628</v>
      </c>
      <c r="J3637" t="str">
        <f t="shared" si="56"/>
        <v>Nov-2024</v>
      </c>
    </row>
    <row r="3638" spans="1:10">
      <c r="A3638">
        <v>3637</v>
      </c>
      <c r="B3638">
        <v>12281</v>
      </c>
      <c r="C3638" t="s">
        <v>23</v>
      </c>
      <c r="D3638">
        <v>89153.09</v>
      </c>
      <c r="E3638" t="s">
        <v>16</v>
      </c>
      <c r="F3638">
        <v>3</v>
      </c>
      <c r="G3638" t="s">
        <v>21</v>
      </c>
      <c r="H3638" s="1">
        <v>45572</v>
      </c>
      <c r="I3638" s="1">
        <v>45575</v>
      </c>
      <c r="J3638" t="str">
        <f t="shared" si="56"/>
        <v>Oct-2024</v>
      </c>
    </row>
    <row r="3639" spans="1:10">
      <c r="A3639">
        <v>3638</v>
      </c>
      <c r="B3639">
        <v>11601</v>
      </c>
      <c r="C3639" t="s">
        <v>22</v>
      </c>
      <c r="D3639">
        <v>129973.87</v>
      </c>
      <c r="E3639" t="s">
        <v>19</v>
      </c>
      <c r="F3639">
        <v>27</v>
      </c>
      <c r="G3639" t="s">
        <v>21</v>
      </c>
      <c r="H3639" s="1">
        <v>45577</v>
      </c>
      <c r="I3639" s="1">
        <v>45604</v>
      </c>
      <c r="J3639" t="str">
        <f t="shared" si="56"/>
        <v>Oct-2024</v>
      </c>
    </row>
    <row r="3640" spans="1:10">
      <c r="A3640">
        <v>3639</v>
      </c>
      <c r="B3640">
        <v>11299</v>
      </c>
      <c r="C3640" t="s">
        <v>18</v>
      </c>
      <c r="D3640">
        <v>189218.26</v>
      </c>
      <c r="E3640" t="s">
        <v>16</v>
      </c>
      <c r="F3640">
        <v>15</v>
      </c>
      <c r="G3640" t="s">
        <v>25</v>
      </c>
      <c r="H3640" s="1">
        <v>45574</v>
      </c>
      <c r="I3640" s="1">
        <v>45589</v>
      </c>
      <c r="J3640" t="str">
        <f t="shared" si="56"/>
        <v>Oct-2024</v>
      </c>
    </row>
    <row r="3641" spans="1:10">
      <c r="A3641">
        <v>3640</v>
      </c>
      <c r="B3641">
        <v>18902</v>
      </c>
      <c r="C3641" t="s">
        <v>15</v>
      </c>
      <c r="D3641">
        <v>26918.92</v>
      </c>
      <c r="E3641" t="s">
        <v>24</v>
      </c>
      <c r="G3641" t="s">
        <v>17</v>
      </c>
      <c r="H3641" s="1">
        <v>45430</v>
      </c>
      <c r="J3641" t="str">
        <f t="shared" si="56"/>
        <v>May-2024</v>
      </c>
    </row>
    <row r="3642" spans="1:10">
      <c r="A3642">
        <v>3641</v>
      </c>
      <c r="B3642">
        <v>14167</v>
      </c>
      <c r="C3642" t="s">
        <v>23</v>
      </c>
      <c r="D3642">
        <v>93112.44</v>
      </c>
      <c r="E3642" t="s">
        <v>19</v>
      </c>
      <c r="F3642">
        <v>39</v>
      </c>
      <c r="G3642" t="s">
        <v>25</v>
      </c>
      <c r="H3642" s="1">
        <v>45392</v>
      </c>
      <c r="I3642" s="1">
        <v>45431</v>
      </c>
      <c r="J3642" t="str">
        <f t="shared" si="56"/>
        <v>Apr-2024</v>
      </c>
    </row>
    <row r="3643" spans="1:10">
      <c r="A3643">
        <v>3642</v>
      </c>
      <c r="B3643">
        <v>12046</v>
      </c>
      <c r="C3643" t="s">
        <v>23</v>
      </c>
      <c r="D3643">
        <v>42520.15</v>
      </c>
      <c r="E3643" t="s">
        <v>24</v>
      </c>
      <c r="G3643" t="s">
        <v>17</v>
      </c>
      <c r="H3643" s="1">
        <v>45302</v>
      </c>
      <c r="J3643" t="str">
        <f t="shared" si="56"/>
        <v>Jan-2024</v>
      </c>
    </row>
    <row r="3644" spans="1:10">
      <c r="A3644">
        <v>3643</v>
      </c>
      <c r="B3644">
        <v>12881</v>
      </c>
      <c r="C3644" t="s">
        <v>23</v>
      </c>
      <c r="D3644">
        <v>179350.98</v>
      </c>
      <c r="E3644" t="s">
        <v>16</v>
      </c>
      <c r="F3644">
        <v>15</v>
      </c>
      <c r="G3644" t="s">
        <v>21</v>
      </c>
      <c r="H3644" s="1">
        <v>45507</v>
      </c>
      <c r="I3644" s="1">
        <v>45522</v>
      </c>
      <c r="J3644" t="str">
        <f t="shared" si="56"/>
        <v>Aug-2024</v>
      </c>
    </row>
    <row r="3645" spans="1:10">
      <c r="A3645">
        <v>3644</v>
      </c>
      <c r="B3645">
        <v>15474</v>
      </c>
      <c r="C3645" t="s">
        <v>15</v>
      </c>
      <c r="D3645">
        <v>193093.14</v>
      </c>
      <c r="E3645" t="s">
        <v>19</v>
      </c>
      <c r="F3645">
        <v>31</v>
      </c>
      <c r="G3645" t="s">
        <v>20</v>
      </c>
      <c r="H3645" s="1">
        <v>45321</v>
      </c>
      <c r="I3645" s="1">
        <v>45352</v>
      </c>
      <c r="J3645" t="str">
        <f t="shared" si="56"/>
        <v>Jan-2024</v>
      </c>
    </row>
    <row r="3646" spans="1:10">
      <c r="A3646">
        <v>3645</v>
      </c>
      <c r="B3646">
        <v>11817</v>
      </c>
      <c r="C3646" t="s">
        <v>18</v>
      </c>
      <c r="D3646">
        <v>98346.83</v>
      </c>
      <c r="E3646" t="s">
        <v>16</v>
      </c>
      <c r="F3646">
        <v>14</v>
      </c>
      <c r="G3646" t="s">
        <v>25</v>
      </c>
      <c r="H3646" s="1">
        <v>45385</v>
      </c>
      <c r="I3646" s="1">
        <v>45399</v>
      </c>
      <c r="J3646" t="str">
        <f t="shared" si="56"/>
        <v>Apr-2024</v>
      </c>
    </row>
    <row r="3647" spans="1:10">
      <c r="A3647">
        <v>3646</v>
      </c>
      <c r="B3647">
        <v>12198</v>
      </c>
      <c r="C3647" t="s">
        <v>23</v>
      </c>
      <c r="D3647">
        <v>25282.01</v>
      </c>
      <c r="E3647" t="s">
        <v>16</v>
      </c>
      <c r="F3647">
        <v>41</v>
      </c>
      <c r="G3647" t="s">
        <v>20</v>
      </c>
      <c r="H3647" s="1">
        <v>45407</v>
      </c>
      <c r="I3647" s="1">
        <v>45448</v>
      </c>
      <c r="J3647" t="str">
        <f t="shared" si="56"/>
        <v>Apr-2024</v>
      </c>
    </row>
    <row r="3648" spans="1:10">
      <c r="A3648">
        <v>3647</v>
      </c>
      <c r="B3648">
        <v>13332</v>
      </c>
      <c r="C3648" t="s">
        <v>18</v>
      </c>
      <c r="D3648">
        <v>158132.46</v>
      </c>
      <c r="E3648" t="s">
        <v>16</v>
      </c>
      <c r="F3648">
        <v>32</v>
      </c>
      <c r="G3648" t="s">
        <v>25</v>
      </c>
      <c r="H3648" s="1">
        <v>45562</v>
      </c>
      <c r="I3648" s="1">
        <v>45594</v>
      </c>
      <c r="J3648" t="str">
        <f t="shared" si="56"/>
        <v>Sep-2024</v>
      </c>
    </row>
    <row r="3649" spans="1:10">
      <c r="A3649">
        <v>3648</v>
      </c>
      <c r="B3649">
        <v>11103</v>
      </c>
      <c r="C3649" t="s">
        <v>23</v>
      </c>
      <c r="D3649">
        <v>140942.56</v>
      </c>
      <c r="E3649" t="s">
        <v>16</v>
      </c>
      <c r="F3649">
        <v>38</v>
      </c>
      <c r="G3649" t="s">
        <v>21</v>
      </c>
      <c r="H3649" s="1">
        <v>45582</v>
      </c>
      <c r="I3649" s="1">
        <v>45620</v>
      </c>
      <c r="J3649" t="str">
        <f t="shared" si="56"/>
        <v>Oct-2024</v>
      </c>
    </row>
    <row r="3650" spans="1:10">
      <c r="A3650">
        <v>3649</v>
      </c>
      <c r="B3650">
        <v>13177</v>
      </c>
      <c r="C3650" t="s">
        <v>18</v>
      </c>
      <c r="D3650">
        <v>74160.81</v>
      </c>
      <c r="E3650" t="s">
        <v>19</v>
      </c>
      <c r="F3650">
        <v>39</v>
      </c>
      <c r="G3650" t="s">
        <v>21</v>
      </c>
      <c r="H3650" s="1">
        <v>45330</v>
      </c>
      <c r="I3650" s="1">
        <v>45369</v>
      </c>
      <c r="J3650" t="str">
        <f t="shared" si="56"/>
        <v>Feb-2024</v>
      </c>
    </row>
    <row r="3651" spans="1:10">
      <c r="A3651">
        <v>3650</v>
      </c>
      <c r="B3651">
        <v>14815</v>
      </c>
      <c r="C3651" t="s">
        <v>22</v>
      </c>
      <c r="D3651">
        <v>178044.46</v>
      </c>
      <c r="E3651" t="s">
        <v>19</v>
      </c>
      <c r="F3651">
        <v>23</v>
      </c>
      <c r="G3651" t="s">
        <v>21</v>
      </c>
      <c r="H3651" s="1">
        <v>45315</v>
      </c>
      <c r="I3651" s="1">
        <v>45338</v>
      </c>
      <c r="J3651" t="str">
        <f t="shared" ref="J3651:J3714" si="57">TEXT(H3651,"mmm-yyyy")</f>
        <v>Jan-2024</v>
      </c>
    </row>
    <row r="3652" spans="1:10">
      <c r="A3652">
        <v>3651</v>
      </c>
      <c r="B3652">
        <v>12177</v>
      </c>
      <c r="C3652" t="s">
        <v>18</v>
      </c>
      <c r="D3652">
        <v>195287.22</v>
      </c>
      <c r="E3652" t="s">
        <v>16</v>
      </c>
      <c r="F3652">
        <v>29</v>
      </c>
      <c r="G3652" t="s">
        <v>25</v>
      </c>
      <c r="H3652" s="1">
        <v>45555</v>
      </c>
      <c r="I3652" s="1">
        <v>45584</v>
      </c>
      <c r="J3652" t="str">
        <f t="shared" si="57"/>
        <v>Sep-2024</v>
      </c>
    </row>
    <row r="3653" spans="1:10">
      <c r="A3653">
        <v>3652</v>
      </c>
      <c r="B3653">
        <v>11194</v>
      </c>
      <c r="C3653" t="s">
        <v>18</v>
      </c>
      <c r="D3653">
        <v>113781.5</v>
      </c>
      <c r="E3653" t="s">
        <v>16</v>
      </c>
      <c r="F3653">
        <v>20</v>
      </c>
      <c r="G3653" t="s">
        <v>17</v>
      </c>
      <c r="H3653" s="1">
        <v>45334</v>
      </c>
      <c r="I3653" s="1">
        <v>45354</v>
      </c>
      <c r="J3653" t="str">
        <f t="shared" si="57"/>
        <v>Feb-2024</v>
      </c>
    </row>
    <row r="3654" spans="1:10">
      <c r="A3654">
        <v>3653</v>
      </c>
      <c r="B3654">
        <v>14501</v>
      </c>
      <c r="C3654" t="s">
        <v>23</v>
      </c>
      <c r="D3654">
        <v>115316.94</v>
      </c>
      <c r="E3654" t="s">
        <v>16</v>
      </c>
      <c r="F3654">
        <v>44</v>
      </c>
      <c r="G3654" t="s">
        <v>25</v>
      </c>
      <c r="H3654" s="1">
        <v>45461</v>
      </c>
      <c r="I3654" s="1">
        <v>45505</v>
      </c>
      <c r="J3654" t="str">
        <f t="shared" si="57"/>
        <v>Jun-2024</v>
      </c>
    </row>
    <row r="3655" spans="1:10">
      <c r="A3655">
        <v>3654</v>
      </c>
      <c r="B3655">
        <v>16041</v>
      </c>
      <c r="C3655" t="s">
        <v>23</v>
      </c>
      <c r="D3655">
        <v>63015.13</v>
      </c>
      <c r="E3655" t="s">
        <v>16</v>
      </c>
      <c r="F3655">
        <v>17</v>
      </c>
      <c r="G3655" t="s">
        <v>17</v>
      </c>
      <c r="H3655" s="1">
        <v>45631</v>
      </c>
      <c r="I3655" s="1">
        <v>45648</v>
      </c>
      <c r="J3655" t="str">
        <f t="shared" si="57"/>
        <v>Dec-2024</v>
      </c>
    </row>
    <row r="3656" spans="1:10">
      <c r="A3656">
        <v>3655</v>
      </c>
      <c r="B3656">
        <v>18727</v>
      </c>
      <c r="C3656" t="s">
        <v>23</v>
      </c>
      <c r="D3656">
        <v>118978.68</v>
      </c>
      <c r="E3656" t="s">
        <v>19</v>
      </c>
      <c r="F3656">
        <v>6</v>
      </c>
      <c r="G3656" t="s">
        <v>25</v>
      </c>
      <c r="H3656" s="1">
        <v>45460</v>
      </c>
      <c r="I3656" s="1">
        <v>45466</v>
      </c>
      <c r="J3656" t="str">
        <f t="shared" si="57"/>
        <v>Jun-2024</v>
      </c>
    </row>
    <row r="3657" spans="1:10">
      <c r="A3657">
        <v>3656</v>
      </c>
      <c r="B3657">
        <v>17060</v>
      </c>
      <c r="C3657" t="s">
        <v>23</v>
      </c>
      <c r="D3657">
        <v>90730.25</v>
      </c>
      <c r="E3657" t="s">
        <v>16</v>
      </c>
      <c r="F3657">
        <v>3</v>
      </c>
      <c r="G3657" t="s">
        <v>25</v>
      </c>
      <c r="H3657" s="1">
        <v>45594</v>
      </c>
      <c r="I3657" s="1">
        <v>45597</v>
      </c>
      <c r="J3657" t="str">
        <f t="shared" si="57"/>
        <v>Oct-2024</v>
      </c>
    </row>
    <row r="3658" spans="1:10">
      <c r="A3658">
        <v>3657</v>
      </c>
      <c r="B3658">
        <v>19261</v>
      </c>
      <c r="C3658" t="s">
        <v>18</v>
      </c>
      <c r="D3658">
        <v>63927.25</v>
      </c>
      <c r="E3658" t="s">
        <v>24</v>
      </c>
      <c r="G3658" t="s">
        <v>21</v>
      </c>
      <c r="H3658" s="1">
        <v>45317</v>
      </c>
      <c r="J3658" t="str">
        <f t="shared" si="57"/>
        <v>Jan-2024</v>
      </c>
    </row>
    <row r="3659" spans="1:10">
      <c r="A3659">
        <v>3658</v>
      </c>
      <c r="B3659">
        <v>18324</v>
      </c>
      <c r="C3659" t="s">
        <v>18</v>
      </c>
      <c r="D3659">
        <v>18101.11</v>
      </c>
      <c r="E3659" t="s">
        <v>16</v>
      </c>
      <c r="F3659">
        <v>20</v>
      </c>
      <c r="G3659" t="s">
        <v>20</v>
      </c>
      <c r="H3659" s="1">
        <v>45471</v>
      </c>
      <c r="I3659" s="1">
        <v>45491</v>
      </c>
      <c r="J3659" t="str">
        <f t="shared" si="57"/>
        <v>Jun-2024</v>
      </c>
    </row>
    <row r="3660" spans="1:10">
      <c r="A3660">
        <v>3659</v>
      </c>
      <c r="B3660">
        <v>10263</v>
      </c>
      <c r="C3660" t="s">
        <v>23</v>
      </c>
      <c r="D3660">
        <v>54278.03</v>
      </c>
      <c r="E3660" t="s">
        <v>16</v>
      </c>
      <c r="F3660">
        <v>21</v>
      </c>
      <c r="G3660" t="s">
        <v>20</v>
      </c>
      <c r="H3660" s="1">
        <v>45441</v>
      </c>
      <c r="I3660" s="1">
        <v>45462</v>
      </c>
      <c r="J3660" t="str">
        <f t="shared" si="57"/>
        <v>May-2024</v>
      </c>
    </row>
    <row r="3661" spans="1:10">
      <c r="A3661">
        <v>3660</v>
      </c>
      <c r="B3661">
        <v>14462</v>
      </c>
      <c r="C3661" t="s">
        <v>15</v>
      </c>
      <c r="D3661">
        <v>43581.66</v>
      </c>
      <c r="E3661" t="s">
        <v>16</v>
      </c>
      <c r="F3661">
        <v>30</v>
      </c>
      <c r="G3661" t="s">
        <v>17</v>
      </c>
      <c r="H3661" s="1">
        <v>45424</v>
      </c>
      <c r="I3661" s="1">
        <v>45454</v>
      </c>
      <c r="J3661" t="str">
        <f t="shared" si="57"/>
        <v>May-2024</v>
      </c>
    </row>
    <row r="3662" spans="1:10">
      <c r="A3662">
        <v>3661</v>
      </c>
      <c r="B3662">
        <v>16968</v>
      </c>
      <c r="C3662" t="s">
        <v>23</v>
      </c>
      <c r="D3662">
        <v>110698.19</v>
      </c>
      <c r="E3662" t="s">
        <v>16</v>
      </c>
      <c r="F3662">
        <v>26</v>
      </c>
      <c r="G3662" t="s">
        <v>20</v>
      </c>
      <c r="H3662" s="1">
        <v>45434</v>
      </c>
      <c r="I3662" s="1">
        <v>45460</v>
      </c>
      <c r="J3662" t="str">
        <f t="shared" si="57"/>
        <v>May-2024</v>
      </c>
    </row>
    <row r="3663" spans="1:10">
      <c r="A3663">
        <v>3662</v>
      </c>
      <c r="B3663">
        <v>12052</v>
      </c>
      <c r="C3663" t="s">
        <v>23</v>
      </c>
      <c r="D3663">
        <v>122325.65</v>
      </c>
      <c r="E3663" t="s">
        <v>16</v>
      </c>
      <c r="F3663">
        <v>18</v>
      </c>
      <c r="G3663" t="s">
        <v>25</v>
      </c>
      <c r="H3663" s="1">
        <v>45455</v>
      </c>
      <c r="I3663" s="1">
        <v>45473</v>
      </c>
      <c r="J3663" t="str">
        <f t="shared" si="57"/>
        <v>Jun-2024</v>
      </c>
    </row>
    <row r="3664" spans="1:10">
      <c r="A3664">
        <v>3663</v>
      </c>
      <c r="B3664">
        <v>14946</v>
      </c>
      <c r="C3664" t="s">
        <v>23</v>
      </c>
      <c r="D3664">
        <v>123671.49</v>
      </c>
      <c r="E3664" t="s">
        <v>19</v>
      </c>
      <c r="F3664">
        <v>14</v>
      </c>
      <c r="G3664" t="s">
        <v>25</v>
      </c>
      <c r="H3664" s="1">
        <v>45392</v>
      </c>
      <c r="I3664" s="1">
        <v>45406</v>
      </c>
      <c r="J3664" t="str">
        <f t="shared" si="57"/>
        <v>Apr-2024</v>
      </c>
    </row>
    <row r="3665" spans="1:10">
      <c r="A3665">
        <v>3664</v>
      </c>
      <c r="B3665">
        <v>15825</v>
      </c>
      <c r="C3665" t="s">
        <v>23</v>
      </c>
      <c r="D3665">
        <v>80695.3</v>
      </c>
      <c r="E3665" t="s">
        <v>19</v>
      </c>
      <c r="F3665">
        <v>17</v>
      </c>
      <c r="G3665" t="s">
        <v>21</v>
      </c>
      <c r="H3665" s="1">
        <v>45354</v>
      </c>
      <c r="I3665" s="1">
        <v>45371</v>
      </c>
      <c r="J3665" t="str">
        <f t="shared" si="57"/>
        <v>Mar-2024</v>
      </c>
    </row>
    <row r="3666" spans="1:10">
      <c r="A3666">
        <v>3665</v>
      </c>
      <c r="B3666">
        <v>16044</v>
      </c>
      <c r="C3666" t="s">
        <v>23</v>
      </c>
      <c r="D3666">
        <v>87139.8</v>
      </c>
      <c r="E3666" t="s">
        <v>16</v>
      </c>
      <c r="F3666">
        <v>36</v>
      </c>
      <c r="G3666" t="s">
        <v>21</v>
      </c>
      <c r="H3666" s="1">
        <v>45384</v>
      </c>
      <c r="I3666" s="1">
        <v>45420</v>
      </c>
      <c r="J3666" t="str">
        <f t="shared" si="57"/>
        <v>Apr-2024</v>
      </c>
    </row>
    <row r="3667" spans="1:10">
      <c r="A3667">
        <v>3666</v>
      </c>
      <c r="B3667">
        <v>14089</v>
      </c>
      <c r="C3667" t="s">
        <v>23</v>
      </c>
      <c r="D3667">
        <v>167676.49</v>
      </c>
      <c r="E3667" t="s">
        <v>16</v>
      </c>
      <c r="F3667">
        <v>37</v>
      </c>
      <c r="G3667" t="s">
        <v>20</v>
      </c>
      <c r="H3667" s="1">
        <v>45498</v>
      </c>
      <c r="I3667" s="1">
        <v>45535</v>
      </c>
      <c r="J3667" t="str">
        <f t="shared" si="57"/>
        <v>Jul-2024</v>
      </c>
    </row>
    <row r="3668" spans="1:10">
      <c r="A3668">
        <v>3667</v>
      </c>
      <c r="B3668">
        <v>10357</v>
      </c>
      <c r="C3668" t="s">
        <v>23</v>
      </c>
      <c r="D3668">
        <v>97865.4</v>
      </c>
      <c r="E3668" t="s">
        <v>16</v>
      </c>
      <c r="F3668">
        <v>40</v>
      </c>
      <c r="G3668" t="s">
        <v>17</v>
      </c>
      <c r="H3668" s="1">
        <v>45602</v>
      </c>
      <c r="I3668" s="1">
        <v>45642</v>
      </c>
      <c r="J3668" t="str">
        <f t="shared" si="57"/>
        <v>Nov-2024</v>
      </c>
    </row>
    <row r="3669" spans="1:10">
      <c r="A3669">
        <v>3668</v>
      </c>
      <c r="B3669">
        <v>15505</v>
      </c>
      <c r="C3669" t="s">
        <v>22</v>
      </c>
      <c r="D3669">
        <v>197615.8</v>
      </c>
      <c r="E3669" t="s">
        <v>16</v>
      </c>
      <c r="F3669">
        <v>4</v>
      </c>
      <c r="G3669" t="s">
        <v>20</v>
      </c>
      <c r="H3669" s="1">
        <v>45363</v>
      </c>
      <c r="I3669" s="1">
        <v>45367</v>
      </c>
      <c r="J3669" t="str">
        <f t="shared" si="57"/>
        <v>Mar-2024</v>
      </c>
    </row>
    <row r="3670" spans="1:10">
      <c r="A3670">
        <v>3669</v>
      </c>
      <c r="B3670">
        <v>14420</v>
      </c>
      <c r="C3670" t="s">
        <v>23</v>
      </c>
      <c r="D3670">
        <v>90725.36</v>
      </c>
      <c r="E3670" t="s">
        <v>16</v>
      </c>
      <c r="F3670">
        <v>10</v>
      </c>
      <c r="G3670" t="s">
        <v>20</v>
      </c>
      <c r="H3670" s="1">
        <v>45351</v>
      </c>
      <c r="I3670" s="1">
        <v>45361</v>
      </c>
      <c r="J3670" t="str">
        <f t="shared" si="57"/>
        <v>Feb-2024</v>
      </c>
    </row>
    <row r="3671" spans="1:10">
      <c r="A3671">
        <v>3670</v>
      </c>
      <c r="B3671">
        <v>18942</v>
      </c>
      <c r="C3671" t="s">
        <v>23</v>
      </c>
      <c r="D3671">
        <v>131668.28</v>
      </c>
      <c r="E3671" t="s">
        <v>16</v>
      </c>
      <c r="F3671">
        <v>41</v>
      </c>
      <c r="G3671" t="s">
        <v>20</v>
      </c>
      <c r="H3671" s="1">
        <v>45320</v>
      </c>
      <c r="I3671" s="1">
        <v>45361</v>
      </c>
      <c r="J3671" t="str">
        <f t="shared" si="57"/>
        <v>Jan-2024</v>
      </c>
    </row>
    <row r="3672" spans="1:10">
      <c r="A3672">
        <v>3671</v>
      </c>
      <c r="B3672">
        <v>13250</v>
      </c>
      <c r="C3672" t="s">
        <v>23</v>
      </c>
      <c r="D3672">
        <v>14820.78</v>
      </c>
      <c r="E3672" t="s">
        <v>19</v>
      </c>
      <c r="F3672">
        <v>30</v>
      </c>
      <c r="G3672" t="s">
        <v>20</v>
      </c>
      <c r="H3672" s="1">
        <v>45310</v>
      </c>
      <c r="I3672" s="1">
        <v>45340</v>
      </c>
      <c r="J3672" t="str">
        <f t="shared" si="57"/>
        <v>Jan-2024</v>
      </c>
    </row>
    <row r="3673" spans="1:10">
      <c r="A3673">
        <v>3672</v>
      </c>
      <c r="B3673">
        <v>16562</v>
      </c>
      <c r="C3673" t="s">
        <v>18</v>
      </c>
      <c r="D3673">
        <v>132401.29</v>
      </c>
      <c r="E3673" t="s">
        <v>19</v>
      </c>
      <c r="F3673">
        <v>6</v>
      </c>
      <c r="G3673" t="s">
        <v>25</v>
      </c>
      <c r="H3673" s="1">
        <v>45364</v>
      </c>
      <c r="I3673" s="1">
        <v>45370</v>
      </c>
      <c r="J3673" t="str">
        <f t="shared" si="57"/>
        <v>Mar-2024</v>
      </c>
    </row>
    <row r="3674" spans="1:10">
      <c r="A3674">
        <v>3673</v>
      </c>
      <c r="B3674">
        <v>12258</v>
      </c>
      <c r="C3674" t="s">
        <v>23</v>
      </c>
      <c r="D3674">
        <v>171028.15</v>
      </c>
      <c r="E3674" t="s">
        <v>24</v>
      </c>
      <c r="G3674" t="s">
        <v>17</v>
      </c>
      <c r="H3674" s="1">
        <v>45648</v>
      </c>
      <c r="J3674" t="str">
        <f t="shared" si="57"/>
        <v>Dec-2024</v>
      </c>
    </row>
    <row r="3675" spans="1:10">
      <c r="A3675">
        <v>3674</v>
      </c>
      <c r="B3675">
        <v>19102</v>
      </c>
      <c r="C3675" t="s">
        <v>15</v>
      </c>
      <c r="D3675">
        <v>188779.28</v>
      </c>
      <c r="E3675" t="s">
        <v>16</v>
      </c>
      <c r="F3675">
        <v>11</v>
      </c>
      <c r="G3675" t="s">
        <v>25</v>
      </c>
      <c r="H3675" s="1">
        <v>45537</v>
      </c>
      <c r="I3675" s="1">
        <v>45548</v>
      </c>
      <c r="J3675" t="str">
        <f t="shared" si="57"/>
        <v>Sep-2024</v>
      </c>
    </row>
    <row r="3676" spans="1:10">
      <c r="A3676">
        <v>3675</v>
      </c>
      <c r="B3676">
        <v>13810</v>
      </c>
      <c r="C3676" t="s">
        <v>18</v>
      </c>
      <c r="D3676">
        <v>199477.52</v>
      </c>
      <c r="E3676" t="s">
        <v>24</v>
      </c>
      <c r="G3676" t="s">
        <v>17</v>
      </c>
      <c r="H3676" s="1">
        <v>45604</v>
      </c>
      <c r="J3676" t="str">
        <f t="shared" si="57"/>
        <v>Nov-2024</v>
      </c>
    </row>
    <row r="3677" spans="1:10">
      <c r="A3677">
        <v>3676</v>
      </c>
      <c r="B3677">
        <v>10583</v>
      </c>
      <c r="C3677" t="s">
        <v>18</v>
      </c>
      <c r="D3677">
        <v>60024.84</v>
      </c>
      <c r="E3677" t="s">
        <v>16</v>
      </c>
      <c r="F3677">
        <v>12</v>
      </c>
      <c r="G3677" t="s">
        <v>21</v>
      </c>
      <c r="H3677" s="1">
        <v>45615</v>
      </c>
      <c r="I3677" s="1">
        <v>45627</v>
      </c>
      <c r="J3677" t="str">
        <f t="shared" si="57"/>
        <v>Nov-2024</v>
      </c>
    </row>
    <row r="3678" spans="1:10">
      <c r="A3678">
        <v>3677</v>
      </c>
      <c r="B3678">
        <v>13438</v>
      </c>
      <c r="C3678" t="s">
        <v>18</v>
      </c>
      <c r="D3678">
        <v>117197.16</v>
      </c>
      <c r="E3678" t="s">
        <v>16</v>
      </c>
      <c r="F3678">
        <v>18</v>
      </c>
      <c r="G3678" t="s">
        <v>20</v>
      </c>
      <c r="H3678" s="1">
        <v>45378</v>
      </c>
      <c r="I3678" s="1">
        <v>45396</v>
      </c>
      <c r="J3678" t="str">
        <f t="shared" si="57"/>
        <v>Mar-2024</v>
      </c>
    </row>
    <row r="3679" spans="1:10">
      <c r="A3679">
        <v>3678</v>
      </c>
      <c r="B3679">
        <v>18768</v>
      </c>
      <c r="C3679" t="s">
        <v>23</v>
      </c>
      <c r="D3679">
        <v>92890.01</v>
      </c>
      <c r="E3679" t="s">
        <v>24</v>
      </c>
      <c r="G3679" t="s">
        <v>25</v>
      </c>
      <c r="H3679" s="1">
        <v>45650</v>
      </c>
      <c r="J3679" t="str">
        <f t="shared" si="57"/>
        <v>Dec-2024</v>
      </c>
    </row>
    <row r="3680" spans="1:10">
      <c r="A3680">
        <v>3679</v>
      </c>
      <c r="B3680">
        <v>16357</v>
      </c>
      <c r="C3680" t="s">
        <v>23</v>
      </c>
      <c r="D3680">
        <v>114944.41</v>
      </c>
      <c r="E3680" t="s">
        <v>16</v>
      </c>
      <c r="F3680">
        <v>42</v>
      </c>
      <c r="G3680" t="s">
        <v>17</v>
      </c>
      <c r="H3680" s="1">
        <v>45474</v>
      </c>
      <c r="I3680" s="1">
        <v>45516</v>
      </c>
      <c r="J3680" t="str">
        <f t="shared" si="57"/>
        <v>Jul-2024</v>
      </c>
    </row>
    <row r="3681" spans="1:10">
      <c r="A3681">
        <v>3680</v>
      </c>
      <c r="B3681">
        <v>19344</v>
      </c>
      <c r="C3681" t="s">
        <v>23</v>
      </c>
      <c r="D3681">
        <v>35703.33</v>
      </c>
      <c r="E3681" t="s">
        <v>16</v>
      </c>
      <c r="F3681">
        <v>9</v>
      </c>
      <c r="G3681" t="s">
        <v>21</v>
      </c>
      <c r="H3681" s="1">
        <v>45488</v>
      </c>
      <c r="I3681" s="1">
        <v>45497</v>
      </c>
      <c r="J3681" t="str">
        <f t="shared" si="57"/>
        <v>Jul-2024</v>
      </c>
    </row>
    <row r="3682" spans="1:10">
      <c r="A3682">
        <v>3681</v>
      </c>
      <c r="B3682">
        <v>16146</v>
      </c>
      <c r="C3682" t="s">
        <v>18</v>
      </c>
      <c r="D3682">
        <v>171949.17</v>
      </c>
      <c r="E3682" t="s">
        <v>19</v>
      </c>
      <c r="F3682">
        <v>3</v>
      </c>
      <c r="G3682" t="s">
        <v>21</v>
      </c>
      <c r="H3682" s="1">
        <v>45535</v>
      </c>
      <c r="I3682" s="1">
        <v>45538</v>
      </c>
      <c r="J3682" t="str">
        <f t="shared" si="57"/>
        <v>Aug-2024</v>
      </c>
    </row>
    <row r="3683" spans="1:10">
      <c r="A3683">
        <v>3682</v>
      </c>
      <c r="B3683">
        <v>14990</v>
      </c>
      <c r="C3683" t="s">
        <v>23</v>
      </c>
      <c r="D3683">
        <v>182365.94</v>
      </c>
      <c r="E3683" t="s">
        <v>24</v>
      </c>
      <c r="G3683" t="s">
        <v>20</v>
      </c>
      <c r="H3683" s="1">
        <v>45619</v>
      </c>
      <c r="J3683" t="str">
        <f t="shared" si="57"/>
        <v>Nov-2024</v>
      </c>
    </row>
    <row r="3684" spans="1:10">
      <c r="A3684">
        <v>3683</v>
      </c>
      <c r="B3684">
        <v>11783</v>
      </c>
      <c r="C3684" t="s">
        <v>23</v>
      </c>
      <c r="D3684">
        <v>92684.02</v>
      </c>
      <c r="E3684" t="s">
        <v>19</v>
      </c>
      <c r="F3684">
        <v>17</v>
      </c>
      <c r="G3684" t="s">
        <v>17</v>
      </c>
      <c r="H3684" s="1">
        <v>45409</v>
      </c>
      <c r="I3684" s="1">
        <v>45426</v>
      </c>
      <c r="J3684" t="str">
        <f t="shared" si="57"/>
        <v>Apr-2024</v>
      </c>
    </row>
    <row r="3685" spans="1:10">
      <c r="A3685">
        <v>3684</v>
      </c>
      <c r="B3685">
        <v>11093</v>
      </c>
      <c r="C3685" t="s">
        <v>22</v>
      </c>
      <c r="D3685">
        <v>59683.82</v>
      </c>
      <c r="E3685" t="s">
        <v>16</v>
      </c>
      <c r="F3685">
        <v>42</v>
      </c>
      <c r="G3685" t="s">
        <v>25</v>
      </c>
      <c r="H3685" s="1">
        <v>45373</v>
      </c>
      <c r="I3685" s="1">
        <v>45415</v>
      </c>
      <c r="J3685" t="str">
        <f t="shared" si="57"/>
        <v>Mar-2024</v>
      </c>
    </row>
    <row r="3686" spans="1:10">
      <c r="A3686">
        <v>3685</v>
      </c>
      <c r="B3686">
        <v>14532</v>
      </c>
      <c r="C3686" t="s">
        <v>23</v>
      </c>
      <c r="D3686">
        <v>32462.52</v>
      </c>
      <c r="E3686" t="s">
        <v>16</v>
      </c>
      <c r="F3686">
        <v>42</v>
      </c>
      <c r="G3686" t="s">
        <v>20</v>
      </c>
      <c r="H3686" s="1">
        <v>45538</v>
      </c>
      <c r="I3686" s="1">
        <v>45580</v>
      </c>
      <c r="J3686" t="str">
        <f t="shared" si="57"/>
        <v>Sep-2024</v>
      </c>
    </row>
    <row r="3687" spans="1:10">
      <c r="A3687">
        <v>3686</v>
      </c>
      <c r="B3687">
        <v>15117</v>
      </c>
      <c r="C3687" t="s">
        <v>15</v>
      </c>
      <c r="D3687">
        <v>138334.14000000001</v>
      </c>
      <c r="E3687" t="s">
        <v>24</v>
      </c>
      <c r="G3687" t="s">
        <v>25</v>
      </c>
      <c r="H3687" s="1">
        <v>45525</v>
      </c>
      <c r="J3687" t="str">
        <f t="shared" si="57"/>
        <v>Aug-2024</v>
      </c>
    </row>
    <row r="3688" spans="1:10">
      <c r="A3688">
        <v>3687</v>
      </c>
      <c r="B3688">
        <v>17938</v>
      </c>
      <c r="C3688" t="s">
        <v>18</v>
      </c>
      <c r="D3688">
        <v>65885.210000000006</v>
      </c>
      <c r="E3688" t="s">
        <v>16</v>
      </c>
      <c r="F3688">
        <v>6</v>
      </c>
      <c r="G3688" t="s">
        <v>21</v>
      </c>
      <c r="H3688" s="1">
        <v>45656</v>
      </c>
      <c r="I3688" s="1">
        <v>45662</v>
      </c>
      <c r="J3688" t="str">
        <f t="shared" si="57"/>
        <v>Dec-2024</v>
      </c>
    </row>
    <row r="3689" spans="1:10">
      <c r="A3689">
        <v>3688</v>
      </c>
      <c r="B3689">
        <v>16746</v>
      </c>
      <c r="C3689" t="s">
        <v>23</v>
      </c>
      <c r="D3689">
        <v>182360.02</v>
      </c>
      <c r="E3689" t="s">
        <v>16</v>
      </c>
      <c r="F3689">
        <v>36</v>
      </c>
      <c r="G3689" t="s">
        <v>25</v>
      </c>
      <c r="H3689" s="1">
        <v>45444</v>
      </c>
      <c r="I3689" s="1">
        <v>45480</v>
      </c>
      <c r="J3689" t="str">
        <f t="shared" si="57"/>
        <v>Jun-2024</v>
      </c>
    </row>
    <row r="3690" spans="1:10">
      <c r="A3690">
        <v>3689</v>
      </c>
      <c r="B3690">
        <v>12133</v>
      </c>
      <c r="C3690" t="s">
        <v>23</v>
      </c>
      <c r="D3690">
        <v>135847.43</v>
      </c>
      <c r="E3690" t="s">
        <v>16</v>
      </c>
      <c r="F3690">
        <v>15</v>
      </c>
      <c r="G3690" t="s">
        <v>25</v>
      </c>
      <c r="H3690" s="1">
        <v>45563</v>
      </c>
      <c r="I3690" s="1">
        <v>45578</v>
      </c>
      <c r="J3690" t="str">
        <f t="shared" si="57"/>
        <v>Sep-2024</v>
      </c>
    </row>
    <row r="3691" spans="1:10">
      <c r="A3691">
        <v>3690</v>
      </c>
      <c r="B3691">
        <v>18709</v>
      </c>
      <c r="C3691" t="s">
        <v>23</v>
      </c>
      <c r="D3691">
        <v>130908.64</v>
      </c>
      <c r="E3691" t="s">
        <v>16</v>
      </c>
      <c r="F3691">
        <v>16</v>
      </c>
      <c r="G3691" t="s">
        <v>20</v>
      </c>
      <c r="H3691" s="1">
        <v>45326</v>
      </c>
      <c r="I3691" s="1">
        <v>45342</v>
      </c>
      <c r="J3691" t="str">
        <f t="shared" si="57"/>
        <v>Feb-2024</v>
      </c>
    </row>
    <row r="3692" spans="1:10">
      <c r="A3692">
        <v>3691</v>
      </c>
      <c r="B3692">
        <v>18933</v>
      </c>
      <c r="C3692" t="s">
        <v>18</v>
      </c>
      <c r="D3692">
        <v>114083.41</v>
      </c>
      <c r="E3692" t="s">
        <v>16</v>
      </c>
      <c r="F3692">
        <v>7</v>
      </c>
      <c r="G3692" t="s">
        <v>25</v>
      </c>
      <c r="H3692" s="1">
        <v>45504</v>
      </c>
      <c r="I3692" s="1">
        <v>45511</v>
      </c>
      <c r="J3692" t="str">
        <f t="shared" si="57"/>
        <v>Jul-2024</v>
      </c>
    </row>
    <row r="3693" spans="1:10">
      <c r="A3693">
        <v>3692</v>
      </c>
      <c r="B3693">
        <v>16120</v>
      </c>
      <c r="C3693" t="s">
        <v>18</v>
      </c>
      <c r="D3693">
        <v>13926.39</v>
      </c>
      <c r="E3693" t="s">
        <v>16</v>
      </c>
      <c r="F3693">
        <v>17</v>
      </c>
      <c r="G3693" t="s">
        <v>20</v>
      </c>
      <c r="H3693" s="1">
        <v>45502</v>
      </c>
      <c r="I3693" s="1">
        <v>45519</v>
      </c>
      <c r="J3693" t="str">
        <f t="shared" si="57"/>
        <v>Jul-2024</v>
      </c>
    </row>
    <row r="3694" spans="1:10">
      <c r="A3694">
        <v>3693</v>
      </c>
      <c r="B3694">
        <v>12477</v>
      </c>
      <c r="C3694" t="s">
        <v>18</v>
      </c>
      <c r="D3694">
        <v>186724.87</v>
      </c>
      <c r="E3694" t="s">
        <v>16</v>
      </c>
      <c r="F3694">
        <v>24</v>
      </c>
      <c r="G3694" t="s">
        <v>21</v>
      </c>
      <c r="H3694" s="1">
        <v>45430</v>
      </c>
      <c r="I3694" s="1">
        <v>45454</v>
      </c>
      <c r="J3694" t="str">
        <f t="shared" si="57"/>
        <v>May-2024</v>
      </c>
    </row>
    <row r="3695" spans="1:10">
      <c r="A3695">
        <v>3694</v>
      </c>
      <c r="B3695">
        <v>14958</v>
      </c>
      <c r="C3695" t="s">
        <v>22</v>
      </c>
      <c r="D3695">
        <v>127447.81</v>
      </c>
      <c r="E3695" t="s">
        <v>16</v>
      </c>
      <c r="F3695">
        <v>32</v>
      </c>
      <c r="G3695" t="s">
        <v>20</v>
      </c>
      <c r="H3695" s="1">
        <v>45480</v>
      </c>
      <c r="I3695" s="1">
        <v>45512</v>
      </c>
      <c r="J3695" t="str">
        <f t="shared" si="57"/>
        <v>Jul-2024</v>
      </c>
    </row>
    <row r="3696" spans="1:10">
      <c r="A3696">
        <v>3695</v>
      </c>
      <c r="B3696">
        <v>16137</v>
      </c>
      <c r="C3696" t="s">
        <v>18</v>
      </c>
      <c r="D3696">
        <v>198842.09</v>
      </c>
      <c r="E3696" t="s">
        <v>16</v>
      </c>
      <c r="F3696">
        <v>43</v>
      </c>
      <c r="G3696" t="s">
        <v>20</v>
      </c>
      <c r="H3696" s="1">
        <v>45591</v>
      </c>
      <c r="I3696" s="1">
        <v>45634</v>
      </c>
      <c r="J3696" t="str">
        <f t="shared" si="57"/>
        <v>Oct-2024</v>
      </c>
    </row>
    <row r="3697" spans="1:10">
      <c r="A3697">
        <v>3696</v>
      </c>
      <c r="B3697">
        <v>12876</v>
      </c>
      <c r="C3697" t="s">
        <v>23</v>
      </c>
      <c r="D3697">
        <v>109784.5</v>
      </c>
      <c r="E3697" t="s">
        <v>16</v>
      </c>
      <c r="F3697">
        <v>13</v>
      </c>
      <c r="G3697" t="s">
        <v>17</v>
      </c>
      <c r="H3697" s="1">
        <v>45543</v>
      </c>
      <c r="I3697" s="1">
        <v>45556</v>
      </c>
      <c r="J3697" t="str">
        <f t="shared" si="57"/>
        <v>Sep-2024</v>
      </c>
    </row>
    <row r="3698" spans="1:10">
      <c r="A3698">
        <v>3697</v>
      </c>
      <c r="B3698">
        <v>10042</v>
      </c>
      <c r="C3698" t="s">
        <v>23</v>
      </c>
      <c r="D3698">
        <v>143471.62</v>
      </c>
      <c r="E3698" t="s">
        <v>19</v>
      </c>
      <c r="F3698">
        <v>42</v>
      </c>
      <c r="G3698" t="s">
        <v>25</v>
      </c>
      <c r="H3698" s="1">
        <v>45441</v>
      </c>
      <c r="I3698" s="1">
        <v>45483</v>
      </c>
      <c r="J3698" t="str">
        <f t="shared" si="57"/>
        <v>May-2024</v>
      </c>
    </row>
    <row r="3699" spans="1:10">
      <c r="A3699">
        <v>3698</v>
      </c>
      <c r="B3699">
        <v>15829</v>
      </c>
      <c r="C3699" t="s">
        <v>15</v>
      </c>
      <c r="D3699">
        <v>15960.86</v>
      </c>
      <c r="E3699" t="s">
        <v>16</v>
      </c>
      <c r="F3699">
        <v>20</v>
      </c>
      <c r="G3699" t="s">
        <v>21</v>
      </c>
      <c r="H3699" s="1">
        <v>45632</v>
      </c>
      <c r="I3699" s="1">
        <v>45652</v>
      </c>
      <c r="J3699" t="str">
        <f t="shared" si="57"/>
        <v>Dec-2024</v>
      </c>
    </row>
    <row r="3700" spans="1:10">
      <c r="A3700">
        <v>3699</v>
      </c>
      <c r="B3700">
        <v>13441</v>
      </c>
      <c r="C3700" t="s">
        <v>23</v>
      </c>
      <c r="D3700">
        <v>128188.55</v>
      </c>
      <c r="E3700" t="s">
        <v>16</v>
      </c>
      <c r="F3700">
        <v>13</v>
      </c>
      <c r="G3700" t="s">
        <v>20</v>
      </c>
      <c r="H3700" s="1">
        <v>45510</v>
      </c>
      <c r="I3700" s="1">
        <v>45523</v>
      </c>
      <c r="J3700" t="str">
        <f t="shared" si="57"/>
        <v>Aug-2024</v>
      </c>
    </row>
    <row r="3701" spans="1:10">
      <c r="A3701">
        <v>3700</v>
      </c>
      <c r="B3701">
        <v>18595</v>
      </c>
      <c r="C3701" t="s">
        <v>23</v>
      </c>
      <c r="D3701">
        <v>154106.67000000001</v>
      </c>
      <c r="E3701" t="s">
        <v>24</v>
      </c>
      <c r="G3701" t="s">
        <v>21</v>
      </c>
      <c r="H3701" s="1">
        <v>45373</v>
      </c>
      <c r="J3701" t="str">
        <f t="shared" si="57"/>
        <v>Mar-2024</v>
      </c>
    </row>
    <row r="3702" spans="1:10">
      <c r="A3702">
        <v>3701</v>
      </c>
      <c r="B3702">
        <v>19518</v>
      </c>
      <c r="C3702" t="s">
        <v>18</v>
      </c>
      <c r="D3702">
        <v>156810.29</v>
      </c>
      <c r="E3702" t="s">
        <v>16</v>
      </c>
      <c r="F3702">
        <v>3</v>
      </c>
      <c r="G3702" t="s">
        <v>17</v>
      </c>
      <c r="H3702" s="1">
        <v>45481</v>
      </c>
      <c r="I3702" s="1">
        <v>45484</v>
      </c>
      <c r="J3702" t="str">
        <f t="shared" si="57"/>
        <v>Jul-2024</v>
      </c>
    </row>
    <row r="3703" spans="1:10">
      <c r="A3703">
        <v>3702</v>
      </c>
      <c r="B3703">
        <v>16346</v>
      </c>
      <c r="C3703" t="s">
        <v>23</v>
      </c>
      <c r="D3703">
        <v>155171.76999999999</v>
      </c>
      <c r="E3703" t="s">
        <v>16</v>
      </c>
      <c r="F3703">
        <v>21</v>
      </c>
      <c r="G3703" t="s">
        <v>25</v>
      </c>
      <c r="H3703" s="1">
        <v>45525</v>
      </c>
      <c r="I3703" s="1">
        <v>45546</v>
      </c>
      <c r="J3703" t="str">
        <f t="shared" si="57"/>
        <v>Aug-2024</v>
      </c>
    </row>
    <row r="3704" spans="1:10">
      <c r="A3704">
        <v>3703</v>
      </c>
      <c r="B3704">
        <v>16849</v>
      </c>
      <c r="C3704" t="s">
        <v>22</v>
      </c>
      <c r="D3704">
        <v>49125.11</v>
      </c>
      <c r="E3704" t="s">
        <v>16</v>
      </c>
      <c r="F3704">
        <v>32</v>
      </c>
      <c r="G3704" t="s">
        <v>20</v>
      </c>
      <c r="H3704" s="1">
        <v>45467</v>
      </c>
      <c r="I3704" s="1">
        <v>45499</v>
      </c>
      <c r="J3704" t="str">
        <f t="shared" si="57"/>
        <v>Jun-2024</v>
      </c>
    </row>
    <row r="3705" spans="1:10">
      <c r="A3705">
        <v>3704</v>
      </c>
      <c r="B3705">
        <v>16686</v>
      </c>
      <c r="C3705" t="s">
        <v>18</v>
      </c>
      <c r="D3705">
        <v>195202.7</v>
      </c>
      <c r="E3705" t="s">
        <v>19</v>
      </c>
      <c r="F3705">
        <v>10</v>
      </c>
      <c r="G3705" t="s">
        <v>25</v>
      </c>
      <c r="H3705" s="1">
        <v>45523</v>
      </c>
      <c r="I3705" s="1">
        <v>45533</v>
      </c>
      <c r="J3705" t="str">
        <f t="shared" si="57"/>
        <v>Aug-2024</v>
      </c>
    </row>
    <row r="3706" spans="1:10">
      <c r="A3706">
        <v>3705</v>
      </c>
      <c r="B3706">
        <v>12650</v>
      </c>
      <c r="C3706" t="s">
        <v>23</v>
      </c>
      <c r="D3706">
        <v>199060.51</v>
      </c>
      <c r="E3706" t="s">
        <v>24</v>
      </c>
      <c r="G3706" t="s">
        <v>17</v>
      </c>
      <c r="H3706" s="1">
        <v>45649</v>
      </c>
      <c r="J3706" t="str">
        <f t="shared" si="57"/>
        <v>Dec-2024</v>
      </c>
    </row>
    <row r="3707" spans="1:10">
      <c r="A3707">
        <v>3706</v>
      </c>
      <c r="B3707">
        <v>14345</v>
      </c>
      <c r="C3707" t="s">
        <v>22</v>
      </c>
      <c r="D3707">
        <v>19741.2</v>
      </c>
      <c r="E3707" t="s">
        <v>24</v>
      </c>
      <c r="G3707" t="s">
        <v>17</v>
      </c>
      <c r="H3707" s="1">
        <v>45354</v>
      </c>
      <c r="J3707" t="str">
        <f t="shared" si="57"/>
        <v>Mar-2024</v>
      </c>
    </row>
    <row r="3708" spans="1:10">
      <c r="A3708">
        <v>3707</v>
      </c>
      <c r="B3708">
        <v>10877</v>
      </c>
      <c r="C3708" t="s">
        <v>23</v>
      </c>
      <c r="D3708">
        <v>187607.05</v>
      </c>
      <c r="E3708" t="s">
        <v>19</v>
      </c>
      <c r="F3708">
        <v>40</v>
      </c>
      <c r="G3708" t="s">
        <v>21</v>
      </c>
      <c r="H3708" s="1">
        <v>45528</v>
      </c>
      <c r="I3708" s="1">
        <v>45568</v>
      </c>
      <c r="J3708" t="str">
        <f t="shared" si="57"/>
        <v>Aug-2024</v>
      </c>
    </row>
    <row r="3709" spans="1:10">
      <c r="A3709">
        <v>3708</v>
      </c>
      <c r="B3709">
        <v>11886</v>
      </c>
      <c r="C3709" t="s">
        <v>23</v>
      </c>
      <c r="D3709">
        <v>61442.59</v>
      </c>
      <c r="E3709" t="s">
        <v>16</v>
      </c>
      <c r="F3709">
        <v>38</v>
      </c>
      <c r="G3709" t="s">
        <v>20</v>
      </c>
      <c r="H3709" s="1">
        <v>45324</v>
      </c>
      <c r="I3709" s="1">
        <v>45362</v>
      </c>
      <c r="J3709" t="str">
        <f t="shared" si="57"/>
        <v>Feb-2024</v>
      </c>
    </row>
    <row r="3710" spans="1:10">
      <c r="A3710">
        <v>3709</v>
      </c>
      <c r="B3710">
        <v>11303</v>
      </c>
      <c r="C3710" t="s">
        <v>23</v>
      </c>
      <c r="D3710">
        <v>139410.4</v>
      </c>
      <c r="E3710" t="s">
        <v>16</v>
      </c>
      <c r="F3710">
        <v>30</v>
      </c>
      <c r="G3710" t="s">
        <v>21</v>
      </c>
      <c r="H3710" s="1">
        <v>45504</v>
      </c>
      <c r="I3710" s="1">
        <v>45534</v>
      </c>
      <c r="J3710" t="str">
        <f t="shared" si="57"/>
        <v>Jul-2024</v>
      </c>
    </row>
    <row r="3711" spans="1:10">
      <c r="A3711">
        <v>3710</v>
      </c>
      <c r="B3711">
        <v>11740</v>
      </c>
      <c r="C3711" t="s">
        <v>23</v>
      </c>
      <c r="D3711">
        <v>70931.63</v>
      </c>
      <c r="E3711" t="s">
        <v>16</v>
      </c>
      <c r="F3711">
        <v>20</v>
      </c>
      <c r="G3711" t="s">
        <v>17</v>
      </c>
      <c r="H3711" s="1">
        <v>45351</v>
      </c>
      <c r="I3711" s="1">
        <v>45371</v>
      </c>
      <c r="J3711" t="str">
        <f t="shared" si="57"/>
        <v>Feb-2024</v>
      </c>
    </row>
    <row r="3712" spans="1:10">
      <c r="A3712">
        <v>3711</v>
      </c>
      <c r="B3712">
        <v>11112</v>
      </c>
      <c r="C3712" t="s">
        <v>23</v>
      </c>
      <c r="D3712">
        <v>193712.09</v>
      </c>
      <c r="E3712" t="s">
        <v>16</v>
      </c>
      <c r="F3712">
        <v>36</v>
      </c>
      <c r="G3712" t="s">
        <v>25</v>
      </c>
      <c r="H3712" s="1">
        <v>45293</v>
      </c>
      <c r="I3712" s="1">
        <v>45329</v>
      </c>
      <c r="J3712" t="str">
        <f t="shared" si="57"/>
        <v>Jan-2024</v>
      </c>
    </row>
    <row r="3713" spans="1:10">
      <c r="A3713">
        <v>3712</v>
      </c>
      <c r="B3713">
        <v>13876</v>
      </c>
      <c r="C3713" t="s">
        <v>23</v>
      </c>
      <c r="D3713">
        <v>24793.25</v>
      </c>
      <c r="E3713" t="s">
        <v>19</v>
      </c>
      <c r="F3713">
        <v>39</v>
      </c>
      <c r="G3713" t="s">
        <v>21</v>
      </c>
      <c r="H3713" s="1">
        <v>45348</v>
      </c>
      <c r="I3713" s="1">
        <v>45387</v>
      </c>
      <c r="J3713" t="str">
        <f t="shared" si="57"/>
        <v>Feb-2024</v>
      </c>
    </row>
    <row r="3714" spans="1:10">
      <c r="A3714">
        <v>3713</v>
      </c>
      <c r="B3714">
        <v>16040</v>
      </c>
      <c r="C3714" t="s">
        <v>23</v>
      </c>
      <c r="D3714">
        <v>102060.63</v>
      </c>
      <c r="E3714" t="s">
        <v>16</v>
      </c>
      <c r="F3714">
        <v>27</v>
      </c>
      <c r="G3714" t="s">
        <v>21</v>
      </c>
      <c r="H3714" s="1">
        <v>45592</v>
      </c>
      <c r="I3714" s="1">
        <v>45619</v>
      </c>
      <c r="J3714" t="str">
        <f t="shared" si="57"/>
        <v>Oct-2024</v>
      </c>
    </row>
    <row r="3715" spans="1:10">
      <c r="A3715">
        <v>3714</v>
      </c>
      <c r="B3715">
        <v>17452</v>
      </c>
      <c r="C3715" t="s">
        <v>23</v>
      </c>
      <c r="D3715">
        <v>88469.32</v>
      </c>
      <c r="E3715" t="s">
        <v>16</v>
      </c>
      <c r="F3715">
        <v>12</v>
      </c>
      <c r="G3715" t="s">
        <v>25</v>
      </c>
      <c r="H3715" s="1">
        <v>45578</v>
      </c>
      <c r="I3715" s="1">
        <v>45590</v>
      </c>
      <c r="J3715" t="str">
        <f t="shared" ref="J3715:J3778" si="58">TEXT(H3715,"mmm-yyyy")</f>
        <v>Oct-2024</v>
      </c>
    </row>
    <row r="3716" spans="1:10">
      <c r="A3716">
        <v>3715</v>
      </c>
      <c r="B3716">
        <v>16118</v>
      </c>
      <c r="C3716" t="s">
        <v>18</v>
      </c>
      <c r="D3716">
        <v>68574.570000000007</v>
      </c>
      <c r="E3716" t="s">
        <v>19</v>
      </c>
      <c r="F3716">
        <v>37</v>
      </c>
      <c r="G3716" t="s">
        <v>21</v>
      </c>
      <c r="H3716" s="1">
        <v>45429</v>
      </c>
      <c r="I3716" s="1">
        <v>45466</v>
      </c>
      <c r="J3716" t="str">
        <f t="shared" si="58"/>
        <v>May-2024</v>
      </c>
    </row>
    <row r="3717" spans="1:10">
      <c r="A3717">
        <v>3716</v>
      </c>
      <c r="B3717">
        <v>18439</v>
      </c>
      <c r="C3717" t="s">
        <v>15</v>
      </c>
      <c r="D3717">
        <v>130879.13</v>
      </c>
      <c r="E3717" t="s">
        <v>16</v>
      </c>
      <c r="F3717">
        <v>36</v>
      </c>
      <c r="G3717" t="s">
        <v>25</v>
      </c>
      <c r="H3717" s="1">
        <v>45570</v>
      </c>
      <c r="I3717" s="1">
        <v>45606</v>
      </c>
      <c r="J3717" t="str">
        <f t="shared" si="58"/>
        <v>Oct-2024</v>
      </c>
    </row>
    <row r="3718" spans="1:10">
      <c r="A3718">
        <v>3717</v>
      </c>
      <c r="B3718">
        <v>16795</v>
      </c>
      <c r="C3718" t="s">
        <v>23</v>
      </c>
      <c r="D3718">
        <v>30555.87</v>
      </c>
      <c r="E3718" t="s">
        <v>16</v>
      </c>
      <c r="F3718">
        <v>5</v>
      </c>
      <c r="G3718" t="s">
        <v>20</v>
      </c>
      <c r="H3718" s="1">
        <v>45505</v>
      </c>
      <c r="I3718" s="1">
        <v>45510</v>
      </c>
      <c r="J3718" t="str">
        <f t="shared" si="58"/>
        <v>Aug-2024</v>
      </c>
    </row>
    <row r="3719" spans="1:10">
      <c r="A3719">
        <v>3718</v>
      </c>
      <c r="B3719">
        <v>17044</v>
      </c>
      <c r="C3719" t="s">
        <v>23</v>
      </c>
      <c r="D3719">
        <v>144749.17000000001</v>
      </c>
      <c r="E3719" t="s">
        <v>16</v>
      </c>
      <c r="F3719">
        <v>4</v>
      </c>
      <c r="G3719" t="s">
        <v>25</v>
      </c>
      <c r="H3719" s="1">
        <v>45530</v>
      </c>
      <c r="I3719" s="1">
        <v>45534</v>
      </c>
      <c r="J3719" t="str">
        <f t="shared" si="58"/>
        <v>Aug-2024</v>
      </c>
    </row>
    <row r="3720" spans="1:10">
      <c r="A3720">
        <v>3719</v>
      </c>
      <c r="B3720">
        <v>10567</v>
      </c>
      <c r="C3720" t="s">
        <v>23</v>
      </c>
      <c r="D3720">
        <v>196215.46</v>
      </c>
      <c r="E3720" t="s">
        <v>16</v>
      </c>
      <c r="F3720">
        <v>13</v>
      </c>
      <c r="G3720" t="s">
        <v>20</v>
      </c>
      <c r="H3720" s="1">
        <v>45576</v>
      </c>
      <c r="I3720" s="1">
        <v>45589</v>
      </c>
      <c r="J3720" t="str">
        <f t="shared" si="58"/>
        <v>Oct-2024</v>
      </c>
    </row>
    <row r="3721" spans="1:10">
      <c r="A3721">
        <v>3720</v>
      </c>
      <c r="B3721">
        <v>15958</v>
      </c>
      <c r="C3721" t="s">
        <v>23</v>
      </c>
      <c r="D3721">
        <v>161888.95000000001</v>
      </c>
      <c r="E3721" t="s">
        <v>16</v>
      </c>
      <c r="F3721">
        <v>33</v>
      </c>
      <c r="G3721" t="s">
        <v>25</v>
      </c>
      <c r="H3721" s="1">
        <v>45322</v>
      </c>
      <c r="I3721" s="1">
        <v>45355</v>
      </c>
      <c r="J3721" t="str">
        <f t="shared" si="58"/>
        <v>Jan-2024</v>
      </c>
    </row>
    <row r="3722" spans="1:10">
      <c r="A3722">
        <v>3721</v>
      </c>
      <c r="B3722">
        <v>19380</v>
      </c>
      <c r="C3722" t="s">
        <v>18</v>
      </c>
      <c r="D3722">
        <v>172703.27</v>
      </c>
      <c r="E3722" t="s">
        <v>16</v>
      </c>
      <c r="F3722">
        <v>27</v>
      </c>
      <c r="G3722" t="s">
        <v>17</v>
      </c>
      <c r="H3722" s="1">
        <v>45497</v>
      </c>
      <c r="I3722" s="1">
        <v>45524</v>
      </c>
      <c r="J3722" t="str">
        <f t="shared" si="58"/>
        <v>Jul-2024</v>
      </c>
    </row>
    <row r="3723" spans="1:10">
      <c r="A3723">
        <v>3722</v>
      </c>
      <c r="B3723">
        <v>11353</v>
      </c>
      <c r="C3723" t="s">
        <v>18</v>
      </c>
      <c r="D3723">
        <v>75129.16</v>
      </c>
      <c r="E3723" t="s">
        <v>16</v>
      </c>
      <c r="F3723">
        <v>44</v>
      </c>
      <c r="G3723" t="s">
        <v>17</v>
      </c>
      <c r="H3723" s="1">
        <v>45565</v>
      </c>
      <c r="I3723" s="1">
        <v>45609</v>
      </c>
      <c r="J3723" t="str">
        <f t="shared" si="58"/>
        <v>Sep-2024</v>
      </c>
    </row>
    <row r="3724" spans="1:10">
      <c r="A3724">
        <v>3723</v>
      </c>
      <c r="B3724">
        <v>15029</v>
      </c>
      <c r="C3724" t="s">
        <v>23</v>
      </c>
      <c r="D3724">
        <v>68352.89</v>
      </c>
      <c r="E3724" t="s">
        <v>19</v>
      </c>
      <c r="F3724">
        <v>44</v>
      </c>
      <c r="G3724" t="s">
        <v>20</v>
      </c>
      <c r="H3724" s="1">
        <v>45302</v>
      </c>
      <c r="I3724" s="1">
        <v>45346</v>
      </c>
      <c r="J3724" t="str">
        <f t="shared" si="58"/>
        <v>Jan-2024</v>
      </c>
    </row>
    <row r="3725" spans="1:10">
      <c r="A3725">
        <v>3724</v>
      </c>
      <c r="B3725">
        <v>19172</v>
      </c>
      <c r="C3725" t="s">
        <v>23</v>
      </c>
      <c r="D3725">
        <v>105824.43</v>
      </c>
      <c r="E3725" t="s">
        <v>24</v>
      </c>
      <c r="G3725" t="s">
        <v>20</v>
      </c>
      <c r="H3725" s="1">
        <v>45650</v>
      </c>
      <c r="J3725" t="str">
        <f t="shared" si="58"/>
        <v>Dec-2024</v>
      </c>
    </row>
    <row r="3726" spans="1:10">
      <c r="A3726">
        <v>3725</v>
      </c>
      <c r="B3726">
        <v>14965</v>
      </c>
      <c r="C3726" t="s">
        <v>23</v>
      </c>
      <c r="D3726">
        <v>13916.69</v>
      </c>
      <c r="E3726" t="s">
        <v>16</v>
      </c>
      <c r="F3726">
        <v>39</v>
      </c>
      <c r="G3726" t="s">
        <v>17</v>
      </c>
      <c r="H3726" s="1">
        <v>45338</v>
      </c>
      <c r="I3726" s="1">
        <v>45377</v>
      </c>
      <c r="J3726" t="str">
        <f t="shared" si="58"/>
        <v>Feb-2024</v>
      </c>
    </row>
    <row r="3727" spans="1:10">
      <c r="A3727">
        <v>3726</v>
      </c>
      <c r="B3727">
        <v>10168</v>
      </c>
      <c r="C3727" t="s">
        <v>18</v>
      </c>
      <c r="D3727">
        <v>189344.84</v>
      </c>
      <c r="E3727" t="s">
        <v>16</v>
      </c>
      <c r="F3727">
        <v>30</v>
      </c>
      <c r="G3727" t="s">
        <v>20</v>
      </c>
      <c r="H3727" s="1">
        <v>45294</v>
      </c>
      <c r="I3727" s="1">
        <v>45324</v>
      </c>
      <c r="J3727" t="str">
        <f t="shared" si="58"/>
        <v>Jan-2024</v>
      </c>
    </row>
    <row r="3728" spans="1:10">
      <c r="A3728">
        <v>3727</v>
      </c>
      <c r="B3728">
        <v>17712</v>
      </c>
      <c r="C3728" t="s">
        <v>23</v>
      </c>
      <c r="D3728">
        <v>33038.11</v>
      </c>
      <c r="E3728" t="s">
        <v>19</v>
      </c>
      <c r="F3728">
        <v>20</v>
      </c>
      <c r="G3728" t="s">
        <v>25</v>
      </c>
      <c r="H3728" s="1">
        <v>45421</v>
      </c>
      <c r="I3728" s="1">
        <v>45441</v>
      </c>
      <c r="J3728" t="str">
        <f t="shared" si="58"/>
        <v>May-2024</v>
      </c>
    </row>
    <row r="3729" spans="1:10">
      <c r="A3729">
        <v>3728</v>
      </c>
      <c r="B3729">
        <v>12671</v>
      </c>
      <c r="C3729" t="s">
        <v>22</v>
      </c>
      <c r="D3729">
        <v>181087.54</v>
      </c>
      <c r="E3729" t="s">
        <v>24</v>
      </c>
      <c r="G3729" t="s">
        <v>25</v>
      </c>
      <c r="H3729" s="1">
        <v>45363</v>
      </c>
      <c r="J3729" t="str">
        <f t="shared" si="58"/>
        <v>Mar-2024</v>
      </c>
    </row>
    <row r="3730" spans="1:10">
      <c r="A3730">
        <v>3729</v>
      </c>
      <c r="B3730">
        <v>10378</v>
      </c>
      <c r="C3730" t="s">
        <v>18</v>
      </c>
      <c r="D3730">
        <v>21298.53</v>
      </c>
      <c r="E3730" t="s">
        <v>16</v>
      </c>
      <c r="F3730">
        <v>42</v>
      </c>
      <c r="G3730" t="s">
        <v>17</v>
      </c>
      <c r="H3730" s="1">
        <v>45450</v>
      </c>
      <c r="I3730" s="1">
        <v>45492</v>
      </c>
      <c r="J3730" t="str">
        <f t="shared" si="58"/>
        <v>Jun-2024</v>
      </c>
    </row>
    <row r="3731" spans="1:10">
      <c r="A3731">
        <v>3730</v>
      </c>
      <c r="B3731">
        <v>11932</v>
      </c>
      <c r="C3731" t="s">
        <v>23</v>
      </c>
      <c r="D3731">
        <v>165411.85999999999</v>
      </c>
      <c r="E3731" t="s">
        <v>16</v>
      </c>
      <c r="F3731">
        <v>28</v>
      </c>
      <c r="G3731" t="s">
        <v>21</v>
      </c>
      <c r="H3731" s="1">
        <v>45421</v>
      </c>
      <c r="I3731" s="1">
        <v>45449</v>
      </c>
      <c r="J3731" t="str">
        <f t="shared" si="58"/>
        <v>May-2024</v>
      </c>
    </row>
    <row r="3732" spans="1:10">
      <c r="A3732">
        <v>3731</v>
      </c>
      <c r="B3732">
        <v>10193</v>
      </c>
      <c r="C3732" t="s">
        <v>18</v>
      </c>
      <c r="D3732">
        <v>34632.69</v>
      </c>
      <c r="E3732" t="s">
        <v>19</v>
      </c>
      <c r="F3732">
        <v>32</v>
      </c>
      <c r="G3732" t="s">
        <v>25</v>
      </c>
      <c r="H3732" s="1">
        <v>45313</v>
      </c>
      <c r="I3732" s="1">
        <v>45345</v>
      </c>
      <c r="J3732" t="str">
        <f t="shared" si="58"/>
        <v>Jan-2024</v>
      </c>
    </row>
    <row r="3733" spans="1:10">
      <c r="A3733">
        <v>3732</v>
      </c>
      <c r="B3733">
        <v>18455</v>
      </c>
      <c r="C3733" t="s">
        <v>22</v>
      </c>
      <c r="D3733">
        <v>12435.66</v>
      </c>
      <c r="E3733" t="s">
        <v>16</v>
      </c>
      <c r="F3733">
        <v>4</v>
      </c>
      <c r="G3733" t="s">
        <v>20</v>
      </c>
      <c r="H3733" s="1">
        <v>45426</v>
      </c>
      <c r="I3733" s="1">
        <v>45430</v>
      </c>
      <c r="J3733" t="str">
        <f t="shared" si="58"/>
        <v>May-2024</v>
      </c>
    </row>
    <row r="3734" spans="1:10">
      <c r="A3734">
        <v>3733</v>
      </c>
      <c r="B3734">
        <v>19663</v>
      </c>
      <c r="C3734" t="s">
        <v>18</v>
      </c>
      <c r="D3734">
        <v>145300.44</v>
      </c>
      <c r="E3734" t="s">
        <v>16</v>
      </c>
      <c r="F3734">
        <v>36</v>
      </c>
      <c r="G3734" t="s">
        <v>21</v>
      </c>
      <c r="H3734" s="1">
        <v>45311</v>
      </c>
      <c r="I3734" s="1">
        <v>45347</v>
      </c>
      <c r="J3734" t="str">
        <f t="shared" si="58"/>
        <v>Jan-2024</v>
      </c>
    </row>
    <row r="3735" spans="1:10">
      <c r="A3735">
        <v>3734</v>
      </c>
      <c r="B3735">
        <v>14616</v>
      </c>
      <c r="C3735" t="s">
        <v>23</v>
      </c>
      <c r="D3735">
        <v>59651.73</v>
      </c>
      <c r="E3735" t="s">
        <v>16</v>
      </c>
      <c r="F3735">
        <v>25</v>
      </c>
      <c r="G3735" t="s">
        <v>21</v>
      </c>
      <c r="H3735" s="1">
        <v>45511</v>
      </c>
      <c r="I3735" s="1">
        <v>45536</v>
      </c>
      <c r="J3735" t="str">
        <f t="shared" si="58"/>
        <v>Aug-2024</v>
      </c>
    </row>
    <row r="3736" spans="1:10">
      <c r="A3736">
        <v>3735</v>
      </c>
      <c r="B3736">
        <v>15014</v>
      </c>
      <c r="C3736" t="s">
        <v>23</v>
      </c>
      <c r="D3736">
        <v>144326.75</v>
      </c>
      <c r="E3736" t="s">
        <v>16</v>
      </c>
      <c r="F3736">
        <v>8</v>
      </c>
      <c r="G3736" t="s">
        <v>25</v>
      </c>
      <c r="H3736" s="1">
        <v>45624</v>
      </c>
      <c r="I3736" s="1">
        <v>45632</v>
      </c>
      <c r="J3736" t="str">
        <f t="shared" si="58"/>
        <v>Nov-2024</v>
      </c>
    </row>
    <row r="3737" spans="1:10">
      <c r="A3737">
        <v>3736</v>
      </c>
      <c r="B3737">
        <v>17878</v>
      </c>
      <c r="C3737" t="s">
        <v>15</v>
      </c>
      <c r="D3737">
        <v>113241.62</v>
      </c>
      <c r="E3737" t="s">
        <v>16</v>
      </c>
      <c r="F3737">
        <v>36</v>
      </c>
      <c r="G3737" t="s">
        <v>25</v>
      </c>
      <c r="H3737" s="1">
        <v>45421</v>
      </c>
      <c r="I3737" s="1">
        <v>45457</v>
      </c>
      <c r="J3737" t="str">
        <f t="shared" si="58"/>
        <v>May-2024</v>
      </c>
    </row>
    <row r="3738" spans="1:10">
      <c r="A3738">
        <v>3737</v>
      </c>
      <c r="B3738">
        <v>11300</v>
      </c>
      <c r="C3738" t="s">
        <v>18</v>
      </c>
      <c r="D3738">
        <v>26217.439999999999</v>
      </c>
      <c r="E3738" t="s">
        <v>16</v>
      </c>
      <c r="F3738">
        <v>22</v>
      </c>
      <c r="G3738" t="s">
        <v>21</v>
      </c>
      <c r="H3738" s="1">
        <v>45323</v>
      </c>
      <c r="I3738" s="1">
        <v>45345</v>
      </c>
      <c r="J3738" t="str">
        <f t="shared" si="58"/>
        <v>Feb-2024</v>
      </c>
    </row>
    <row r="3739" spans="1:10">
      <c r="A3739">
        <v>3738</v>
      </c>
      <c r="B3739">
        <v>13200</v>
      </c>
      <c r="C3739" t="s">
        <v>18</v>
      </c>
      <c r="D3739">
        <v>186765.36</v>
      </c>
      <c r="E3739" t="s">
        <v>19</v>
      </c>
      <c r="F3739">
        <v>2</v>
      </c>
      <c r="G3739" t="s">
        <v>21</v>
      </c>
      <c r="H3739" s="1">
        <v>45381</v>
      </c>
      <c r="I3739" s="1">
        <v>45383</v>
      </c>
      <c r="J3739" t="str">
        <f t="shared" si="58"/>
        <v>Mar-2024</v>
      </c>
    </row>
    <row r="3740" spans="1:10">
      <c r="A3740">
        <v>3739</v>
      </c>
      <c r="B3740">
        <v>13373</v>
      </c>
      <c r="C3740" t="s">
        <v>15</v>
      </c>
      <c r="D3740">
        <v>93201.26</v>
      </c>
      <c r="E3740" t="s">
        <v>16</v>
      </c>
      <c r="F3740">
        <v>7</v>
      </c>
      <c r="G3740" t="s">
        <v>17</v>
      </c>
      <c r="H3740" s="1">
        <v>45550</v>
      </c>
      <c r="I3740" s="1">
        <v>45557</v>
      </c>
      <c r="J3740" t="str">
        <f t="shared" si="58"/>
        <v>Sep-2024</v>
      </c>
    </row>
    <row r="3741" spans="1:10">
      <c r="A3741">
        <v>3740</v>
      </c>
      <c r="B3741">
        <v>18765</v>
      </c>
      <c r="C3741" t="s">
        <v>15</v>
      </c>
      <c r="D3741">
        <v>148217.22</v>
      </c>
      <c r="E3741" t="s">
        <v>16</v>
      </c>
      <c r="F3741">
        <v>40</v>
      </c>
      <c r="G3741" t="s">
        <v>20</v>
      </c>
      <c r="H3741" s="1">
        <v>45589</v>
      </c>
      <c r="I3741" s="1">
        <v>45629</v>
      </c>
      <c r="J3741" t="str">
        <f t="shared" si="58"/>
        <v>Oct-2024</v>
      </c>
    </row>
    <row r="3742" spans="1:10">
      <c r="A3742">
        <v>3741</v>
      </c>
      <c r="B3742">
        <v>19729</v>
      </c>
      <c r="C3742" t="s">
        <v>22</v>
      </c>
      <c r="D3742">
        <v>102699.01</v>
      </c>
      <c r="E3742" t="s">
        <v>16</v>
      </c>
      <c r="F3742">
        <v>35</v>
      </c>
      <c r="G3742" t="s">
        <v>17</v>
      </c>
      <c r="H3742" s="1">
        <v>45624</v>
      </c>
      <c r="I3742" s="1">
        <v>45659</v>
      </c>
      <c r="J3742" t="str">
        <f t="shared" si="58"/>
        <v>Nov-2024</v>
      </c>
    </row>
    <row r="3743" spans="1:10">
      <c r="A3743">
        <v>3742</v>
      </c>
      <c r="B3743">
        <v>11383</v>
      </c>
      <c r="C3743" t="s">
        <v>23</v>
      </c>
      <c r="D3743">
        <v>122850.49</v>
      </c>
      <c r="E3743" t="s">
        <v>19</v>
      </c>
      <c r="F3743">
        <v>19</v>
      </c>
      <c r="G3743" t="s">
        <v>25</v>
      </c>
      <c r="H3743" s="1">
        <v>45540</v>
      </c>
      <c r="I3743" s="1">
        <v>45559</v>
      </c>
      <c r="J3743" t="str">
        <f t="shared" si="58"/>
        <v>Sep-2024</v>
      </c>
    </row>
    <row r="3744" spans="1:10">
      <c r="A3744">
        <v>3743</v>
      </c>
      <c r="B3744">
        <v>19572</v>
      </c>
      <c r="C3744" t="s">
        <v>18</v>
      </c>
      <c r="D3744">
        <v>64040.85</v>
      </c>
      <c r="E3744" t="s">
        <v>16</v>
      </c>
      <c r="F3744">
        <v>26</v>
      </c>
      <c r="G3744" t="s">
        <v>17</v>
      </c>
      <c r="H3744" s="1">
        <v>45464</v>
      </c>
      <c r="I3744" s="1">
        <v>45490</v>
      </c>
      <c r="J3744" t="str">
        <f t="shared" si="58"/>
        <v>Jun-2024</v>
      </c>
    </row>
    <row r="3745" spans="1:10">
      <c r="A3745">
        <v>3744</v>
      </c>
      <c r="B3745">
        <v>13537</v>
      </c>
      <c r="C3745" t="s">
        <v>18</v>
      </c>
      <c r="D3745">
        <v>44070.26</v>
      </c>
      <c r="E3745" t="s">
        <v>16</v>
      </c>
      <c r="F3745">
        <v>16</v>
      </c>
      <c r="G3745" t="s">
        <v>17</v>
      </c>
      <c r="H3745" s="1">
        <v>45648</v>
      </c>
      <c r="I3745" s="1">
        <v>45664</v>
      </c>
      <c r="J3745" t="str">
        <f t="shared" si="58"/>
        <v>Dec-2024</v>
      </c>
    </row>
    <row r="3746" spans="1:10">
      <c r="A3746">
        <v>3745</v>
      </c>
      <c r="B3746">
        <v>17924</v>
      </c>
      <c r="C3746" t="s">
        <v>18</v>
      </c>
      <c r="D3746">
        <v>110801.19</v>
      </c>
      <c r="E3746" t="s">
        <v>16</v>
      </c>
      <c r="F3746">
        <v>33</v>
      </c>
      <c r="G3746" t="s">
        <v>17</v>
      </c>
      <c r="H3746" s="1">
        <v>45338</v>
      </c>
      <c r="I3746" s="1">
        <v>45371</v>
      </c>
      <c r="J3746" t="str">
        <f t="shared" si="58"/>
        <v>Feb-2024</v>
      </c>
    </row>
    <row r="3747" spans="1:10">
      <c r="A3747">
        <v>3746</v>
      </c>
      <c r="B3747">
        <v>19715</v>
      </c>
      <c r="C3747" t="s">
        <v>18</v>
      </c>
      <c r="D3747">
        <v>90842.7</v>
      </c>
      <c r="E3747" t="s">
        <v>19</v>
      </c>
      <c r="F3747">
        <v>43</v>
      </c>
      <c r="G3747" t="s">
        <v>17</v>
      </c>
      <c r="H3747" s="1">
        <v>45488</v>
      </c>
      <c r="I3747" s="1">
        <v>45531</v>
      </c>
      <c r="J3747" t="str">
        <f t="shared" si="58"/>
        <v>Jul-2024</v>
      </c>
    </row>
    <row r="3748" spans="1:10">
      <c r="A3748">
        <v>3747</v>
      </c>
      <c r="B3748">
        <v>14991</v>
      </c>
      <c r="C3748" t="s">
        <v>23</v>
      </c>
      <c r="D3748">
        <v>81072.08</v>
      </c>
      <c r="E3748" t="s">
        <v>16</v>
      </c>
      <c r="F3748">
        <v>19</v>
      </c>
      <c r="G3748" t="s">
        <v>20</v>
      </c>
      <c r="H3748" s="1">
        <v>45325</v>
      </c>
      <c r="I3748" s="1">
        <v>45344</v>
      </c>
      <c r="J3748" t="str">
        <f t="shared" si="58"/>
        <v>Feb-2024</v>
      </c>
    </row>
    <row r="3749" spans="1:10">
      <c r="A3749">
        <v>3748</v>
      </c>
      <c r="B3749">
        <v>15202</v>
      </c>
      <c r="C3749" t="s">
        <v>18</v>
      </c>
      <c r="D3749">
        <v>136150.6</v>
      </c>
      <c r="E3749" t="s">
        <v>16</v>
      </c>
      <c r="F3749">
        <v>32</v>
      </c>
      <c r="G3749" t="s">
        <v>20</v>
      </c>
      <c r="H3749" s="1">
        <v>45545</v>
      </c>
      <c r="I3749" s="1">
        <v>45577</v>
      </c>
      <c r="J3749" t="str">
        <f t="shared" si="58"/>
        <v>Sep-2024</v>
      </c>
    </row>
    <row r="3750" spans="1:10">
      <c r="A3750">
        <v>3749</v>
      </c>
      <c r="B3750">
        <v>13932</v>
      </c>
      <c r="C3750" t="s">
        <v>18</v>
      </c>
      <c r="D3750">
        <v>139648.79</v>
      </c>
      <c r="E3750" t="s">
        <v>16</v>
      </c>
      <c r="F3750">
        <v>30</v>
      </c>
      <c r="G3750" t="s">
        <v>21</v>
      </c>
      <c r="H3750" s="1">
        <v>45539</v>
      </c>
      <c r="I3750" s="1">
        <v>45569</v>
      </c>
      <c r="J3750" t="str">
        <f t="shared" si="58"/>
        <v>Sep-2024</v>
      </c>
    </row>
    <row r="3751" spans="1:10">
      <c r="A3751">
        <v>3750</v>
      </c>
      <c r="B3751">
        <v>13622</v>
      </c>
      <c r="C3751" t="s">
        <v>23</v>
      </c>
      <c r="D3751">
        <v>13954.41</v>
      </c>
      <c r="E3751" t="s">
        <v>19</v>
      </c>
      <c r="F3751">
        <v>16</v>
      </c>
      <c r="G3751" t="s">
        <v>25</v>
      </c>
      <c r="H3751" s="1">
        <v>45333</v>
      </c>
      <c r="I3751" s="1">
        <v>45349</v>
      </c>
      <c r="J3751" t="str">
        <f t="shared" si="58"/>
        <v>Feb-2024</v>
      </c>
    </row>
    <row r="3752" spans="1:10">
      <c r="A3752">
        <v>3751</v>
      </c>
      <c r="B3752">
        <v>19087</v>
      </c>
      <c r="C3752" t="s">
        <v>23</v>
      </c>
      <c r="D3752">
        <v>71055.179999999993</v>
      </c>
      <c r="E3752" t="s">
        <v>16</v>
      </c>
      <c r="F3752">
        <v>24</v>
      </c>
      <c r="G3752" t="s">
        <v>17</v>
      </c>
      <c r="H3752" s="1">
        <v>45580</v>
      </c>
      <c r="I3752" s="1">
        <v>45604</v>
      </c>
      <c r="J3752" t="str">
        <f t="shared" si="58"/>
        <v>Oct-2024</v>
      </c>
    </row>
    <row r="3753" spans="1:10">
      <c r="A3753">
        <v>3752</v>
      </c>
      <c r="B3753">
        <v>10464</v>
      </c>
      <c r="C3753" t="s">
        <v>23</v>
      </c>
      <c r="D3753">
        <v>85294.09</v>
      </c>
      <c r="E3753" t="s">
        <v>19</v>
      </c>
      <c r="F3753">
        <v>39</v>
      </c>
      <c r="G3753" t="s">
        <v>21</v>
      </c>
      <c r="H3753" s="1">
        <v>45414</v>
      </c>
      <c r="I3753" s="1">
        <v>45453</v>
      </c>
      <c r="J3753" t="str">
        <f t="shared" si="58"/>
        <v>May-2024</v>
      </c>
    </row>
    <row r="3754" spans="1:10">
      <c r="A3754">
        <v>3753</v>
      </c>
      <c r="B3754">
        <v>17980</v>
      </c>
      <c r="C3754" t="s">
        <v>23</v>
      </c>
      <c r="D3754">
        <v>23893.97</v>
      </c>
      <c r="E3754" t="s">
        <v>19</v>
      </c>
      <c r="F3754">
        <v>42</v>
      </c>
      <c r="G3754" t="s">
        <v>21</v>
      </c>
      <c r="H3754" s="1">
        <v>45318</v>
      </c>
      <c r="I3754" s="1">
        <v>45360</v>
      </c>
      <c r="J3754" t="str">
        <f t="shared" si="58"/>
        <v>Jan-2024</v>
      </c>
    </row>
    <row r="3755" spans="1:10">
      <c r="A3755">
        <v>3754</v>
      </c>
      <c r="B3755">
        <v>11610</v>
      </c>
      <c r="C3755" t="s">
        <v>23</v>
      </c>
      <c r="D3755">
        <v>51000.67</v>
      </c>
      <c r="E3755" t="s">
        <v>24</v>
      </c>
      <c r="G3755" t="s">
        <v>21</v>
      </c>
      <c r="H3755" s="1">
        <v>45350</v>
      </c>
      <c r="J3755" t="str">
        <f t="shared" si="58"/>
        <v>Feb-2024</v>
      </c>
    </row>
    <row r="3756" spans="1:10">
      <c r="A3756">
        <v>3755</v>
      </c>
      <c r="B3756">
        <v>18804</v>
      </c>
      <c r="C3756" t="s">
        <v>23</v>
      </c>
      <c r="D3756">
        <v>15070.15</v>
      </c>
      <c r="E3756" t="s">
        <v>16</v>
      </c>
      <c r="F3756">
        <v>16</v>
      </c>
      <c r="G3756" t="s">
        <v>20</v>
      </c>
      <c r="H3756" s="1">
        <v>45438</v>
      </c>
      <c r="I3756" s="1">
        <v>45454</v>
      </c>
      <c r="J3756" t="str">
        <f t="shared" si="58"/>
        <v>May-2024</v>
      </c>
    </row>
    <row r="3757" spans="1:10">
      <c r="A3757">
        <v>3756</v>
      </c>
      <c r="B3757">
        <v>10604</v>
      </c>
      <c r="C3757" t="s">
        <v>18</v>
      </c>
      <c r="D3757">
        <v>199267.21</v>
      </c>
      <c r="E3757" t="s">
        <v>24</v>
      </c>
      <c r="G3757" t="s">
        <v>17</v>
      </c>
      <c r="H3757" s="1">
        <v>45406</v>
      </c>
      <c r="J3757" t="str">
        <f t="shared" si="58"/>
        <v>Apr-2024</v>
      </c>
    </row>
    <row r="3758" spans="1:10">
      <c r="A3758">
        <v>3757</v>
      </c>
      <c r="B3758">
        <v>17967</v>
      </c>
      <c r="C3758" t="s">
        <v>18</v>
      </c>
      <c r="D3758">
        <v>148628.65</v>
      </c>
      <c r="E3758" t="s">
        <v>16</v>
      </c>
      <c r="F3758">
        <v>4</v>
      </c>
      <c r="G3758" t="s">
        <v>17</v>
      </c>
      <c r="H3758" s="1">
        <v>45490</v>
      </c>
      <c r="I3758" s="1">
        <v>45494</v>
      </c>
      <c r="J3758" t="str">
        <f t="shared" si="58"/>
        <v>Jul-2024</v>
      </c>
    </row>
    <row r="3759" spans="1:10">
      <c r="A3759">
        <v>3758</v>
      </c>
      <c r="B3759">
        <v>10620</v>
      </c>
      <c r="C3759" t="s">
        <v>18</v>
      </c>
      <c r="D3759">
        <v>22052.78</v>
      </c>
      <c r="E3759" t="s">
        <v>16</v>
      </c>
      <c r="F3759">
        <v>20</v>
      </c>
      <c r="G3759" t="s">
        <v>25</v>
      </c>
      <c r="H3759" s="1">
        <v>45419</v>
      </c>
      <c r="I3759" s="1">
        <v>45439</v>
      </c>
      <c r="J3759" t="str">
        <f t="shared" si="58"/>
        <v>May-2024</v>
      </c>
    </row>
    <row r="3760" spans="1:10">
      <c r="A3760">
        <v>3759</v>
      </c>
      <c r="B3760">
        <v>12602</v>
      </c>
      <c r="C3760" t="s">
        <v>15</v>
      </c>
      <c r="D3760">
        <v>8948.6299999999992</v>
      </c>
      <c r="E3760" t="s">
        <v>19</v>
      </c>
      <c r="F3760">
        <v>2</v>
      </c>
      <c r="G3760" t="s">
        <v>17</v>
      </c>
      <c r="H3760" s="1">
        <v>45444</v>
      </c>
      <c r="I3760" s="1">
        <v>45446</v>
      </c>
      <c r="J3760" t="str">
        <f t="shared" si="58"/>
        <v>Jun-2024</v>
      </c>
    </row>
    <row r="3761" spans="1:10">
      <c r="A3761">
        <v>3760</v>
      </c>
      <c r="B3761">
        <v>16473</v>
      </c>
      <c r="C3761" t="s">
        <v>23</v>
      </c>
      <c r="D3761">
        <v>145261.12</v>
      </c>
      <c r="E3761" t="s">
        <v>16</v>
      </c>
      <c r="F3761">
        <v>25</v>
      </c>
      <c r="G3761" t="s">
        <v>17</v>
      </c>
      <c r="H3761" s="1">
        <v>45562</v>
      </c>
      <c r="I3761" s="1">
        <v>45587</v>
      </c>
      <c r="J3761" t="str">
        <f t="shared" si="58"/>
        <v>Sep-2024</v>
      </c>
    </row>
    <row r="3762" spans="1:10">
      <c r="A3762">
        <v>3761</v>
      </c>
      <c r="B3762">
        <v>13800</v>
      </c>
      <c r="C3762" t="s">
        <v>23</v>
      </c>
      <c r="D3762">
        <v>90642.47</v>
      </c>
      <c r="E3762" t="s">
        <v>16</v>
      </c>
      <c r="F3762">
        <v>12</v>
      </c>
      <c r="G3762" t="s">
        <v>21</v>
      </c>
      <c r="H3762" s="1">
        <v>45630</v>
      </c>
      <c r="I3762" s="1">
        <v>45642</v>
      </c>
      <c r="J3762" t="str">
        <f t="shared" si="58"/>
        <v>Dec-2024</v>
      </c>
    </row>
    <row r="3763" spans="1:10">
      <c r="A3763">
        <v>3762</v>
      </c>
      <c r="B3763">
        <v>17098</v>
      </c>
      <c r="C3763" t="s">
        <v>15</v>
      </c>
      <c r="D3763">
        <v>158425.35999999999</v>
      </c>
      <c r="E3763" t="s">
        <v>16</v>
      </c>
      <c r="F3763">
        <v>31</v>
      </c>
      <c r="G3763" t="s">
        <v>25</v>
      </c>
      <c r="H3763" s="1">
        <v>45374</v>
      </c>
      <c r="I3763" s="1">
        <v>45405</v>
      </c>
      <c r="J3763" t="str">
        <f t="shared" si="58"/>
        <v>Mar-2024</v>
      </c>
    </row>
    <row r="3764" spans="1:10">
      <c r="A3764">
        <v>3763</v>
      </c>
      <c r="B3764">
        <v>16538</v>
      </c>
      <c r="C3764" t="s">
        <v>23</v>
      </c>
      <c r="D3764">
        <v>185077.83</v>
      </c>
      <c r="E3764" t="s">
        <v>16</v>
      </c>
      <c r="F3764">
        <v>12</v>
      </c>
      <c r="G3764" t="s">
        <v>17</v>
      </c>
      <c r="H3764" s="1">
        <v>45314</v>
      </c>
      <c r="I3764" s="1">
        <v>45326</v>
      </c>
      <c r="J3764" t="str">
        <f t="shared" si="58"/>
        <v>Jan-2024</v>
      </c>
    </row>
    <row r="3765" spans="1:10">
      <c r="A3765">
        <v>3764</v>
      </c>
      <c r="B3765">
        <v>10155</v>
      </c>
      <c r="C3765" t="s">
        <v>22</v>
      </c>
      <c r="D3765">
        <v>121863.58</v>
      </c>
      <c r="E3765" t="s">
        <v>16</v>
      </c>
      <c r="F3765">
        <v>40</v>
      </c>
      <c r="G3765" t="s">
        <v>20</v>
      </c>
      <c r="H3765" s="1">
        <v>45302</v>
      </c>
      <c r="I3765" s="1">
        <v>45342</v>
      </c>
      <c r="J3765" t="str">
        <f t="shared" si="58"/>
        <v>Jan-2024</v>
      </c>
    </row>
    <row r="3766" spans="1:10">
      <c r="A3766">
        <v>3765</v>
      </c>
      <c r="B3766">
        <v>18160</v>
      </c>
      <c r="C3766" t="s">
        <v>15</v>
      </c>
      <c r="D3766">
        <v>41486.14</v>
      </c>
      <c r="E3766" t="s">
        <v>19</v>
      </c>
      <c r="F3766">
        <v>2</v>
      </c>
      <c r="G3766" t="s">
        <v>17</v>
      </c>
      <c r="H3766" s="1">
        <v>45478</v>
      </c>
      <c r="I3766" s="1">
        <v>45480</v>
      </c>
      <c r="J3766" t="str">
        <f t="shared" si="58"/>
        <v>Jul-2024</v>
      </c>
    </row>
    <row r="3767" spans="1:10">
      <c r="A3767">
        <v>3766</v>
      </c>
      <c r="B3767">
        <v>16681</v>
      </c>
      <c r="C3767" t="s">
        <v>18</v>
      </c>
      <c r="D3767">
        <v>157527.84</v>
      </c>
      <c r="E3767" t="s">
        <v>19</v>
      </c>
      <c r="F3767">
        <v>13</v>
      </c>
      <c r="G3767" t="s">
        <v>21</v>
      </c>
      <c r="H3767" s="1">
        <v>45407</v>
      </c>
      <c r="I3767" s="1">
        <v>45420</v>
      </c>
      <c r="J3767" t="str">
        <f t="shared" si="58"/>
        <v>Apr-2024</v>
      </c>
    </row>
    <row r="3768" spans="1:10">
      <c r="A3768">
        <v>3767</v>
      </c>
      <c r="B3768">
        <v>12715</v>
      </c>
      <c r="C3768" t="s">
        <v>22</v>
      </c>
      <c r="D3768">
        <v>191383.29</v>
      </c>
      <c r="E3768" t="s">
        <v>16</v>
      </c>
      <c r="F3768">
        <v>5</v>
      </c>
      <c r="G3768" t="s">
        <v>20</v>
      </c>
      <c r="H3768" s="1">
        <v>45453</v>
      </c>
      <c r="I3768" s="1">
        <v>45458</v>
      </c>
      <c r="J3768" t="str">
        <f t="shared" si="58"/>
        <v>Jun-2024</v>
      </c>
    </row>
    <row r="3769" spans="1:10">
      <c r="A3769">
        <v>3768</v>
      </c>
      <c r="B3769">
        <v>14339</v>
      </c>
      <c r="C3769" t="s">
        <v>23</v>
      </c>
      <c r="D3769">
        <v>118145.1</v>
      </c>
      <c r="E3769" t="s">
        <v>16</v>
      </c>
      <c r="F3769">
        <v>26</v>
      </c>
      <c r="G3769" t="s">
        <v>21</v>
      </c>
      <c r="H3769" s="1">
        <v>45394</v>
      </c>
      <c r="I3769" s="1">
        <v>45420</v>
      </c>
      <c r="J3769" t="str">
        <f t="shared" si="58"/>
        <v>Apr-2024</v>
      </c>
    </row>
    <row r="3770" spans="1:10">
      <c r="A3770">
        <v>3769</v>
      </c>
      <c r="B3770">
        <v>18070</v>
      </c>
      <c r="C3770" t="s">
        <v>23</v>
      </c>
      <c r="D3770">
        <v>137989.5</v>
      </c>
      <c r="E3770" t="s">
        <v>24</v>
      </c>
      <c r="G3770" t="s">
        <v>17</v>
      </c>
      <c r="H3770" s="1">
        <v>45534</v>
      </c>
      <c r="J3770" t="str">
        <f t="shared" si="58"/>
        <v>Aug-2024</v>
      </c>
    </row>
    <row r="3771" spans="1:10">
      <c r="A3771">
        <v>3770</v>
      </c>
      <c r="B3771">
        <v>16690</v>
      </c>
      <c r="C3771" t="s">
        <v>18</v>
      </c>
      <c r="D3771">
        <v>70807.570000000007</v>
      </c>
      <c r="E3771" t="s">
        <v>16</v>
      </c>
      <c r="F3771">
        <v>16</v>
      </c>
      <c r="G3771" t="s">
        <v>20</v>
      </c>
      <c r="H3771" s="1">
        <v>45298</v>
      </c>
      <c r="I3771" s="1">
        <v>45314</v>
      </c>
      <c r="J3771" t="str">
        <f t="shared" si="58"/>
        <v>Jan-2024</v>
      </c>
    </row>
    <row r="3772" spans="1:10">
      <c r="A3772">
        <v>3771</v>
      </c>
      <c r="B3772">
        <v>10449</v>
      </c>
      <c r="C3772" t="s">
        <v>23</v>
      </c>
      <c r="D3772">
        <v>79397.899999999994</v>
      </c>
      <c r="E3772" t="s">
        <v>16</v>
      </c>
      <c r="F3772">
        <v>44</v>
      </c>
      <c r="G3772" t="s">
        <v>25</v>
      </c>
      <c r="H3772" s="1">
        <v>45653</v>
      </c>
      <c r="I3772" s="1">
        <v>45697</v>
      </c>
      <c r="J3772" t="str">
        <f t="shared" si="58"/>
        <v>Dec-2024</v>
      </c>
    </row>
    <row r="3773" spans="1:10">
      <c r="A3773">
        <v>3772</v>
      </c>
      <c r="B3773">
        <v>11069</v>
      </c>
      <c r="C3773" t="s">
        <v>22</v>
      </c>
      <c r="D3773">
        <v>148257.63</v>
      </c>
      <c r="E3773" t="s">
        <v>16</v>
      </c>
      <c r="F3773">
        <v>31</v>
      </c>
      <c r="G3773" t="s">
        <v>25</v>
      </c>
      <c r="H3773" s="1">
        <v>45463</v>
      </c>
      <c r="I3773" s="1">
        <v>45494</v>
      </c>
      <c r="J3773" t="str">
        <f t="shared" si="58"/>
        <v>Jun-2024</v>
      </c>
    </row>
    <row r="3774" spans="1:10">
      <c r="A3774">
        <v>3773</v>
      </c>
      <c r="B3774">
        <v>14017</v>
      </c>
      <c r="C3774" t="s">
        <v>23</v>
      </c>
      <c r="D3774">
        <v>185915.36</v>
      </c>
      <c r="E3774" t="s">
        <v>16</v>
      </c>
      <c r="F3774">
        <v>41</v>
      </c>
      <c r="G3774" t="s">
        <v>20</v>
      </c>
      <c r="H3774" s="1">
        <v>45547</v>
      </c>
      <c r="I3774" s="1">
        <v>45588</v>
      </c>
      <c r="J3774" t="str">
        <f t="shared" si="58"/>
        <v>Sep-2024</v>
      </c>
    </row>
    <row r="3775" spans="1:10">
      <c r="A3775">
        <v>3774</v>
      </c>
      <c r="B3775">
        <v>12819</v>
      </c>
      <c r="C3775" t="s">
        <v>18</v>
      </c>
      <c r="D3775">
        <v>127652.74</v>
      </c>
      <c r="E3775" t="s">
        <v>16</v>
      </c>
      <c r="F3775">
        <v>33</v>
      </c>
      <c r="G3775" t="s">
        <v>20</v>
      </c>
      <c r="H3775" s="1">
        <v>45538</v>
      </c>
      <c r="I3775" s="1">
        <v>45571</v>
      </c>
      <c r="J3775" t="str">
        <f t="shared" si="58"/>
        <v>Sep-2024</v>
      </c>
    </row>
    <row r="3776" spans="1:10">
      <c r="A3776">
        <v>3775</v>
      </c>
      <c r="B3776">
        <v>12285</v>
      </c>
      <c r="C3776" t="s">
        <v>18</v>
      </c>
      <c r="D3776">
        <v>159020.34</v>
      </c>
      <c r="E3776" t="s">
        <v>16</v>
      </c>
      <c r="F3776">
        <v>36</v>
      </c>
      <c r="G3776" t="s">
        <v>21</v>
      </c>
      <c r="H3776" s="1">
        <v>45483</v>
      </c>
      <c r="I3776" s="1">
        <v>45519</v>
      </c>
      <c r="J3776" t="str">
        <f t="shared" si="58"/>
        <v>Jul-2024</v>
      </c>
    </row>
    <row r="3777" spans="1:10">
      <c r="A3777">
        <v>3776</v>
      </c>
      <c r="B3777">
        <v>19382</v>
      </c>
      <c r="C3777" t="s">
        <v>18</v>
      </c>
      <c r="D3777">
        <v>38468.83</v>
      </c>
      <c r="E3777" t="s">
        <v>16</v>
      </c>
      <c r="F3777">
        <v>22</v>
      </c>
      <c r="G3777" t="s">
        <v>20</v>
      </c>
      <c r="H3777" s="1">
        <v>45405</v>
      </c>
      <c r="I3777" s="1">
        <v>45427</v>
      </c>
      <c r="J3777" t="str">
        <f t="shared" si="58"/>
        <v>Apr-2024</v>
      </c>
    </row>
    <row r="3778" spans="1:10">
      <c r="A3778">
        <v>3777</v>
      </c>
      <c r="B3778">
        <v>11399</v>
      </c>
      <c r="C3778" t="s">
        <v>23</v>
      </c>
      <c r="D3778">
        <v>46332.02</v>
      </c>
      <c r="E3778" t="s">
        <v>16</v>
      </c>
      <c r="F3778">
        <v>32</v>
      </c>
      <c r="G3778" t="s">
        <v>21</v>
      </c>
      <c r="H3778" s="1">
        <v>45314</v>
      </c>
      <c r="I3778" s="1">
        <v>45346</v>
      </c>
      <c r="J3778" t="str">
        <f t="shared" si="58"/>
        <v>Jan-2024</v>
      </c>
    </row>
    <row r="3779" spans="1:10">
      <c r="A3779">
        <v>3778</v>
      </c>
      <c r="B3779">
        <v>12248</v>
      </c>
      <c r="C3779" t="s">
        <v>23</v>
      </c>
      <c r="D3779">
        <v>108746.76</v>
      </c>
      <c r="E3779" t="s">
        <v>16</v>
      </c>
      <c r="F3779">
        <v>37</v>
      </c>
      <c r="G3779" t="s">
        <v>17</v>
      </c>
      <c r="H3779" s="1">
        <v>45649</v>
      </c>
      <c r="I3779" s="1">
        <v>45686</v>
      </c>
      <c r="J3779" t="str">
        <f t="shared" ref="J3779:J3842" si="59">TEXT(H3779,"mmm-yyyy")</f>
        <v>Dec-2024</v>
      </c>
    </row>
    <row r="3780" spans="1:10">
      <c r="A3780">
        <v>3779</v>
      </c>
      <c r="B3780">
        <v>16375</v>
      </c>
      <c r="C3780" t="s">
        <v>15</v>
      </c>
      <c r="D3780">
        <v>39428.07</v>
      </c>
      <c r="E3780" t="s">
        <v>19</v>
      </c>
      <c r="F3780">
        <v>28</v>
      </c>
      <c r="G3780" t="s">
        <v>21</v>
      </c>
      <c r="H3780" s="1">
        <v>45605</v>
      </c>
      <c r="I3780" s="1">
        <v>45633</v>
      </c>
      <c r="J3780" t="str">
        <f t="shared" si="59"/>
        <v>Nov-2024</v>
      </c>
    </row>
    <row r="3781" spans="1:10">
      <c r="A3781">
        <v>3780</v>
      </c>
      <c r="B3781">
        <v>10723</v>
      </c>
      <c r="C3781" t="s">
        <v>23</v>
      </c>
      <c r="D3781">
        <v>128824.04</v>
      </c>
      <c r="E3781" t="s">
        <v>19</v>
      </c>
      <c r="F3781">
        <v>9</v>
      </c>
      <c r="G3781" t="s">
        <v>20</v>
      </c>
      <c r="H3781" s="1">
        <v>45567</v>
      </c>
      <c r="I3781" s="1">
        <v>45576</v>
      </c>
      <c r="J3781" t="str">
        <f t="shared" si="59"/>
        <v>Oct-2024</v>
      </c>
    </row>
    <row r="3782" spans="1:10">
      <c r="A3782">
        <v>3781</v>
      </c>
      <c r="B3782">
        <v>19633</v>
      </c>
      <c r="C3782" t="s">
        <v>15</v>
      </c>
      <c r="D3782">
        <v>61872.37</v>
      </c>
      <c r="E3782" t="s">
        <v>16</v>
      </c>
      <c r="F3782">
        <v>24</v>
      </c>
      <c r="G3782" t="s">
        <v>20</v>
      </c>
      <c r="H3782" s="1">
        <v>45427</v>
      </c>
      <c r="I3782" s="1">
        <v>45451</v>
      </c>
      <c r="J3782" t="str">
        <f t="shared" si="59"/>
        <v>May-2024</v>
      </c>
    </row>
    <row r="3783" spans="1:10">
      <c r="A3783">
        <v>3782</v>
      </c>
      <c r="B3783">
        <v>15273</v>
      </c>
      <c r="C3783" t="s">
        <v>18</v>
      </c>
      <c r="D3783">
        <v>159348.85999999999</v>
      </c>
      <c r="E3783" t="s">
        <v>16</v>
      </c>
      <c r="F3783">
        <v>24</v>
      </c>
      <c r="G3783" t="s">
        <v>17</v>
      </c>
      <c r="H3783" s="1">
        <v>45648</v>
      </c>
      <c r="I3783" s="1">
        <v>45672</v>
      </c>
      <c r="J3783" t="str">
        <f t="shared" si="59"/>
        <v>Dec-2024</v>
      </c>
    </row>
    <row r="3784" spans="1:10">
      <c r="A3784">
        <v>3783</v>
      </c>
      <c r="B3784">
        <v>17535</v>
      </c>
      <c r="C3784" t="s">
        <v>18</v>
      </c>
      <c r="D3784">
        <v>162581.51999999999</v>
      </c>
      <c r="E3784" t="s">
        <v>24</v>
      </c>
      <c r="G3784" t="s">
        <v>20</v>
      </c>
      <c r="H3784" s="1">
        <v>45486</v>
      </c>
      <c r="J3784" t="str">
        <f t="shared" si="59"/>
        <v>Jul-2024</v>
      </c>
    </row>
    <row r="3785" spans="1:10">
      <c r="A3785">
        <v>3784</v>
      </c>
      <c r="B3785">
        <v>14820</v>
      </c>
      <c r="C3785" t="s">
        <v>18</v>
      </c>
      <c r="D3785">
        <v>95438.55</v>
      </c>
      <c r="E3785" t="s">
        <v>16</v>
      </c>
      <c r="F3785">
        <v>34</v>
      </c>
      <c r="G3785" t="s">
        <v>20</v>
      </c>
      <c r="H3785" s="1">
        <v>45549</v>
      </c>
      <c r="I3785" s="1">
        <v>45583</v>
      </c>
      <c r="J3785" t="str">
        <f t="shared" si="59"/>
        <v>Sep-2024</v>
      </c>
    </row>
    <row r="3786" spans="1:10">
      <c r="A3786">
        <v>3785</v>
      </c>
      <c r="B3786">
        <v>10086</v>
      </c>
      <c r="C3786" t="s">
        <v>23</v>
      </c>
      <c r="D3786">
        <v>40258.07</v>
      </c>
      <c r="E3786" t="s">
        <v>19</v>
      </c>
      <c r="F3786">
        <v>14</v>
      </c>
      <c r="G3786" t="s">
        <v>25</v>
      </c>
      <c r="H3786" s="1">
        <v>45569</v>
      </c>
      <c r="I3786" s="1">
        <v>45583</v>
      </c>
      <c r="J3786" t="str">
        <f t="shared" si="59"/>
        <v>Oct-2024</v>
      </c>
    </row>
    <row r="3787" spans="1:10">
      <c r="A3787">
        <v>3786</v>
      </c>
      <c r="B3787">
        <v>17697</v>
      </c>
      <c r="C3787" t="s">
        <v>18</v>
      </c>
      <c r="D3787">
        <v>131121.12</v>
      </c>
      <c r="E3787" t="s">
        <v>16</v>
      </c>
      <c r="F3787">
        <v>40</v>
      </c>
      <c r="G3787" t="s">
        <v>25</v>
      </c>
      <c r="H3787" s="1">
        <v>45361</v>
      </c>
      <c r="I3787" s="1">
        <v>45401</v>
      </c>
      <c r="J3787" t="str">
        <f t="shared" si="59"/>
        <v>Mar-2024</v>
      </c>
    </row>
    <row r="3788" spans="1:10">
      <c r="A3788">
        <v>3787</v>
      </c>
      <c r="B3788">
        <v>16846</v>
      </c>
      <c r="C3788" t="s">
        <v>15</v>
      </c>
      <c r="D3788">
        <v>198593.47</v>
      </c>
      <c r="E3788" t="s">
        <v>24</v>
      </c>
      <c r="G3788" t="s">
        <v>17</v>
      </c>
      <c r="H3788" s="1">
        <v>45650</v>
      </c>
      <c r="J3788" t="str">
        <f t="shared" si="59"/>
        <v>Dec-2024</v>
      </c>
    </row>
    <row r="3789" spans="1:10">
      <c r="A3789">
        <v>3788</v>
      </c>
      <c r="B3789">
        <v>14149</v>
      </c>
      <c r="C3789" t="s">
        <v>23</v>
      </c>
      <c r="D3789">
        <v>126405.23</v>
      </c>
      <c r="E3789" t="s">
        <v>16</v>
      </c>
      <c r="F3789">
        <v>17</v>
      </c>
      <c r="G3789" t="s">
        <v>21</v>
      </c>
      <c r="H3789" s="1">
        <v>45651</v>
      </c>
      <c r="I3789" s="1">
        <v>45668</v>
      </c>
      <c r="J3789" t="str">
        <f t="shared" si="59"/>
        <v>Dec-2024</v>
      </c>
    </row>
    <row r="3790" spans="1:10">
      <c r="A3790">
        <v>3789</v>
      </c>
      <c r="B3790">
        <v>11751</v>
      </c>
      <c r="C3790" t="s">
        <v>22</v>
      </c>
      <c r="D3790">
        <v>11976.06</v>
      </c>
      <c r="E3790" t="s">
        <v>16</v>
      </c>
      <c r="F3790">
        <v>13</v>
      </c>
      <c r="G3790" t="s">
        <v>25</v>
      </c>
      <c r="H3790" s="1">
        <v>45327</v>
      </c>
      <c r="I3790" s="1">
        <v>45340</v>
      </c>
      <c r="J3790" t="str">
        <f t="shared" si="59"/>
        <v>Feb-2024</v>
      </c>
    </row>
    <row r="3791" spans="1:10">
      <c r="A3791">
        <v>3790</v>
      </c>
      <c r="B3791">
        <v>15161</v>
      </c>
      <c r="C3791" t="s">
        <v>23</v>
      </c>
      <c r="D3791">
        <v>8372.33</v>
      </c>
      <c r="E3791" t="s">
        <v>19</v>
      </c>
      <c r="F3791">
        <v>32</v>
      </c>
      <c r="G3791" t="s">
        <v>21</v>
      </c>
      <c r="H3791" s="1">
        <v>45399</v>
      </c>
      <c r="I3791" s="1">
        <v>45431</v>
      </c>
      <c r="J3791" t="str">
        <f t="shared" si="59"/>
        <v>Apr-2024</v>
      </c>
    </row>
    <row r="3792" spans="1:10">
      <c r="A3792">
        <v>3791</v>
      </c>
      <c r="B3792">
        <v>13420</v>
      </c>
      <c r="C3792" t="s">
        <v>23</v>
      </c>
      <c r="D3792">
        <v>67470.58</v>
      </c>
      <c r="E3792" t="s">
        <v>16</v>
      </c>
      <c r="F3792">
        <v>6</v>
      </c>
      <c r="G3792" t="s">
        <v>20</v>
      </c>
      <c r="H3792" s="1">
        <v>45315</v>
      </c>
      <c r="I3792" s="1">
        <v>45321</v>
      </c>
      <c r="J3792" t="str">
        <f t="shared" si="59"/>
        <v>Jan-2024</v>
      </c>
    </row>
    <row r="3793" spans="1:10">
      <c r="A3793">
        <v>3792</v>
      </c>
      <c r="B3793">
        <v>14837</v>
      </c>
      <c r="C3793" t="s">
        <v>23</v>
      </c>
      <c r="D3793">
        <v>43177.84</v>
      </c>
      <c r="E3793" t="s">
        <v>16</v>
      </c>
      <c r="F3793">
        <v>41</v>
      </c>
      <c r="G3793" t="s">
        <v>25</v>
      </c>
      <c r="H3793" s="1">
        <v>45431</v>
      </c>
      <c r="I3793" s="1">
        <v>45472</v>
      </c>
      <c r="J3793" t="str">
        <f t="shared" si="59"/>
        <v>May-2024</v>
      </c>
    </row>
    <row r="3794" spans="1:10">
      <c r="A3794">
        <v>3793</v>
      </c>
      <c r="B3794">
        <v>12483</v>
      </c>
      <c r="C3794" t="s">
        <v>22</v>
      </c>
      <c r="D3794">
        <v>163544.99</v>
      </c>
      <c r="E3794" t="s">
        <v>16</v>
      </c>
      <c r="F3794">
        <v>26</v>
      </c>
      <c r="G3794" t="s">
        <v>17</v>
      </c>
      <c r="H3794" s="1">
        <v>45313</v>
      </c>
      <c r="I3794" s="1">
        <v>45339</v>
      </c>
      <c r="J3794" t="str">
        <f t="shared" si="59"/>
        <v>Jan-2024</v>
      </c>
    </row>
    <row r="3795" spans="1:10">
      <c r="A3795">
        <v>3794</v>
      </c>
      <c r="B3795">
        <v>13212</v>
      </c>
      <c r="C3795" t="s">
        <v>23</v>
      </c>
      <c r="D3795">
        <v>169737.11</v>
      </c>
      <c r="E3795" t="s">
        <v>19</v>
      </c>
      <c r="F3795">
        <v>22</v>
      </c>
      <c r="G3795" t="s">
        <v>17</v>
      </c>
      <c r="H3795" s="1">
        <v>45630</v>
      </c>
      <c r="I3795" s="1">
        <v>45652</v>
      </c>
      <c r="J3795" t="str">
        <f t="shared" si="59"/>
        <v>Dec-2024</v>
      </c>
    </row>
    <row r="3796" spans="1:10">
      <c r="A3796">
        <v>3795</v>
      </c>
      <c r="B3796">
        <v>13922</v>
      </c>
      <c r="C3796" t="s">
        <v>15</v>
      </c>
      <c r="D3796">
        <v>55430.66</v>
      </c>
      <c r="E3796" t="s">
        <v>16</v>
      </c>
      <c r="F3796">
        <v>4</v>
      </c>
      <c r="G3796" t="s">
        <v>17</v>
      </c>
      <c r="H3796" s="1">
        <v>45620</v>
      </c>
      <c r="I3796" s="1">
        <v>45624</v>
      </c>
      <c r="J3796" t="str">
        <f t="shared" si="59"/>
        <v>Nov-2024</v>
      </c>
    </row>
    <row r="3797" spans="1:10">
      <c r="A3797">
        <v>3796</v>
      </c>
      <c r="B3797">
        <v>16310</v>
      </c>
      <c r="C3797" t="s">
        <v>15</v>
      </c>
      <c r="D3797">
        <v>68500.73</v>
      </c>
      <c r="E3797" t="s">
        <v>16</v>
      </c>
      <c r="F3797">
        <v>11</v>
      </c>
      <c r="G3797" t="s">
        <v>25</v>
      </c>
      <c r="H3797" s="1">
        <v>45495</v>
      </c>
      <c r="I3797" s="1">
        <v>45506</v>
      </c>
      <c r="J3797" t="str">
        <f t="shared" si="59"/>
        <v>Jul-2024</v>
      </c>
    </row>
    <row r="3798" spans="1:10">
      <c r="A3798">
        <v>3797</v>
      </c>
      <c r="B3798">
        <v>16042</v>
      </c>
      <c r="C3798" t="s">
        <v>23</v>
      </c>
      <c r="D3798">
        <v>51068.160000000003</v>
      </c>
      <c r="E3798" t="s">
        <v>16</v>
      </c>
      <c r="F3798">
        <v>24</v>
      </c>
      <c r="G3798" t="s">
        <v>21</v>
      </c>
      <c r="H3798" s="1">
        <v>45515</v>
      </c>
      <c r="I3798" s="1">
        <v>45539</v>
      </c>
      <c r="J3798" t="str">
        <f t="shared" si="59"/>
        <v>Aug-2024</v>
      </c>
    </row>
    <row r="3799" spans="1:10">
      <c r="A3799">
        <v>3798</v>
      </c>
      <c r="B3799">
        <v>18013</v>
      </c>
      <c r="C3799" t="s">
        <v>23</v>
      </c>
      <c r="D3799">
        <v>182134.6</v>
      </c>
      <c r="E3799" t="s">
        <v>16</v>
      </c>
      <c r="F3799">
        <v>18</v>
      </c>
      <c r="G3799" t="s">
        <v>20</v>
      </c>
      <c r="H3799" s="1">
        <v>45514</v>
      </c>
      <c r="I3799" s="1">
        <v>45532</v>
      </c>
      <c r="J3799" t="str">
        <f t="shared" si="59"/>
        <v>Aug-2024</v>
      </c>
    </row>
    <row r="3800" spans="1:10">
      <c r="A3800">
        <v>3799</v>
      </c>
      <c r="B3800">
        <v>19678</v>
      </c>
      <c r="C3800" t="s">
        <v>18</v>
      </c>
      <c r="D3800">
        <v>103016.62</v>
      </c>
      <c r="E3800" t="s">
        <v>16</v>
      </c>
      <c r="F3800">
        <v>43</v>
      </c>
      <c r="G3800" t="s">
        <v>21</v>
      </c>
      <c r="H3800" s="1">
        <v>45372</v>
      </c>
      <c r="I3800" s="1">
        <v>45415</v>
      </c>
      <c r="J3800" t="str">
        <f t="shared" si="59"/>
        <v>Mar-2024</v>
      </c>
    </row>
    <row r="3801" spans="1:10">
      <c r="A3801">
        <v>3800</v>
      </c>
      <c r="B3801">
        <v>13527</v>
      </c>
      <c r="C3801" t="s">
        <v>23</v>
      </c>
      <c r="D3801">
        <v>132946.72</v>
      </c>
      <c r="E3801" t="s">
        <v>16</v>
      </c>
      <c r="F3801">
        <v>36</v>
      </c>
      <c r="G3801" t="s">
        <v>21</v>
      </c>
      <c r="H3801" s="1">
        <v>45621</v>
      </c>
      <c r="I3801" s="1">
        <v>45657</v>
      </c>
      <c r="J3801" t="str">
        <f t="shared" si="59"/>
        <v>Nov-2024</v>
      </c>
    </row>
    <row r="3802" spans="1:10">
      <c r="A3802">
        <v>3801</v>
      </c>
      <c r="B3802">
        <v>18264</v>
      </c>
      <c r="C3802" t="s">
        <v>18</v>
      </c>
      <c r="D3802">
        <v>86019.01</v>
      </c>
      <c r="E3802" t="s">
        <v>16</v>
      </c>
      <c r="F3802">
        <v>26</v>
      </c>
      <c r="G3802" t="s">
        <v>20</v>
      </c>
      <c r="H3802" s="1">
        <v>45482</v>
      </c>
      <c r="I3802" s="1">
        <v>45508</v>
      </c>
      <c r="J3802" t="str">
        <f t="shared" si="59"/>
        <v>Jul-2024</v>
      </c>
    </row>
    <row r="3803" spans="1:10">
      <c r="A3803">
        <v>3802</v>
      </c>
      <c r="B3803">
        <v>18916</v>
      </c>
      <c r="C3803" t="s">
        <v>23</v>
      </c>
      <c r="D3803">
        <v>128047.77</v>
      </c>
      <c r="E3803" t="s">
        <v>16</v>
      </c>
      <c r="F3803">
        <v>3</v>
      </c>
      <c r="G3803" t="s">
        <v>20</v>
      </c>
      <c r="H3803" s="1">
        <v>45577</v>
      </c>
      <c r="I3803" s="1">
        <v>45580</v>
      </c>
      <c r="J3803" t="str">
        <f t="shared" si="59"/>
        <v>Oct-2024</v>
      </c>
    </row>
    <row r="3804" spans="1:10">
      <c r="A3804">
        <v>3803</v>
      </c>
      <c r="B3804">
        <v>13754</v>
      </c>
      <c r="C3804" t="s">
        <v>23</v>
      </c>
      <c r="D3804">
        <v>80241.8</v>
      </c>
      <c r="E3804" t="s">
        <v>16</v>
      </c>
      <c r="F3804">
        <v>28</v>
      </c>
      <c r="G3804" t="s">
        <v>25</v>
      </c>
      <c r="H3804" s="1">
        <v>45438</v>
      </c>
      <c r="I3804" s="1">
        <v>45466</v>
      </c>
      <c r="J3804" t="str">
        <f t="shared" si="59"/>
        <v>May-2024</v>
      </c>
    </row>
    <row r="3805" spans="1:10">
      <c r="A3805">
        <v>3804</v>
      </c>
      <c r="B3805">
        <v>18162</v>
      </c>
      <c r="C3805" t="s">
        <v>18</v>
      </c>
      <c r="D3805">
        <v>71237.3</v>
      </c>
      <c r="E3805" t="s">
        <v>16</v>
      </c>
      <c r="F3805">
        <v>10</v>
      </c>
      <c r="G3805" t="s">
        <v>25</v>
      </c>
      <c r="H3805" s="1">
        <v>45573</v>
      </c>
      <c r="I3805" s="1">
        <v>45583</v>
      </c>
      <c r="J3805" t="str">
        <f t="shared" si="59"/>
        <v>Oct-2024</v>
      </c>
    </row>
    <row r="3806" spans="1:10">
      <c r="A3806">
        <v>3805</v>
      </c>
      <c r="B3806">
        <v>14365</v>
      </c>
      <c r="C3806" t="s">
        <v>23</v>
      </c>
      <c r="D3806">
        <v>128723.61</v>
      </c>
      <c r="E3806" t="s">
        <v>16</v>
      </c>
      <c r="F3806">
        <v>5</v>
      </c>
      <c r="G3806" t="s">
        <v>25</v>
      </c>
      <c r="H3806" s="1">
        <v>45302</v>
      </c>
      <c r="I3806" s="1">
        <v>45307</v>
      </c>
      <c r="J3806" t="str">
        <f t="shared" si="59"/>
        <v>Jan-2024</v>
      </c>
    </row>
    <row r="3807" spans="1:10">
      <c r="A3807">
        <v>3806</v>
      </c>
      <c r="B3807">
        <v>18410</v>
      </c>
      <c r="C3807" t="s">
        <v>23</v>
      </c>
      <c r="D3807">
        <v>120257.11</v>
      </c>
      <c r="E3807" t="s">
        <v>16</v>
      </c>
      <c r="F3807">
        <v>27</v>
      </c>
      <c r="G3807" t="s">
        <v>25</v>
      </c>
      <c r="H3807" s="1">
        <v>45567</v>
      </c>
      <c r="I3807" s="1">
        <v>45594</v>
      </c>
      <c r="J3807" t="str">
        <f t="shared" si="59"/>
        <v>Oct-2024</v>
      </c>
    </row>
    <row r="3808" spans="1:10">
      <c r="A3808">
        <v>3807</v>
      </c>
      <c r="B3808">
        <v>10546</v>
      </c>
      <c r="C3808" t="s">
        <v>23</v>
      </c>
      <c r="D3808">
        <v>62237.95</v>
      </c>
      <c r="E3808" t="s">
        <v>24</v>
      </c>
      <c r="G3808" t="s">
        <v>25</v>
      </c>
      <c r="H3808" s="1">
        <v>45347</v>
      </c>
      <c r="J3808" t="str">
        <f t="shared" si="59"/>
        <v>Feb-2024</v>
      </c>
    </row>
    <row r="3809" spans="1:10">
      <c r="A3809">
        <v>3808</v>
      </c>
      <c r="B3809">
        <v>13729</v>
      </c>
      <c r="C3809" t="s">
        <v>23</v>
      </c>
      <c r="D3809">
        <v>34122.949999999997</v>
      </c>
      <c r="E3809" t="s">
        <v>16</v>
      </c>
      <c r="F3809">
        <v>30</v>
      </c>
      <c r="G3809" t="s">
        <v>20</v>
      </c>
      <c r="H3809" s="1">
        <v>45464</v>
      </c>
      <c r="I3809" s="1">
        <v>45494</v>
      </c>
      <c r="J3809" t="str">
        <f t="shared" si="59"/>
        <v>Jun-2024</v>
      </c>
    </row>
    <row r="3810" spans="1:10">
      <c r="A3810">
        <v>3809</v>
      </c>
      <c r="B3810">
        <v>17350</v>
      </c>
      <c r="C3810" t="s">
        <v>18</v>
      </c>
      <c r="D3810">
        <v>76872.460000000006</v>
      </c>
      <c r="E3810" t="s">
        <v>19</v>
      </c>
      <c r="F3810">
        <v>23</v>
      </c>
      <c r="G3810" t="s">
        <v>21</v>
      </c>
      <c r="H3810" s="1">
        <v>45594</v>
      </c>
      <c r="I3810" s="1">
        <v>45617</v>
      </c>
      <c r="J3810" t="str">
        <f t="shared" si="59"/>
        <v>Oct-2024</v>
      </c>
    </row>
    <row r="3811" spans="1:10">
      <c r="A3811">
        <v>3810</v>
      </c>
      <c r="B3811">
        <v>15884</v>
      </c>
      <c r="C3811" t="s">
        <v>15</v>
      </c>
      <c r="D3811">
        <v>85963.54</v>
      </c>
      <c r="E3811" t="s">
        <v>16</v>
      </c>
      <c r="F3811">
        <v>14</v>
      </c>
      <c r="G3811" t="s">
        <v>25</v>
      </c>
      <c r="H3811" s="1">
        <v>45495</v>
      </c>
      <c r="I3811" s="1">
        <v>45509</v>
      </c>
      <c r="J3811" t="str">
        <f t="shared" si="59"/>
        <v>Jul-2024</v>
      </c>
    </row>
    <row r="3812" spans="1:10">
      <c r="A3812">
        <v>3811</v>
      </c>
      <c r="B3812">
        <v>11968</v>
      </c>
      <c r="C3812" t="s">
        <v>23</v>
      </c>
      <c r="D3812">
        <v>127593.45</v>
      </c>
      <c r="E3812" t="s">
        <v>16</v>
      </c>
      <c r="F3812">
        <v>24</v>
      </c>
      <c r="G3812" t="s">
        <v>25</v>
      </c>
      <c r="H3812" s="1">
        <v>45636</v>
      </c>
      <c r="I3812" s="1">
        <v>45660</v>
      </c>
      <c r="J3812" t="str">
        <f t="shared" si="59"/>
        <v>Dec-2024</v>
      </c>
    </row>
    <row r="3813" spans="1:10">
      <c r="A3813">
        <v>3812</v>
      </c>
      <c r="B3813">
        <v>14516</v>
      </c>
      <c r="C3813" t="s">
        <v>18</v>
      </c>
      <c r="D3813">
        <v>183333.11</v>
      </c>
      <c r="E3813" t="s">
        <v>16</v>
      </c>
      <c r="F3813">
        <v>32</v>
      </c>
      <c r="G3813" t="s">
        <v>21</v>
      </c>
      <c r="H3813" s="1">
        <v>45539</v>
      </c>
      <c r="I3813" s="1">
        <v>45571</v>
      </c>
      <c r="J3813" t="str">
        <f t="shared" si="59"/>
        <v>Sep-2024</v>
      </c>
    </row>
    <row r="3814" spans="1:10">
      <c r="A3814">
        <v>3813</v>
      </c>
      <c r="B3814">
        <v>11259</v>
      </c>
      <c r="C3814" t="s">
        <v>18</v>
      </c>
      <c r="D3814">
        <v>12056.04</v>
      </c>
      <c r="E3814" t="s">
        <v>16</v>
      </c>
      <c r="F3814">
        <v>42</v>
      </c>
      <c r="G3814" t="s">
        <v>25</v>
      </c>
      <c r="H3814" s="1">
        <v>45605</v>
      </c>
      <c r="I3814" s="1">
        <v>45647</v>
      </c>
      <c r="J3814" t="str">
        <f t="shared" si="59"/>
        <v>Nov-2024</v>
      </c>
    </row>
    <row r="3815" spans="1:10">
      <c r="A3815">
        <v>3814</v>
      </c>
      <c r="B3815">
        <v>16992</v>
      </c>
      <c r="C3815" t="s">
        <v>23</v>
      </c>
      <c r="D3815">
        <v>52513.9</v>
      </c>
      <c r="E3815" t="s">
        <v>24</v>
      </c>
      <c r="G3815" t="s">
        <v>21</v>
      </c>
      <c r="H3815" s="1">
        <v>45557</v>
      </c>
      <c r="J3815" t="str">
        <f t="shared" si="59"/>
        <v>Sep-2024</v>
      </c>
    </row>
    <row r="3816" spans="1:10">
      <c r="A3816">
        <v>3815</v>
      </c>
      <c r="B3816">
        <v>17756</v>
      </c>
      <c r="C3816" t="s">
        <v>23</v>
      </c>
      <c r="D3816">
        <v>42774.61</v>
      </c>
      <c r="E3816" t="s">
        <v>24</v>
      </c>
      <c r="G3816" t="s">
        <v>21</v>
      </c>
      <c r="H3816" s="1">
        <v>45313</v>
      </c>
      <c r="J3816" t="str">
        <f t="shared" si="59"/>
        <v>Jan-2024</v>
      </c>
    </row>
    <row r="3817" spans="1:10">
      <c r="A3817">
        <v>3816</v>
      </c>
      <c r="B3817">
        <v>12933</v>
      </c>
      <c r="C3817" t="s">
        <v>22</v>
      </c>
      <c r="D3817">
        <v>102947.41</v>
      </c>
      <c r="E3817" t="s">
        <v>19</v>
      </c>
      <c r="F3817">
        <v>32</v>
      </c>
      <c r="G3817" t="s">
        <v>20</v>
      </c>
      <c r="H3817" s="1">
        <v>45618</v>
      </c>
      <c r="I3817" s="1">
        <v>45650</v>
      </c>
      <c r="J3817" t="str">
        <f t="shared" si="59"/>
        <v>Nov-2024</v>
      </c>
    </row>
    <row r="3818" spans="1:10">
      <c r="A3818">
        <v>3817</v>
      </c>
      <c r="B3818">
        <v>12509</v>
      </c>
      <c r="C3818" t="s">
        <v>18</v>
      </c>
      <c r="D3818">
        <v>88791.66</v>
      </c>
      <c r="E3818" t="s">
        <v>16</v>
      </c>
      <c r="F3818">
        <v>16</v>
      </c>
      <c r="G3818" t="s">
        <v>17</v>
      </c>
      <c r="H3818" s="1">
        <v>45315</v>
      </c>
      <c r="I3818" s="1">
        <v>45331</v>
      </c>
      <c r="J3818" t="str">
        <f t="shared" si="59"/>
        <v>Jan-2024</v>
      </c>
    </row>
    <row r="3819" spans="1:10">
      <c r="A3819">
        <v>3818</v>
      </c>
      <c r="B3819">
        <v>11562</v>
      </c>
      <c r="C3819" t="s">
        <v>18</v>
      </c>
      <c r="D3819">
        <v>147162.34</v>
      </c>
      <c r="E3819" t="s">
        <v>16</v>
      </c>
      <c r="F3819">
        <v>15</v>
      </c>
      <c r="G3819" t="s">
        <v>20</v>
      </c>
      <c r="H3819" s="1">
        <v>45485</v>
      </c>
      <c r="I3819" s="1">
        <v>45500</v>
      </c>
      <c r="J3819" t="str">
        <f t="shared" si="59"/>
        <v>Jul-2024</v>
      </c>
    </row>
    <row r="3820" spans="1:10">
      <c r="A3820">
        <v>3819</v>
      </c>
      <c r="B3820">
        <v>19981</v>
      </c>
      <c r="C3820" t="s">
        <v>18</v>
      </c>
      <c r="D3820">
        <v>52271.1</v>
      </c>
      <c r="E3820" t="s">
        <v>16</v>
      </c>
      <c r="F3820">
        <v>36</v>
      </c>
      <c r="G3820" t="s">
        <v>17</v>
      </c>
      <c r="H3820" s="1">
        <v>45387</v>
      </c>
      <c r="I3820" s="1">
        <v>45423</v>
      </c>
      <c r="J3820" t="str">
        <f t="shared" si="59"/>
        <v>Apr-2024</v>
      </c>
    </row>
    <row r="3821" spans="1:10">
      <c r="A3821">
        <v>3820</v>
      </c>
      <c r="B3821">
        <v>18075</v>
      </c>
      <c r="C3821" t="s">
        <v>23</v>
      </c>
      <c r="D3821">
        <v>120927.18</v>
      </c>
      <c r="E3821" t="s">
        <v>24</v>
      </c>
      <c r="G3821" t="s">
        <v>17</v>
      </c>
      <c r="H3821" s="1">
        <v>45554</v>
      </c>
      <c r="J3821" t="str">
        <f t="shared" si="59"/>
        <v>Sep-2024</v>
      </c>
    </row>
    <row r="3822" spans="1:10">
      <c r="A3822">
        <v>3821</v>
      </c>
      <c r="B3822">
        <v>13669</v>
      </c>
      <c r="C3822" t="s">
        <v>18</v>
      </c>
      <c r="D3822">
        <v>177352.17</v>
      </c>
      <c r="E3822" t="s">
        <v>16</v>
      </c>
      <c r="F3822">
        <v>31</v>
      </c>
      <c r="G3822" t="s">
        <v>17</v>
      </c>
      <c r="H3822" s="1">
        <v>45363</v>
      </c>
      <c r="I3822" s="1">
        <v>45394</v>
      </c>
      <c r="J3822" t="str">
        <f t="shared" si="59"/>
        <v>Mar-2024</v>
      </c>
    </row>
    <row r="3823" spans="1:10">
      <c r="A3823">
        <v>3822</v>
      </c>
      <c r="B3823">
        <v>12481</v>
      </c>
      <c r="C3823" t="s">
        <v>18</v>
      </c>
      <c r="D3823">
        <v>182582.16</v>
      </c>
      <c r="E3823" t="s">
        <v>16</v>
      </c>
      <c r="F3823">
        <v>31</v>
      </c>
      <c r="G3823" t="s">
        <v>25</v>
      </c>
      <c r="H3823" s="1">
        <v>45534</v>
      </c>
      <c r="I3823" s="1">
        <v>45565</v>
      </c>
      <c r="J3823" t="str">
        <f t="shared" si="59"/>
        <v>Aug-2024</v>
      </c>
    </row>
    <row r="3824" spans="1:10">
      <c r="A3824">
        <v>3823</v>
      </c>
      <c r="B3824">
        <v>17198</v>
      </c>
      <c r="C3824" t="s">
        <v>18</v>
      </c>
      <c r="D3824">
        <v>191963</v>
      </c>
      <c r="E3824" t="s">
        <v>16</v>
      </c>
      <c r="F3824">
        <v>28</v>
      </c>
      <c r="G3824" t="s">
        <v>20</v>
      </c>
      <c r="H3824" s="1">
        <v>45329</v>
      </c>
      <c r="I3824" s="1">
        <v>45357</v>
      </c>
      <c r="J3824" t="str">
        <f t="shared" si="59"/>
        <v>Feb-2024</v>
      </c>
    </row>
    <row r="3825" spans="1:10">
      <c r="A3825">
        <v>3824</v>
      </c>
      <c r="B3825">
        <v>10204</v>
      </c>
      <c r="C3825" t="s">
        <v>23</v>
      </c>
      <c r="D3825">
        <v>155785.92000000001</v>
      </c>
      <c r="E3825" t="s">
        <v>16</v>
      </c>
      <c r="F3825">
        <v>41</v>
      </c>
      <c r="G3825" t="s">
        <v>17</v>
      </c>
      <c r="H3825" s="1">
        <v>45380</v>
      </c>
      <c r="I3825" s="1">
        <v>45421</v>
      </c>
      <c r="J3825" t="str">
        <f t="shared" si="59"/>
        <v>Mar-2024</v>
      </c>
    </row>
    <row r="3826" spans="1:10">
      <c r="A3826">
        <v>3825</v>
      </c>
      <c r="B3826">
        <v>10741</v>
      </c>
      <c r="C3826" t="s">
        <v>23</v>
      </c>
      <c r="D3826">
        <v>181667.64</v>
      </c>
      <c r="E3826" t="s">
        <v>24</v>
      </c>
      <c r="G3826" t="s">
        <v>21</v>
      </c>
      <c r="H3826" s="1">
        <v>45319</v>
      </c>
      <c r="J3826" t="str">
        <f t="shared" si="59"/>
        <v>Jan-2024</v>
      </c>
    </row>
    <row r="3827" spans="1:10">
      <c r="A3827">
        <v>3826</v>
      </c>
      <c r="B3827">
        <v>17049</v>
      </c>
      <c r="C3827" t="s">
        <v>23</v>
      </c>
      <c r="D3827">
        <v>50733.52</v>
      </c>
      <c r="E3827" t="s">
        <v>16</v>
      </c>
      <c r="F3827">
        <v>12</v>
      </c>
      <c r="G3827" t="s">
        <v>25</v>
      </c>
      <c r="H3827" s="1">
        <v>45383</v>
      </c>
      <c r="I3827" s="1">
        <v>45395</v>
      </c>
      <c r="J3827" t="str">
        <f t="shared" si="59"/>
        <v>Apr-2024</v>
      </c>
    </row>
    <row r="3828" spans="1:10">
      <c r="A3828">
        <v>3827</v>
      </c>
      <c r="B3828">
        <v>14263</v>
      </c>
      <c r="C3828" t="s">
        <v>22</v>
      </c>
      <c r="D3828">
        <v>43528.28</v>
      </c>
      <c r="E3828" t="s">
        <v>16</v>
      </c>
      <c r="F3828">
        <v>27</v>
      </c>
      <c r="G3828" t="s">
        <v>20</v>
      </c>
      <c r="H3828" s="1">
        <v>45345</v>
      </c>
      <c r="I3828" s="1">
        <v>45372</v>
      </c>
      <c r="J3828" t="str">
        <f t="shared" si="59"/>
        <v>Feb-2024</v>
      </c>
    </row>
    <row r="3829" spans="1:10">
      <c r="A3829">
        <v>3828</v>
      </c>
      <c r="B3829">
        <v>17837</v>
      </c>
      <c r="C3829" t="s">
        <v>23</v>
      </c>
      <c r="D3829">
        <v>6265.18</v>
      </c>
      <c r="E3829" t="s">
        <v>16</v>
      </c>
      <c r="F3829">
        <v>22</v>
      </c>
      <c r="G3829" t="s">
        <v>17</v>
      </c>
      <c r="H3829" s="1">
        <v>45450</v>
      </c>
      <c r="I3829" s="1">
        <v>45472</v>
      </c>
      <c r="J3829" t="str">
        <f t="shared" si="59"/>
        <v>Jun-2024</v>
      </c>
    </row>
    <row r="3830" spans="1:10">
      <c r="A3830">
        <v>3829</v>
      </c>
      <c r="B3830">
        <v>14737</v>
      </c>
      <c r="C3830" t="s">
        <v>23</v>
      </c>
      <c r="D3830">
        <v>142834.65</v>
      </c>
      <c r="E3830" t="s">
        <v>19</v>
      </c>
      <c r="F3830">
        <v>10</v>
      </c>
      <c r="G3830" t="s">
        <v>21</v>
      </c>
      <c r="H3830" s="1">
        <v>45519</v>
      </c>
      <c r="I3830" s="1">
        <v>45529</v>
      </c>
      <c r="J3830" t="str">
        <f t="shared" si="59"/>
        <v>Aug-2024</v>
      </c>
    </row>
    <row r="3831" spans="1:10">
      <c r="A3831">
        <v>3830</v>
      </c>
      <c r="B3831">
        <v>11105</v>
      </c>
      <c r="C3831" t="s">
        <v>23</v>
      </c>
      <c r="D3831">
        <v>187806.1</v>
      </c>
      <c r="E3831" t="s">
        <v>16</v>
      </c>
      <c r="F3831">
        <v>2</v>
      </c>
      <c r="G3831" t="s">
        <v>20</v>
      </c>
      <c r="H3831" s="1">
        <v>45332</v>
      </c>
      <c r="I3831" s="1">
        <v>45334</v>
      </c>
      <c r="J3831" t="str">
        <f t="shared" si="59"/>
        <v>Feb-2024</v>
      </c>
    </row>
    <row r="3832" spans="1:10">
      <c r="A3832">
        <v>3831</v>
      </c>
      <c r="B3832">
        <v>16830</v>
      </c>
      <c r="C3832" t="s">
        <v>23</v>
      </c>
      <c r="D3832">
        <v>41452.39</v>
      </c>
      <c r="E3832" t="s">
        <v>19</v>
      </c>
      <c r="F3832">
        <v>7</v>
      </c>
      <c r="G3832" t="s">
        <v>20</v>
      </c>
      <c r="H3832" s="1">
        <v>45328</v>
      </c>
      <c r="I3832" s="1">
        <v>45335</v>
      </c>
      <c r="J3832" t="str">
        <f t="shared" si="59"/>
        <v>Feb-2024</v>
      </c>
    </row>
    <row r="3833" spans="1:10">
      <c r="A3833">
        <v>3832</v>
      </c>
      <c r="B3833">
        <v>14197</v>
      </c>
      <c r="C3833" t="s">
        <v>18</v>
      </c>
      <c r="D3833">
        <v>129204</v>
      </c>
      <c r="E3833" t="s">
        <v>16</v>
      </c>
      <c r="F3833">
        <v>2</v>
      </c>
      <c r="G3833" t="s">
        <v>25</v>
      </c>
      <c r="H3833" s="1">
        <v>45416</v>
      </c>
      <c r="I3833" s="1">
        <v>45418</v>
      </c>
      <c r="J3833" t="str">
        <f t="shared" si="59"/>
        <v>May-2024</v>
      </c>
    </row>
    <row r="3834" spans="1:10">
      <c r="A3834">
        <v>3833</v>
      </c>
      <c r="B3834">
        <v>10088</v>
      </c>
      <c r="C3834" t="s">
        <v>18</v>
      </c>
      <c r="D3834">
        <v>150559.65</v>
      </c>
      <c r="E3834" t="s">
        <v>19</v>
      </c>
      <c r="F3834">
        <v>23</v>
      </c>
      <c r="G3834" t="s">
        <v>20</v>
      </c>
      <c r="H3834" s="1">
        <v>45470</v>
      </c>
      <c r="I3834" s="1">
        <v>45493</v>
      </c>
      <c r="J3834" t="str">
        <f t="shared" si="59"/>
        <v>Jun-2024</v>
      </c>
    </row>
    <row r="3835" spans="1:10">
      <c r="A3835">
        <v>3834</v>
      </c>
      <c r="B3835">
        <v>16488</v>
      </c>
      <c r="C3835" t="s">
        <v>18</v>
      </c>
      <c r="D3835">
        <v>185884.78</v>
      </c>
      <c r="E3835" t="s">
        <v>19</v>
      </c>
      <c r="F3835">
        <v>14</v>
      </c>
      <c r="G3835" t="s">
        <v>25</v>
      </c>
      <c r="H3835" s="1">
        <v>45623</v>
      </c>
      <c r="I3835" s="1">
        <v>45637</v>
      </c>
      <c r="J3835" t="str">
        <f t="shared" si="59"/>
        <v>Nov-2024</v>
      </c>
    </row>
    <row r="3836" spans="1:10">
      <c r="A3836">
        <v>3835</v>
      </c>
      <c r="B3836">
        <v>13381</v>
      </c>
      <c r="C3836" t="s">
        <v>23</v>
      </c>
      <c r="D3836">
        <v>131137.74</v>
      </c>
      <c r="E3836" t="s">
        <v>16</v>
      </c>
      <c r="F3836">
        <v>39</v>
      </c>
      <c r="G3836" t="s">
        <v>17</v>
      </c>
      <c r="H3836" s="1">
        <v>45328</v>
      </c>
      <c r="I3836" s="1">
        <v>45367</v>
      </c>
      <c r="J3836" t="str">
        <f t="shared" si="59"/>
        <v>Feb-2024</v>
      </c>
    </row>
    <row r="3837" spans="1:10">
      <c r="A3837">
        <v>3836</v>
      </c>
      <c r="B3837">
        <v>13185</v>
      </c>
      <c r="C3837" t="s">
        <v>18</v>
      </c>
      <c r="D3837">
        <v>194207.28</v>
      </c>
      <c r="E3837" t="s">
        <v>16</v>
      </c>
      <c r="F3837">
        <v>42</v>
      </c>
      <c r="G3837" t="s">
        <v>25</v>
      </c>
      <c r="H3837" s="1">
        <v>45392</v>
      </c>
      <c r="I3837" s="1">
        <v>45434</v>
      </c>
      <c r="J3837" t="str">
        <f t="shared" si="59"/>
        <v>Apr-2024</v>
      </c>
    </row>
    <row r="3838" spans="1:10">
      <c r="A3838">
        <v>3837</v>
      </c>
      <c r="B3838">
        <v>16679</v>
      </c>
      <c r="C3838" t="s">
        <v>23</v>
      </c>
      <c r="D3838">
        <v>72211.259999999995</v>
      </c>
      <c r="E3838" t="s">
        <v>16</v>
      </c>
      <c r="F3838">
        <v>41</v>
      </c>
      <c r="G3838" t="s">
        <v>21</v>
      </c>
      <c r="H3838" s="1">
        <v>45322</v>
      </c>
      <c r="I3838" s="1">
        <v>45363</v>
      </c>
      <c r="J3838" t="str">
        <f t="shared" si="59"/>
        <v>Jan-2024</v>
      </c>
    </row>
    <row r="3839" spans="1:10">
      <c r="A3839">
        <v>3838</v>
      </c>
      <c r="B3839">
        <v>16306</v>
      </c>
      <c r="C3839" t="s">
        <v>23</v>
      </c>
      <c r="D3839">
        <v>73236.06</v>
      </c>
      <c r="E3839" t="s">
        <v>16</v>
      </c>
      <c r="F3839">
        <v>32</v>
      </c>
      <c r="G3839" t="s">
        <v>25</v>
      </c>
      <c r="H3839" s="1">
        <v>45481</v>
      </c>
      <c r="I3839" s="1">
        <v>45513</v>
      </c>
      <c r="J3839" t="str">
        <f t="shared" si="59"/>
        <v>Jul-2024</v>
      </c>
    </row>
    <row r="3840" spans="1:10">
      <c r="A3840">
        <v>3839</v>
      </c>
      <c r="B3840">
        <v>10864</v>
      </c>
      <c r="C3840" t="s">
        <v>23</v>
      </c>
      <c r="D3840">
        <v>110887.44</v>
      </c>
      <c r="E3840" t="s">
        <v>19</v>
      </c>
      <c r="F3840">
        <v>16</v>
      </c>
      <c r="G3840" t="s">
        <v>21</v>
      </c>
      <c r="H3840" s="1">
        <v>45437</v>
      </c>
      <c r="I3840" s="1">
        <v>45453</v>
      </c>
      <c r="J3840" t="str">
        <f t="shared" si="59"/>
        <v>May-2024</v>
      </c>
    </row>
    <row r="3841" spans="1:10">
      <c r="A3841">
        <v>3840</v>
      </c>
      <c r="B3841">
        <v>18246</v>
      </c>
      <c r="C3841" t="s">
        <v>23</v>
      </c>
      <c r="D3841">
        <v>79782.87</v>
      </c>
      <c r="E3841" t="s">
        <v>16</v>
      </c>
      <c r="F3841">
        <v>3</v>
      </c>
      <c r="G3841" t="s">
        <v>25</v>
      </c>
      <c r="H3841" s="1">
        <v>45381</v>
      </c>
      <c r="I3841" s="1">
        <v>45384</v>
      </c>
      <c r="J3841" t="str">
        <f t="shared" si="59"/>
        <v>Mar-2024</v>
      </c>
    </row>
    <row r="3842" spans="1:10">
      <c r="A3842">
        <v>3841</v>
      </c>
      <c r="B3842">
        <v>14671</v>
      </c>
      <c r="C3842" t="s">
        <v>23</v>
      </c>
      <c r="D3842">
        <v>5278.02</v>
      </c>
      <c r="E3842" t="s">
        <v>16</v>
      </c>
      <c r="F3842">
        <v>32</v>
      </c>
      <c r="G3842" t="s">
        <v>20</v>
      </c>
      <c r="H3842" s="1">
        <v>45297</v>
      </c>
      <c r="I3842" s="1">
        <v>45329</v>
      </c>
      <c r="J3842" t="str">
        <f t="shared" si="59"/>
        <v>Jan-2024</v>
      </c>
    </row>
    <row r="3843" spans="1:10">
      <c r="A3843">
        <v>3842</v>
      </c>
      <c r="B3843">
        <v>10557</v>
      </c>
      <c r="C3843" t="s">
        <v>18</v>
      </c>
      <c r="D3843">
        <v>147695.54</v>
      </c>
      <c r="E3843" t="s">
        <v>16</v>
      </c>
      <c r="F3843">
        <v>27</v>
      </c>
      <c r="G3843" t="s">
        <v>17</v>
      </c>
      <c r="H3843" s="1">
        <v>45430</v>
      </c>
      <c r="I3843" s="1">
        <v>45457</v>
      </c>
      <c r="J3843" t="str">
        <f t="shared" ref="J3843:J3906" si="60">TEXT(H3843,"mmm-yyyy")</f>
        <v>May-2024</v>
      </c>
    </row>
    <row r="3844" spans="1:10">
      <c r="A3844">
        <v>3843</v>
      </c>
      <c r="B3844">
        <v>19184</v>
      </c>
      <c r="C3844" t="s">
        <v>18</v>
      </c>
      <c r="D3844">
        <v>151584.82</v>
      </c>
      <c r="E3844" t="s">
        <v>16</v>
      </c>
      <c r="F3844">
        <v>3</v>
      </c>
      <c r="G3844" t="s">
        <v>21</v>
      </c>
      <c r="H3844" s="1">
        <v>45386</v>
      </c>
      <c r="I3844" s="1">
        <v>45389</v>
      </c>
      <c r="J3844" t="str">
        <f t="shared" si="60"/>
        <v>Apr-2024</v>
      </c>
    </row>
    <row r="3845" spans="1:10">
      <c r="A3845">
        <v>3844</v>
      </c>
      <c r="B3845">
        <v>14291</v>
      </c>
      <c r="C3845" t="s">
        <v>15</v>
      </c>
      <c r="D3845">
        <v>150660.04999999999</v>
      </c>
      <c r="E3845" t="s">
        <v>19</v>
      </c>
      <c r="F3845">
        <v>12</v>
      </c>
      <c r="G3845" t="s">
        <v>25</v>
      </c>
      <c r="H3845" s="1">
        <v>45410</v>
      </c>
      <c r="I3845" s="1">
        <v>45422</v>
      </c>
      <c r="J3845" t="str">
        <f t="shared" si="60"/>
        <v>Apr-2024</v>
      </c>
    </row>
    <row r="3846" spans="1:10">
      <c r="A3846">
        <v>3845</v>
      </c>
      <c r="B3846">
        <v>10447</v>
      </c>
      <c r="C3846" t="s">
        <v>23</v>
      </c>
      <c r="D3846">
        <v>72279.03</v>
      </c>
      <c r="E3846" t="s">
        <v>16</v>
      </c>
      <c r="F3846">
        <v>34</v>
      </c>
      <c r="G3846" t="s">
        <v>25</v>
      </c>
      <c r="H3846" s="1">
        <v>45411</v>
      </c>
      <c r="I3846" s="1">
        <v>45445</v>
      </c>
      <c r="J3846" t="str">
        <f t="shared" si="60"/>
        <v>Apr-2024</v>
      </c>
    </row>
    <row r="3847" spans="1:10">
      <c r="A3847">
        <v>3846</v>
      </c>
      <c r="B3847">
        <v>11821</v>
      </c>
      <c r="C3847" t="s">
        <v>23</v>
      </c>
      <c r="D3847">
        <v>106846.45</v>
      </c>
      <c r="E3847" t="s">
        <v>24</v>
      </c>
      <c r="G3847" t="s">
        <v>25</v>
      </c>
      <c r="H3847" s="1">
        <v>45414</v>
      </c>
      <c r="J3847" t="str">
        <f t="shared" si="60"/>
        <v>May-2024</v>
      </c>
    </row>
    <row r="3848" spans="1:10">
      <c r="A3848">
        <v>3847</v>
      </c>
      <c r="B3848">
        <v>13819</v>
      </c>
      <c r="C3848" t="s">
        <v>23</v>
      </c>
      <c r="D3848">
        <v>75194.84</v>
      </c>
      <c r="E3848" t="s">
        <v>24</v>
      </c>
      <c r="G3848" t="s">
        <v>20</v>
      </c>
      <c r="H3848" s="1">
        <v>45576</v>
      </c>
      <c r="J3848" t="str">
        <f t="shared" si="60"/>
        <v>Oct-2024</v>
      </c>
    </row>
    <row r="3849" spans="1:10">
      <c r="A3849">
        <v>3848</v>
      </c>
      <c r="B3849">
        <v>10091</v>
      </c>
      <c r="C3849" t="s">
        <v>22</v>
      </c>
      <c r="D3849">
        <v>8127.1</v>
      </c>
      <c r="E3849" t="s">
        <v>16</v>
      </c>
      <c r="F3849">
        <v>32</v>
      </c>
      <c r="G3849" t="s">
        <v>20</v>
      </c>
      <c r="H3849" s="1">
        <v>45470</v>
      </c>
      <c r="I3849" s="1">
        <v>45502</v>
      </c>
      <c r="J3849" t="str">
        <f t="shared" si="60"/>
        <v>Jun-2024</v>
      </c>
    </row>
    <row r="3850" spans="1:10">
      <c r="A3850">
        <v>3849</v>
      </c>
      <c r="B3850">
        <v>10607</v>
      </c>
      <c r="C3850" t="s">
        <v>18</v>
      </c>
      <c r="D3850">
        <v>114677.54</v>
      </c>
      <c r="E3850" t="s">
        <v>16</v>
      </c>
      <c r="F3850">
        <v>27</v>
      </c>
      <c r="G3850" t="s">
        <v>21</v>
      </c>
      <c r="H3850" s="1">
        <v>45616</v>
      </c>
      <c r="I3850" s="1">
        <v>45643</v>
      </c>
      <c r="J3850" t="str">
        <f t="shared" si="60"/>
        <v>Nov-2024</v>
      </c>
    </row>
    <row r="3851" spans="1:10">
      <c r="A3851">
        <v>3850</v>
      </c>
      <c r="B3851">
        <v>19443</v>
      </c>
      <c r="C3851" t="s">
        <v>18</v>
      </c>
      <c r="D3851">
        <v>29133.33</v>
      </c>
      <c r="E3851" t="s">
        <v>19</v>
      </c>
      <c r="F3851">
        <v>31</v>
      </c>
      <c r="G3851" t="s">
        <v>21</v>
      </c>
      <c r="H3851" s="1">
        <v>45298</v>
      </c>
      <c r="I3851" s="1">
        <v>45329</v>
      </c>
      <c r="J3851" t="str">
        <f t="shared" si="60"/>
        <v>Jan-2024</v>
      </c>
    </row>
    <row r="3852" spans="1:10">
      <c r="A3852">
        <v>3851</v>
      </c>
      <c r="B3852">
        <v>10285</v>
      </c>
      <c r="C3852" t="s">
        <v>23</v>
      </c>
      <c r="D3852">
        <v>20608.060000000001</v>
      </c>
      <c r="E3852" t="s">
        <v>16</v>
      </c>
      <c r="F3852">
        <v>40</v>
      </c>
      <c r="G3852" t="s">
        <v>20</v>
      </c>
      <c r="H3852" s="1">
        <v>45603</v>
      </c>
      <c r="I3852" s="1">
        <v>45643</v>
      </c>
      <c r="J3852" t="str">
        <f t="shared" si="60"/>
        <v>Nov-2024</v>
      </c>
    </row>
    <row r="3853" spans="1:10">
      <c r="A3853">
        <v>3852</v>
      </c>
      <c r="B3853">
        <v>12921</v>
      </c>
      <c r="C3853" t="s">
        <v>18</v>
      </c>
      <c r="D3853">
        <v>152322.32</v>
      </c>
      <c r="E3853" t="s">
        <v>16</v>
      </c>
      <c r="F3853">
        <v>22</v>
      </c>
      <c r="G3853" t="s">
        <v>21</v>
      </c>
      <c r="H3853" s="1">
        <v>45418</v>
      </c>
      <c r="I3853" s="1">
        <v>45440</v>
      </c>
      <c r="J3853" t="str">
        <f t="shared" si="60"/>
        <v>May-2024</v>
      </c>
    </row>
    <row r="3854" spans="1:10">
      <c r="A3854">
        <v>3853</v>
      </c>
      <c r="B3854">
        <v>10101</v>
      </c>
      <c r="C3854" t="s">
        <v>23</v>
      </c>
      <c r="D3854">
        <v>6853.71</v>
      </c>
      <c r="E3854" t="s">
        <v>16</v>
      </c>
      <c r="F3854">
        <v>17</v>
      </c>
      <c r="G3854" t="s">
        <v>17</v>
      </c>
      <c r="H3854" s="1">
        <v>45368</v>
      </c>
      <c r="I3854" s="1">
        <v>45385</v>
      </c>
      <c r="J3854" t="str">
        <f t="shared" si="60"/>
        <v>Mar-2024</v>
      </c>
    </row>
    <row r="3855" spans="1:10">
      <c r="A3855">
        <v>3854</v>
      </c>
      <c r="B3855">
        <v>13835</v>
      </c>
      <c r="C3855" t="s">
        <v>18</v>
      </c>
      <c r="D3855">
        <v>192006.65</v>
      </c>
      <c r="E3855" t="s">
        <v>16</v>
      </c>
      <c r="F3855">
        <v>8</v>
      </c>
      <c r="G3855" t="s">
        <v>17</v>
      </c>
      <c r="H3855" s="1">
        <v>45525</v>
      </c>
      <c r="I3855" s="1">
        <v>45533</v>
      </c>
      <c r="J3855" t="str">
        <f t="shared" si="60"/>
        <v>Aug-2024</v>
      </c>
    </row>
    <row r="3856" spans="1:10">
      <c r="A3856">
        <v>3855</v>
      </c>
      <c r="B3856">
        <v>18169</v>
      </c>
      <c r="C3856" t="s">
        <v>22</v>
      </c>
      <c r="D3856">
        <v>105474.8</v>
      </c>
      <c r="E3856" t="s">
        <v>19</v>
      </c>
      <c r="F3856">
        <v>23</v>
      </c>
      <c r="G3856" t="s">
        <v>20</v>
      </c>
      <c r="H3856" s="1">
        <v>45609</v>
      </c>
      <c r="I3856" s="1">
        <v>45632</v>
      </c>
      <c r="J3856" t="str">
        <f t="shared" si="60"/>
        <v>Nov-2024</v>
      </c>
    </row>
    <row r="3857" spans="1:10">
      <c r="A3857">
        <v>3856</v>
      </c>
      <c r="B3857">
        <v>14235</v>
      </c>
      <c r="C3857" t="s">
        <v>22</v>
      </c>
      <c r="D3857">
        <v>196688.2</v>
      </c>
      <c r="E3857" t="s">
        <v>16</v>
      </c>
      <c r="F3857">
        <v>8</v>
      </c>
      <c r="G3857" t="s">
        <v>21</v>
      </c>
      <c r="H3857" s="1">
        <v>45365</v>
      </c>
      <c r="I3857" s="1">
        <v>45373</v>
      </c>
      <c r="J3857" t="str">
        <f t="shared" si="60"/>
        <v>Mar-2024</v>
      </c>
    </row>
    <row r="3858" spans="1:10">
      <c r="A3858">
        <v>3857</v>
      </c>
      <c r="B3858">
        <v>19870</v>
      </c>
      <c r="C3858" t="s">
        <v>18</v>
      </c>
      <c r="D3858">
        <v>16309.53</v>
      </c>
      <c r="E3858" t="s">
        <v>16</v>
      </c>
      <c r="F3858">
        <v>3</v>
      </c>
      <c r="G3858" t="s">
        <v>25</v>
      </c>
      <c r="H3858" s="1">
        <v>45562</v>
      </c>
      <c r="I3858" s="1">
        <v>45565</v>
      </c>
      <c r="J3858" t="str">
        <f t="shared" si="60"/>
        <v>Sep-2024</v>
      </c>
    </row>
    <row r="3859" spans="1:10">
      <c r="A3859">
        <v>3858</v>
      </c>
      <c r="B3859">
        <v>17509</v>
      </c>
      <c r="C3859" t="s">
        <v>23</v>
      </c>
      <c r="D3859">
        <v>118788.26</v>
      </c>
      <c r="E3859" t="s">
        <v>24</v>
      </c>
      <c r="G3859" t="s">
        <v>17</v>
      </c>
      <c r="H3859" s="1">
        <v>45600</v>
      </c>
      <c r="J3859" t="str">
        <f t="shared" si="60"/>
        <v>Nov-2024</v>
      </c>
    </row>
    <row r="3860" spans="1:10">
      <c r="A3860">
        <v>3859</v>
      </c>
      <c r="B3860">
        <v>16716</v>
      </c>
      <c r="C3860" t="s">
        <v>22</v>
      </c>
      <c r="D3860">
        <v>73118.77</v>
      </c>
      <c r="E3860" t="s">
        <v>19</v>
      </c>
      <c r="F3860">
        <v>15</v>
      </c>
      <c r="G3860" t="s">
        <v>20</v>
      </c>
      <c r="H3860" s="1">
        <v>45411</v>
      </c>
      <c r="I3860" s="1">
        <v>45426</v>
      </c>
      <c r="J3860" t="str">
        <f t="shared" si="60"/>
        <v>Apr-2024</v>
      </c>
    </row>
    <row r="3861" spans="1:10">
      <c r="A3861">
        <v>3860</v>
      </c>
      <c r="B3861">
        <v>10534</v>
      </c>
      <c r="C3861" t="s">
        <v>18</v>
      </c>
      <c r="D3861">
        <v>169479.09</v>
      </c>
      <c r="E3861" t="s">
        <v>16</v>
      </c>
      <c r="F3861">
        <v>9</v>
      </c>
      <c r="G3861" t="s">
        <v>21</v>
      </c>
      <c r="H3861" s="1">
        <v>45326</v>
      </c>
      <c r="I3861" s="1">
        <v>45335</v>
      </c>
      <c r="J3861" t="str">
        <f t="shared" si="60"/>
        <v>Feb-2024</v>
      </c>
    </row>
    <row r="3862" spans="1:10">
      <c r="A3862">
        <v>3861</v>
      </c>
      <c r="B3862">
        <v>16666</v>
      </c>
      <c r="C3862" t="s">
        <v>23</v>
      </c>
      <c r="D3862">
        <v>75438.429999999993</v>
      </c>
      <c r="E3862" t="s">
        <v>19</v>
      </c>
      <c r="F3862">
        <v>30</v>
      </c>
      <c r="G3862" t="s">
        <v>20</v>
      </c>
      <c r="H3862" s="1">
        <v>45498</v>
      </c>
      <c r="I3862" s="1">
        <v>45528</v>
      </c>
      <c r="J3862" t="str">
        <f t="shared" si="60"/>
        <v>Jul-2024</v>
      </c>
    </row>
    <row r="3863" spans="1:10">
      <c r="A3863">
        <v>3862</v>
      </c>
      <c r="B3863">
        <v>18207</v>
      </c>
      <c r="C3863" t="s">
        <v>23</v>
      </c>
      <c r="D3863">
        <v>55795.08</v>
      </c>
      <c r="E3863" t="s">
        <v>16</v>
      </c>
      <c r="F3863">
        <v>8</v>
      </c>
      <c r="G3863" t="s">
        <v>25</v>
      </c>
      <c r="H3863" s="1">
        <v>45561</v>
      </c>
      <c r="I3863" s="1">
        <v>45569</v>
      </c>
      <c r="J3863" t="str">
        <f t="shared" si="60"/>
        <v>Sep-2024</v>
      </c>
    </row>
    <row r="3864" spans="1:10">
      <c r="A3864">
        <v>3863</v>
      </c>
      <c r="B3864">
        <v>18752</v>
      </c>
      <c r="C3864" t="s">
        <v>23</v>
      </c>
      <c r="D3864">
        <v>172222.86</v>
      </c>
      <c r="E3864" t="s">
        <v>19</v>
      </c>
      <c r="F3864">
        <v>39</v>
      </c>
      <c r="G3864" t="s">
        <v>17</v>
      </c>
      <c r="H3864" s="1">
        <v>45384</v>
      </c>
      <c r="I3864" s="1">
        <v>45423</v>
      </c>
      <c r="J3864" t="str">
        <f t="shared" si="60"/>
        <v>Apr-2024</v>
      </c>
    </row>
    <row r="3865" spans="1:10">
      <c r="A3865">
        <v>3864</v>
      </c>
      <c r="B3865">
        <v>12925</v>
      </c>
      <c r="C3865" t="s">
        <v>23</v>
      </c>
      <c r="D3865">
        <v>78057.350000000006</v>
      </c>
      <c r="E3865" t="s">
        <v>16</v>
      </c>
      <c r="F3865">
        <v>23</v>
      </c>
      <c r="G3865" t="s">
        <v>20</v>
      </c>
      <c r="H3865" s="1">
        <v>45468</v>
      </c>
      <c r="I3865" s="1">
        <v>45491</v>
      </c>
      <c r="J3865" t="str">
        <f t="shared" si="60"/>
        <v>Jun-2024</v>
      </c>
    </row>
    <row r="3866" spans="1:10">
      <c r="A3866">
        <v>3865</v>
      </c>
      <c r="B3866">
        <v>10909</v>
      </c>
      <c r="C3866" t="s">
        <v>23</v>
      </c>
      <c r="D3866">
        <v>8282.5</v>
      </c>
      <c r="E3866" t="s">
        <v>16</v>
      </c>
      <c r="F3866">
        <v>18</v>
      </c>
      <c r="G3866" t="s">
        <v>20</v>
      </c>
      <c r="H3866" s="1">
        <v>45565</v>
      </c>
      <c r="I3866" s="1">
        <v>45583</v>
      </c>
      <c r="J3866" t="str">
        <f t="shared" si="60"/>
        <v>Sep-2024</v>
      </c>
    </row>
    <row r="3867" spans="1:10">
      <c r="A3867">
        <v>3866</v>
      </c>
      <c r="B3867">
        <v>19605</v>
      </c>
      <c r="C3867" t="s">
        <v>18</v>
      </c>
      <c r="D3867">
        <v>81106.37</v>
      </c>
      <c r="E3867" t="s">
        <v>19</v>
      </c>
      <c r="F3867">
        <v>17</v>
      </c>
      <c r="G3867" t="s">
        <v>20</v>
      </c>
      <c r="H3867" s="1">
        <v>45470</v>
      </c>
      <c r="I3867" s="1">
        <v>45487</v>
      </c>
      <c r="J3867" t="str">
        <f t="shared" si="60"/>
        <v>Jun-2024</v>
      </c>
    </row>
    <row r="3868" spans="1:10">
      <c r="A3868">
        <v>3867</v>
      </c>
      <c r="B3868">
        <v>15008</v>
      </c>
      <c r="C3868" t="s">
        <v>23</v>
      </c>
      <c r="D3868">
        <v>132631.84</v>
      </c>
      <c r="E3868" t="s">
        <v>16</v>
      </c>
      <c r="F3868">
        <v>34</v>
      </c>
      <c r="G3868" t="s">
        <v>25</v>
      </c>
      <c r="H3868" s="1">
        <v>45420</v>
      </c>
      <c r="I3868" s="1">
        <v>45454</v>
      </c>
      <c r="J3868" t="str">
        <f t="shared" si="60"/>
        <v>May-2024</v>
      </c>
    </row>
    <row r="3869" spans="1:10">
      <c r="A3869">
        <v>3868</v>
      </c>
      <c r="B3869">
        <v>10118</v>
      </c>
      <c r="C3869" t="s">
        <v>23</v>
      </c>
      <c r="D3869">
        <v>54600.11</v>
      </c>
      <c r="E3869" t="s">
        <v>24</v>
      </c>
      <c r="G3869" t="s">
        <v>20</v>
      </c>
      <c r="H3869" s="1">
        <v>45416</v>
      </c>
      <c r="J3869" t="str">
        <f t="shared" si="60"/>
        <v>May-2024</v>
      </c>
    </row>
    <row r="3870" spans="1:10">
      <c r="A3870">
        <v>3869</v>
      </c>
      <c r="B3870">
        <v>13113</v>
      </c>
      <c r="C3870" t="s">
        <v>18</v>
      </c>
      <c r="D3870">
        <v>89237.58</v>
      </c>
      <c r="E3870" t="s">
        <v>16</v>
      </c>
      <c r="F3870">
        <v>36</v>
      </c>
      <c r="G3870" t="s">
        <v>25</v>
      </c>
      <c r="H3870" s="1">
        <v>45318</v>
      </c>
      <c r="I3870" s="1">
        <v>45354</v>
      </c>
      <c r="J3870" t="str">
        <f t="shared" si="60"/>
        <v>Jan-2024</v>
      </c>
    </row>
    <row r="3871" spans="1:10">
      <c r="A3871">
        <v>3870</v>
      </c>
      <c r="B3871">
        <v>16153</v>
      </c>
      <c r="C3871" t="s">
        <v>15</v>
      </c>
      <c r="D3871">
        <v>16059.45</v>
      </c>
      <c r="E3871" t="s">
        <v>24</v>
      </c>
      <c r="G3871" t="s">
        <v>25</v>
      </c>
      <c r="H3871" s="1">
        <v>45355</v>
      </c>
      <c r="J3871" t="str">
        <f t="shared" si="60"/>
        <v>Mar-2024</v>
      </c>
    </row>
    <row r="3872" spans="1:10">
      <c r="A3872">
        <v>3871</v>
      </c>
      <c r="B3872">
        <v>11491</v>
      </c>
      <c r="C3872" t="s">
        <v>18</v>
      </c>
      <c r="D3872">
        <v>119678.09</v>
      </c>
      <c r="E3872" t="s">
        <v>24</v>
      </c>
      <c r="G3872" t="s">
        <v>25</v>
      </c>
      <c r="H3872" s="1">
        <v>45351</v>
      </c>
      <c r="J3872" t="str">
        <f t="shared" si="60"/>
        <v>Feb-2024</v>
      </c>
    </row>
    <row r="3873" spans="1:10">
      <c r="A3873">
        <v>3872</v>
      </c>
      <c r="B3873">
        <v>12096</v>
      </c>
      <c r="C3873" t="s">
        <v>23</v>
      </c>
      <c r="D3873">
        <v>152477.51</v>
      </c>
      <c r="E3873" t="s">
        <v>16</v>
      </c>
      <c r="F3873">
        <v>4</v>
      </c>
      <c r="G3873" t="s">
        <v>17</v>
      </c>
      <c r="H3873" s="1">
        <v>45510</v>
      </c>
      <c r="I3873" s="1">
        <v>45514</v>
      </c>
      <c r="J3873" t="str">
        <f t="shared" si="60"/>
        <v>Aug-2024</v>
      </c>
    </row>
    <row r="3874" spans="1:10">
      <c r="A3874">
        <v>3873</v>
      </c>
      <c r="B3874">
        <v>17944</v>
      </c>
      <c r="C3874" t="s">
        <v>22</v>
      </c>
      <c r="D3874">
        <v>85595.95</v>
      </c>
      <c r="E3874" t="s">
        <v>19</v>
      </c>
      <c r="F3874">
        <v>4</v>
      </c>
      <c r="G3874" t="s">
        <v>17</v>
      </c>
      <c r="H3874" s="1">
        <v>45508</v>
      </c>
      <c r="I3874" s="1">
        <v>45512</v>
      </c>
      <c r="J3874" t="str">
        <f t="shared" si="60"/>
        <v>Aug-2024</v>
      </c>
    </row>
    <row r="3875" spans="1:10">
      <c r="A3875">
        <v>3874</v>
      </c>
      <c r="B3875">
        <v>12254</v>
      </c>
      <c r="C3875" t="s">
        <v>22</v>
      </c>
      <c r="D3875">
        <v>86945.36</v>
      </c>
      <c r="E3875" t="s">
        <v>16</v>
      </c>
      <c r="F3875">
        <v>9</v>
      </c>
      <c r="G3875" t="s">
        <v>20</v>
      </c>
      <c r="H3875" s="1">
        <v>45460</v>
      </c>
      <c r="I3875" s="1">
        <v>45469</v>
      </c>
      <c r="J3875" t="str">
        <f t="shared" si="60"/>
        <v>Jun-2024</v>
      </c>
    </row>
    <row r="3876" spans="1:10">
      <c r="A3876">
        <v>3875</v>
      </c>
      <c r="B3876">
        <v>18705</v>
      </c>
      <c r="C3876" t="s">
        <v>23</v>
      </c>
      <c r="D3876">
        <v>22215.09</v>
      </c>
      <c r="E3876" t="s">
        <v>24</v>
      </c>
      <c r="G3876" t="s">
        <v>20</v>
      </c>
      <c r="H3876" s="1">
        <v>45440</v>
      </c>
      <c r="J3876" t="str">
        <f t="shared" si="60"/>
        <v>May-2024</v>
      </c>
    </row>
    <row r="3877" spans="1:10">
      <c r="A3877">
        <v>3876</v>
      </c>
      <c r="B3877">
        <v>16103</v>
      </c>
      <c r="C3877" t="s">
        <v>23</v>
      </c>
      <c r="D3877">
        <v>44378.47</v>
      </c>
      <c r="E3877" t="s">
        <v>16</v>
      </c>
      <c r="F3877">
        <v>10</v>
      </c>
      <c r="G3877" t="s">
        <v>17</v>
      </c>
      <c r="H3877" s="1">
        <v>45561</v>
      </c>
      <c r="I3877" s="1">
        <v>45571</v>
      </c>
      <c r="J3877" t="str">
        <f t="shared" si="60"/>
        <v>Sep-2024</v>
      </c>
    </row>
    <row r="3878" spans="1:10">
      <c r="A3878">
        <v>3877</v>
      </c>
      <c r="B3878">
        <v>11233</v>
      </c>
      <c r="C3878" t="s">
        <v>18</v>
      </c>
      <c r="D3878">
        <v>35161.68</v>
      </c>
      <c r="E3878" t="s">
        <v>19</v>
      </c>
      <c r="F3878">
        <v>6</v>
      </c>
      <c r="G3878" t="s">
        <v>21</v>
      </c>
      <c r="H3878" s="1">
        <v>45407</v>
      </c>
      <c r="I3878" s="1">
        <v>45413</v>
      </c>
      <c r="J3878" t="str">
        <f t="shared" si="60"/>
        <v>Apr-2024</v>
      </c>
    </row>
    <row r="3879" spans="1:10">
      <c r="A3879">
        <v>3878</v>
      </c>
      <c r="B3879">
        <v>15258</v>
      </c>
      <c r="C3879" t="s">
        <v>15</v>
      </c>
      <c r="D3879">
        <v>98929.11</v>
      </c>
      <c r="E3879" t="s">
        <v>16</v>
      </c>
      <c r="F3879">
        <v>29</v>
      </c>
      <c r="G3879" t="s">
        <v>17</v>
      </c>
      <c r="H3879" s="1">
        <v>45536</v>
      </c>
      <c r="I3879" s="1">
        <v>45565</v>
      </c>
      <c r="J3879" t="str">
        <f t="shared" si="60"/>
        <v>Sep-2024</v>
      </c>
    </row>
    <row r="3880" spans="1:10">
      <c r="A3880">
        <v>3879</v>
      </c>
      <c r="B3880">
        <v>19671</v>
      </c>
      <c r="C3880" t="s">
        <v>22</v>
      </c>
      <c r="D3880">
        <v>108204.83</v>
      </c>
      <c r="E3880" t="s">
        <v>16</v>
      </c>
      <c r="F3880">
        <v>16</v>
      </c>
      <c r="G3880" t="s">
        <v>25</v>
      </c>
      <c r="H3880" s="1">
        <v>45439</v>
      </c>
      <c r="I3880" s="1">
        <v>45455</v>
      </c>
      <c r="J3880" t="str">
        <f t="shared" si="60"/>
        <v>May-2024</v>
      </c>
    </row>
    <row r="3881" spans="1:10">
      <c r="A3881">
        <v>3880</v>
      </c>
      <c r="B3881">
        <v>15631</v>
      </c>
      <c r="C3881" t="s">
        <v>15</v>
      </c>
      <c r="D3881">
        <v>190043.33</v>
      </c>
      <c r="E3881" t="s">
        <v>16</v>
      </c>
      <c r="F3881">
        <v>28</v>
      </c>
      <c r="G3881" t="s">
        <v>17</v>
      </c>
      <c r="H3881" s="1">
        <v>45383</v>
      </c>
      <c r="I3881" s="1">
        <v>45411</v>
      </c>
      <c r="J3881" t="str">
        <f t="shared" si="60"/>
        <v>Apr-2024</v>
      </c>
    </row>
    <row r="3882" spans="1:10">
      <c r="A3882">
        <v>3881</v>
      </c>
      <c r="B3882">
        <v>13349</v>
      </c>
      <c r="C3882" t="s">
        <v>18</v>
      </c>
      <c r="D3882">
        <v>19280.14</v>
      </c>
      <c r="E3882" t="s">
        <v>16</v>
      </c>
      <c r="F3882">
        <v>43</v>
      </c>
      <c r="G3882" t="s">
        <v>25</v>
      </c>
      <c r="H3882" s="1">
        <v>45376</v>
      </c>
      <c r="I3882" s="1">
        <v>45419</v>
      </c>
      <c r="J3882" t="str">
        <f t="shared" si="60"/>
        <v>Mar-2024</v>
      </c>
    </row>
    <row r="3883" spans="1:10">
      <c r="A3883">
        <v>3882</v>
      </c>
      <c r="B3883">
        <v>19732</v>
      </c>
      <c r="C3883" t="s">
        <v>18</v>
      </c>
      <c r="D3883">
        <v>121974.25</v>
      </c>
      <c r="E3883" t="s">
        <v>19</v>
      </c>
      <c r="F3883">
        <v>32</v>
      </c>
      <c r="G3883" t="s">
        <v>20</v>
      </c>
      <c r="H3883" s="1">
        <v>45378</v>
      </c>
      <c r="I3883" s="1">
        <v>45410</v>
      </c>
      <c r="J3883" t="str">
        <f t="shared" si="60"/>
        <v>Mar-2024</v>
      </c>
    </row>
    <row r="3884" spans="1:10">
      <c r="A3884">
        <v>3883</v>
      </c>
      <c r="B3884">
        <v>10129</v>
      </c>
      <c r="C3884" t="s">
        <v>23</v>
      </c>
      <c r="D3884">
        <v>107667.21</v>
      </c>
      <c r="E3884" t="s">
        <v>16</v>
      </c>
      <c r="F3884">
        <v>41</v>
      </c>
      <c r="G3884" t="s">
        <v>21</v>
      </c>
      <c r="H3884" s="1">
        <v>45411</v>
      </c>
      <c r="I3884" s="1">
        <v>45452</v>
      </c>
      <c r="J3884" t="str">
        <f t="shared" si="60"/>
        <v>Apr-2024</v>
      </c>
    </row>
    <row r="3885" spans="1:10">
      <c r="A3885">
        <v>3884</v>
      </c>
      <c r="B3885">
        <v>13716</v>
      </c>
      <c r="C3885" t="s">
        <v>23</v>
      </c>
      <c r="D3885">
        <v>105665.45</v>
      </c>
      <c r="E3885" t="s">
        <v>16</v>
      </c>
      <c r="F3885">
        <v>19</v>
      </c>
      <c r="G3885" t="s">
        <v>20</v>
      </c>
      <c r="H3885" s="1">
        <v>45631</v>
      </c>
      <c r="I3885" s="1">
        <v>45650</v>
      </c>
      <c r="J3885" t="str">
        <f t="shared" si="60"/>
        <v>Dec-2024</v>
      </c>
    </row>
    <row r="3886" spans="1:10">
      <c r="A3886">
        <v>3885</v>
      </c>
      <c r="B3886">
        <v>16754</v>
      </c>
      <c r="C3886" t="s">
        <v>23</v>
      </c>
      <c r="D3886">
        <v>175266.06</v>
      </c>
      <c r="E3886" t="s">
        <v>16</v>
      </c>
      <c r="F3886">
        <v>39</v>
      </c>
      <c r="G3886" t="s">
        <v>25</v>
      </c>
      <c r="H3886" s="1">
        <v>45315</v>
      </c>
      <c r="I3886" s="1">
        <v>45354</v>
      </c>
      <c r="J3886" t="str">
        <f t="shared" si="60"/>
        <v>Jan-2024</v>
      </c>
    </row>
    <row r="3887" spans="1:10">
      <c r="A3887">
        <v>3886</v>
      </c>
      <c r="B3887">
        <v>13743</v>
      </c>
      <c r="C3887" t="s">
        <v>18</v>
      </c>
      <c r="D3887">
        <v>45080</v>
      </c>
      <c r="E3887" t="s">
        <v>16</v>
      </c>
      <c r="F3887">
        <v>5</v>
      </c>
      <c r="G3887" t="s">
        <v>25</v>
      </c>
      <c r="H3887" s="1">
        <v>45380</v>
      </c>
      <c r="I3887" s="1">
        <v>45385</v>
      </c>
      <c r="J3887" t="str">
        <f t="shared" si="60"/>
        <v>Mar-2024</v>
      </c>
    </row>
    <row r="3888" spans="1:10">
      <c r="A3888">
        <v>3887</v>
      </c>
      <c r="B3888">
        <v>11771</v>
      </c>
      <c r="C3888" t="s">
        <v>18</v>
      </c>
      <c r="D3888">
        <v>12950.79</v>
      </c>
      <c r="E3888" t="s">
        <v>16</v>
      </c>
      <c r="F3888">
        <v>22</v>
      </c>
      <c r="G3888" t="s">
        <v>25</v>
      </c>
      <c r="H3888" s="1">
        <v>45328</v>
      </c>
      <c r="I3888" s="1">
        <v>45350</v>
      </c>
      <c r="J3888" t="str">
        <f t="shared" si="60"/>
        <v>Feb-2024</v>
      </c>
    </row>
    <row r="3889" spans="1:10">
      <c r="A3889">
        <v>3888</v>
      </c>
      <c r="B3889">
        <v>14454</v>
      </c>
      <c r="C3889" t="s">
        <v>18</v>
      </c>
      <c r="D3889">
        <v>136092.94</v>
      </c>
      <c r="E3889" t="s">
        <v>19</v>
      </c>
      <c r="F3889">
        <v>43</v>
      </c>
      <c r="G3889" t="s">
        <v>21</v>
      </c>
      <c r="H3889" s="1">
        <v>45633</v>
      </c>
      <c r="I3889" s="1">
        <v>45676</v>
      </c>
      <c r="J3889" t="str">
        <f t="shared" si="60"/>
        <v>Dec-2024</v>
      </c>
    </row>
    <row r="3890" spans="1:10">
      <c r="A3890">
        <v>3889</v>
      </c>
      <c r="B3890">
        <v>16770</v>
      </c>
      <c r="C3890" t="s">
        <v>23</v>
      </c>
      <c r="D3890">
        <v>72305.710000000006</v>
      </c>
      <c r="E3890" t="s">
        <v>24</v>
      </c>
      <c r="G3890" t="s">
        <v>17</v>
      </c>
      <c r="H3890" s="1">
        <v>45562</v>
      </c>
      <c r="J3890" t="str">
        <f t="shared" si="60"/>
        <v>Sep-2024</v>
      </c>
    </row>
    <row r="3891" spans="1:10">
      <c r="A3891">
        <v>3890</v>
      </c>
      <c r="B3891">
        <v>17250</v>
      </c>
      <c r="C3891" t="s">
        <v>18</v>
      </c>
      <c r="D3891">
        <v>8430.0300000000007</v>
      </c>
      <c r="E3891" t="s">
        <v>16</v>
      </c>
      <c r="F3891">
        <v>23</v>
      </c>
      <c r="G3891" t="s">
        <v>20</v>
      </c>
      <c r="H3891" s="1">
        <v>45303</v>
      </c>
      <c r="I3891" s="1">
        <v>45326</v>
      </c>
      <c r="J3891" t="str">
        <f t="shared" si="60"/>
        <v>Jan-2024</v>
      </c>
    </row>
    <row r="3892" spans="1:10">
      <c r="A3892">
        <v>3891</v>
      </c>
      <c r="B3892">
        <v>15273</v>
      </c>
      <c r="C3892" t="s">
        <v>23</v>
      </c>
      <c r="D3892">
        <v>54017.93</v>
      </c>
      <c r="E3892" t="s">
        <v>16</v>
      </c>
      <c r="F3892">
        <v>2</v>
      </c>
      <c r="G3892" t="s">
        <v>20</v>
      </c>
      <c r="H3892" s="1">
        <v>45386</v>
      </c>
      <c r="I3892" s="1">
        <v>45388</v>
      </c>
      <c r="J3892" t="str">
        <f t="shared" si="60"/>
        <v>Apr-2024</v>
      </c>
    </row>
    <row r="3893" spans="1:10">
      <c r="A3893">
        <v>3892</v>
      </c>
      <c r="B3893">
        <v>18697</v>
      </c>
      <c r="C3893" t="s">
        <v>23</v>
      </c>
      <c r="D3893">
        <v>65318.720000000001</v>
      </c>
      <c r="E3893" t="s">
        <v>16</v>
      </c>
      <c r="F3893">
        <v>26</v>
      </c>
      <c r="G3893" t="s">
        <v>17</v>
      </c>
      <c r="H3893" s="1">
        <v>45322</v>
      </c>
      <c r="I3893" s="1">
        <v>45348</v>
      </c>
      <c r="J3893" t="str">
        <f t="shared" si="60"/>
        <v>Jan-2024</v>
      </c>
    </row>
    <row r="3894" spans="1:10">
      <c r="A3894">
        <v>3893</v>
      </c>
      <c r="B3894">
        <v>15628</v>
      </c>
      <c r="C3894" t="s">
        <v>18</v>
      </c>
      <c r="D3894">
        <v>125283.48</v>
      </c>
      <c r="E3894" t="s">
        <v>16</v>
      </c>
      <c r="F3894">
        <v>42</v>
      </c>
      <c r="G3894" t="s">
        <v>20</v>
      </c>
      <c r="H3894" s="1">
        <v>45641</v>
      </c>
      <c r="I3894" s="1">
        <v>45683</v>
      </c>
      <c r="J3894" t="str">
        <f t="shared" si="60"/>
        <v>Dec-2024</v>
      </c>
    </row>
    <row r="3895" spans="1:10">
      <c r="A3895">
        <v>3894</v>
      </c>
      <c r="B3895">
        <v>14913</v>
      </c>
      <c r="C3895" t="s">
        <v>18</v>
      </c>
      <c r="D3895">
        <v>38654.230000000003</v>
      </c>
      <c r="E3895" t="s">
        <v>16</v>
      </c>
      <c r="F3895">
        <v>29</v>
      </c>
      <c r="G3895" t="s">
        <v>21</v>
      </c>
      <c r="H3895" s="1">
        <v>45524</v>
      </c>
      <c r="I3895" s="1">
        <v>45553</v>
      </c>
      <c r="J3895" t="str">
        <f t="shared" si="60"/>
        <v>Aug-2024</v>
      </c>
    </row>
    <row r="3896" spans="1:10">
      <c r="A3896">
        <v>3895</v>
      </c>
      <c r="B3896">
        <v>19030</v>
      </c>
      <c r="C3896" t="s">
        <v>22</v>
      </c>
      <c r="D3896">
        <v>85545.600000000006</v>
      </c>
      <c r="E3896" t="s">
        <v>19</v>
      </c>
      <c r="F3896">
        <v>38</v>
      </c>
      <c r="G3896" t="s">
        <v>20</v>
      </c>
      <c r="H3896" s="1">
        <v>45631</v>
      </c>
      <c r="I3896" s="1">
        <v>45669</v>
      </c>
      <c r="J3896" t="str">
        <f t="shared" si="60"/>
        <v>Dec-2024</v>
      </c>
    </row>
    <row r="3897" spans="1:10">
      <c r="A3897">
        <v>3896</v>
      </c>
      <c r="B3897">
        <v>14718</v>
      </c>
      <c r="C3897" t="s">
        <v>23</v>
      </c>
      <c r="D3897">
        <v>99082.71</v>
      </c>
      <c r="E3897" t="s">
        <v>16</v>
      </c>
      <c r="F3897">
        <v>12</v>
      </c>
      <c r="G3897" t="s">
        <v>25</v>
      </c>
      <c r="H3897" s="1">
        <v>45619</v>
      </c>
      <c r="I3897" s="1">
        <v>45631</v>
      </c>
      <c r="J3897" t="str">
        <f t="shared" si="60"/>
        <v>Nov-2024</v>
      </c>
    </row>
    <row r="3898" spans="1:10">
      <c r="A3898">
        <v>3897</v>
      </c>
      <c r="B3898">
        <v>12676</v>
      </c>
      <c r="C3898" t="s">
        <v>23</v>
      </c>
      <c r="D3898">
        <v>94551.29</v>
      </c>
      <c r="E3898" t="s">
        <v>19</v>
      </c>
      <c r="F3898">
        <v>23</v>
      </c>
      <c r="G3898" t="s">
        <v>17</v>
      </c>
      <c r="H3898" s="1">
        <v>45591</v>
      </c>
      <c r="I3898" s="1">
        <v>45614</v>
      </c>
      <c r="J3898" t="str">
        <f t="shared" si="60"/>
        <v>Oct-2024</v>
      </c>
    </row>
    <row r="3899" spans="1:10">
      <c r="A3899">
        <v>3898</v>
      </c>
      <c r="B3899">
        <v>10096</v>
      </c>
      <c r="C3899" t="s">
        <v>23</v>
      </c>
      <c r="D3899">
        <v>194918.45</v>
      </c>
      <c r="E3899" t="s">
        <v>16</v>
      </c>
      <c r="F3899">
        <v>26</v>
      </c>
      <c r="G3899" t="s">
        <v>21</v>
      </c>
      <c r="H3899" s="1">
        <v>45577</v>
      </c>
      <c r="I3899" s="1">
        <v>45603</v>
      </c>
      <c r="J3899" t="str">
        <f t="shared" si="60"/>
        <v>Oct-2024</v>
      </c>
    </row>
    <row r="3900" spans="1:10">
      <c r="A3900">
        <v>3899</v>
      </c>
      <c r="B3900">
        <v>11963</v>
      </c>
      <c r="C3900" t="s">
        <v>23</v>
      </c>
      <c r="D3900">
        <v>13873.33</v>
      </c>
      <c r="E3900" t="s">
        <v>16</v>
      </c>
      <c r="F3900">
        <v>22</v>
      </c>
      <c r="G3900" t="s">
        <v>17</v>
      </c>
      <c r="H3900" s="1">
        <v>45326</v>
      </c>
      <c r="I3900" s="1">
        <v>45348</v>
      </c>
      <c r="J3900" t="str">
        <f t="shared" si="60"/>
        <v>Feb-2024</v>
      </c>
    </row>
    <row r="3901" spans="1:10">
      <c r="A3901">
        <v>3900</v>
      </c>
      <c r="B3901">
        <v>15401</v>
      </c>
      <c r="C3901" t="s">
        <v>15</v>
      </c>
      <c r="D3901">
        <v>190438.8</v>
      </c>
      <c r="E3901" t="s">
        <v>16</v>
      </c>
      <c r="F3901">
        <v>37</v>
      </c>
      <c r="G3901" t="s">
        <v>21</v>
      </c>
      <c r="H3901" s="1">
        <v>45312</v>
      </c>
      <c r="I3901" s="1">
        <v>45349</v>
      </c>
      <c r="J3901" t="str">
        <f t="shared" si="60"/>
        <v>Jan-2024</v>
      </c>
    </row>
    <row r="3902" spans="1:10">
      <c r="A3902">
        <v>3901</v>
      </c>
      <c r="B3902">
        <v>17767</v>
      </c>
      <c r="C3902" t="s">
        <v>18</v>
      </c>
      <c r="D3902">
        <v>118477.75999999999</v>
      </c>
      <c r="E3902" t="s">
        <v>16</v>
      </c>
      <c r="F3902">
        <v>21</v>
      </c>
      <c r="G3902" t="s">
        <v>25</v>
      </c>
      <c r="H3902" s="1">
        <v>45402</v>
      </c>
      <c r="I3902" s="1">
        <v>45423</v>
      </c>
      <c r="J3902" t="str">
        <f t="shared" si="60"/>
        <v>Apr-2024</v>
      </c>
    </row>
    <row r="3903" spans="1:10">
      <c r="A3903">
        <v>3902</v>
      </c>
      <c r="B3903">
        <v>10598</v>
      </c>
      <c r="C3903" t="s">
        <v>15</v>
      </c>
      <c r="D3903">
        <v>160166.9</v>
      </c>
      <c r="E3903" t="s">
        <v>16</v>
      </c>
      <c r="F3903">
        <v>17</v>
      </c>
      <c r="G3903" t="s">
        <v>17</v>
      </c>
      <c r="H3903" s="1">
        <v>45610</v>
      </c>
      <c r="I3903" s="1">
        <v>45627</v>
      </c>
      <c r="J3903" t="str">
        <f t="shared" si="60"/>
        <v>Nov-2024</v>
      </c>
    </row>
    <row r="3904" spans="1:10">
      <c r="A3904">
        <v>3903</v>
      </c>
      <c r="B3904">
        <v>13963</v>
      </c>
      <c r="C3904" t="s">
        <v>23</v>
      </c>
      <c r="D3904">
        <v>88926.56</v>
      </c>
      <c r="E3904" t="s">
        <v>19</v>
      </c>
      <c r="F3904">
        <v>29</v>
      </c>
      <c r="G3904" t="s">
        <v>20</v>
      </c>
      <c r="H3904" s="1">
        <v>45639</v>
      </c>
      <c r="I3904" s="1">
        <v>45668</v>
      </c>
      <c r="J3904" t="str">
        <f t="shared" si="60"/>
        <v>Dec-2024</v>
      </c>
    </row>
    <row r="3905" spans="1:10">
      <c r="A3905">
        <v>3904</v>
      </c>
      <c r="B3905">
        <v>18620</v>
      </c>
      <c r="C3905" t="s">
        <v>15</v>
      </c>
      <c r="D3905">
        <v>93498.39</v>
      </c>
      <c r="E3905" t="s">
        <v>16</v>
      </c>
      <c r="F3905">
        <v>30</v>
      </c>
      <c r="G3905" t="s">
        <v>21</v>
      </c>
      <c r="H3905" s="1">
        <v>45436</v>
      </c>
      <c r="I3905" s="1">
        <v>45466</v>
      </c>
      <c r="J3905" t="str">
        <f t="shared" si="60"/>
        <v>May-2024</v>
      </c>
    </row>
    <row r="3906" spans="1:10">
      <c r="A3906">
        <v>3905</v>
      </c>
      <c r="B3906">
        <v>17293</v>
      </c>
      <c r="C3906" t="s">
        <v>23</v>
      </c>
      <c r="D3906">
        <v>176468.67</v>
      </c>
      <c r="E3906" t="s">
        <v>19</v>
      </c>
      <c r="F3906">
        <v>27</v>
      </c>
      <c r="G3906" t="s">
        <v>17</v>
      </c>
      <c r="H3906" s="1">
        <v>45303</v>
      </c>
      <c r="I3906" s="1">
        <v>45330</v>
      </c>
      <c r="J3906" t="str">
        <f t="shared" si="60"/>
        <v>Jan-2024</v>
      </c>
    </row>
    <row r="3907" spans="1:10">
      <c r="A3907">
        <v>3906</v>
      </c>
      <c r="B3907">
        <v>11324</v>
      </c>
      <c r="C3907" t="s">
        <v>15</v>
      </c>
      <c r="D3907">
        <v>179707.23</v>
      </c>
      <c r="E3907" t="s">
        <v>16</v>
      </c>
      <c r="F3907">
        <v>41</v>
      </c>
      <c r="G3907" t="s">
        <v>20</v>
      </c>
      <c r="H3907" s="1">
        <v>45535</v>
      </c>
      <c r="I3907" s="1">
        <v>45576</v>
      </c>
      <c r="J3907" t="str">
        <f t="shared" ref="J3907:J3970" si="61">TEXT(H3907,"mmm-yyyy")</f>
        <v>Aug-2024</v>
      </c>
    </row>
    <row r="3908" spans="1:10">
      <c r="A3908">
        <v>3907</v>
      </c>
      <c r="B3908">
        <v>18111</v>
      </c>
      <c r="C3908" t="s">
        <v>23</v>
      </c>
      <c r="D3908">
        <v>51544.33</v>
      </c>
      <c r="E3908" t="s">
        <v>16</v>
      </c>
      <c r="F3908">
        <v>3</v>
      </c>
      <c r="G3908" t="s">
        <v>17</v>
      </c>
      <c r="H3908" s="1">
        <v>45437</v>
      </c>
      <c r="I3908" s="1">
        <v>45440</v>
      </c>
      <c r="J3908" t="str">
        <f t="shared" si="61"/>
        <v>May-2024</v>
      </c>
    </row>
    <row r="3909" spans="1:10">
      <c r="A3909">
        <v>3908</v>
      </c>
      <c r="B3909">
        <v>11767</v>
      </c>
      <c r="C3909" t="s">
        <v>23</v>
      </c>
      <c r="D3909">
        <v>43852.17</v>
      </c>
      <c r="E3909" t="s">
        <v>16</v>
      </c>
      <c r="F3909">
        <v>11</v>
      </c>
      <c r="G3909" t="s">
        <v>17</v>
      </c>
      <c r="H3909" s="1">
        <v>45530</v>
      </c>
      <c r="I3909" s="1">
        <v>45541</v>
      </c>
      <c r="J3909" t="str">
        <f t="shared" si="61"/>
        <v>Aug-2024</v>
      </c>
    </row>
    <row r="3910" spans="1:10">
      <c r="A3910">
        <v>3909</v>
      </c>
      <c r="B3910">
        <v>15164</v>
      </c>
      <c r="C3910" t="s">
        <v>18</v>
      </c>
      <c r="D3910">
        <v>101765.86</v>
      </c>
      <c r="E3910" t="s">
        <v>16</v>
      </c>
      <c r="F3910">
        <v>14</v>
      </c>
      <c r="G3910" t="s">
        <v>17</v>
      </c>
      <c r="H3910" s="1">
        <v>45383</v>
      </c>
      <c r="I3910" s="1">
        <v>45397</v>
      </c>
      <c r="J3910" t="str">
        <f t="shared" si="61"/>
        <v>Apr-2024</v>
      </c>
    </row>
    <row r="3911" spans="1:10">
      <c r="A3911">
        <v>3910</v>
      </c>
      <c r="B3911">
        <v>19708</v>
      </c>
      <c r="C3911" t="s">
        <v>22</v>
      </c>
      <c r="D3911">
        <v>180554.02</v>
      </c>
      <c r="E3911" t="s">
        <v>16</v>
      </c>
      <c r="F3911">
        <v>16</v>
      </c>
      <c r="G3911" t="s">
        <v>21</v>
      </c>
      <c r="H3911" s="1">
        <v>45607</v>
      </c>
      <c r="I3911" s="1">
        <v>45623</v>
      </c>
      <c r="J3911" t="str">
        <f t="shared" si="61"/>
        <v>Nov-2024</v>
      </c>
    </row>
    <row r="3912" spans="1:10">
      <c r="A3912">
        <v>3911</v>
      </c>
      <c r="B3912">
        <v>11339</v>
      </c>
      <c r="C3912" t="s">
        <v>23</v>
      </c>
      <c r="D3912">
        <v>67859.240000000005</v>
      </c>
      <c r="E3912" t="s">
        <v>16</v>
      </c>
      <c r="F3912">
        <v>10</v>
      </c>
      <c r="G3912" t="s">
        <v>20</v>
      </c>
      <c r="H3912" s="1">
        <v>45614</v>
      </c>
      <c r="I3912" s="1">
        <v>45624</v>
      </c>
      <c r="J3912" t="str">
        <f t="shared" si="61"/>
        <v>Nov-2024</v>
      </c>
    </row>
    <row r="3913" spans="1:10">
      <c r="A3913">
        <v>3912</v>
      </c>
      <c r="B3913">
        <v>19168</v>
      </c>
      <c r="C3913" t="s">
        <v>23</v>
      </c>
      <c r="D3913">
        <v>132142.85</v>
      </c>
      <c r="E3913" t="s">
        <v>16</v>
      </c>
      <c r="F3913">
        <v>28</v>
      </c>
      <c r="G3913" t="s">
        <v>25</v>
      </c>
      <c r="H3913" s="1">
        <v>45406</v>
      </c>
      <c r="I3913" s="1">
        <v>45434</v>
      </c>
      <c r="J3913" t="str">
        <f t="shared" si="61"/>
        <v>Apr-2024</v>
      </c>
    </row>
    <row r="3914" spans="1:10">
      <c r="A3914">
        <v>3913</v>
      </c>
      <c r="B3914">
        <v>16466</v>
      </c>
      <c r="C3914" t="s">
        <v>15</v>
      </c>
      <c r="D3914">
        <v>143089.57999999999</v>
      </c>
      <c r="E3914" t="s">
        <v>16</v>
      </c>
      <c r="F3914">
        <v>9</v>
      </c>
      <c r="G3914" t="s">
        <v>21</v>
      </c>
      <c r="H3914" s="1">
        <v>45306</v>
      </c>
      <c r="I3914" s="1">
        <v>45315</v>
      </c>
      <c r="J3914" t="str">
        <f t="shared" si="61"/>
        <v>Jan-2024</v>
      </c>
    </row>
    <row r="3915" spans="1:10">
      <c r="A3915">
        <v>3914</v>
      </c>
      <c r="B3915">
        <v>19806</v>
      </c>
      <c r="C3915" t="s">
        <v>23</v>
      </c>
      <c r="D3915">
        <v>156841.56</v>
      </c>
      <c r="E3915" t="s">
        <v>16</v>
      </c>
      <c r="F3915">
        <v>7</v>
      </c>
      <c r="G3915" t="s">
        <v>21</v>
      </c>
      <c r="H3915" s="1">
        <v>45563</v>
      </c>
      <c r="I3915" s="1">
        <v>45570</v>
      </c>
      <c r="J3915" t="str">
        <f t="shared" si="61"/>
        <v>Sep-2024</v>
      </c>
    </row>
    <row r="3916" spans="1:10">
      <c r="A3916">
        <v>3915</v>
      </c>
      <c r="B3916">
        <v>19776</v>
      </c>
      <c r="C3916" t="s">
        <v>23</v>
      </c>
      <c r="D3916">
        <v>114965.27</v>
      </c>
      <c r="E3916" t="s">
        <v>16</v>
      </c>
      <c r="F3916">
        <v>37</v>
      </c>
      <c r="G3916" t="s">
        <v>21</v>
      </c>
      <c r="H3916" s="1">
        <v>45313</v>
      </c>
      <c r="I3916" s="1">
        <v>45350</v>
      </c>
      <c r="J3916" t="str">
        <f t="shared" si="61"/>
        <v>Jan-2024</v>
      </c>
    </row>
    <row r="3917" spans="1:10">
      <c r="A3917">
        <v>3916</v>
      </c>
      <c r="B3917">
        <v>15463</v>
      </c>
      <c r="C3917" t="s">
        <v>23</v>
      </c>
      <c r="D3917">
        <v>83478.759999999995</v>
      </c>
      <c r="E3917" t="s">
        <v>16</v>
      </c>
      <c r="F3917">
        <v>25</v>
      </c>
      <c r="G3917" t="s">
        <v>25</v>
      </c>
      <c r="H3917" s="1">
        <v>45409</v>
      </c>
      <c r="I3917" s="1">
        <v>45434</v>
      </c>
      <c r="J3917" t="str">
        <f t="shared" si="61"/>
        <v>Apr-2024</v>
      </c>
    </row>
    <row r="3918" spans="1:10">
      <c r="A3918">
        <v>3917</v>
      </c>
      <c r="B3918">
        <v>15490</v>
      </c>
      <c r="C3918" t="s">
        <v>23</v>
      </c>
      <c r="D3918">
        <v>193568.12</v>
      </c>
      <c r="E3918" t="s">
        <v>24</v>
      </c>
      <c r="G3918" t="s">
        <v>20</v>
      </c>
      <c r="H3918" s="1">
        <v>45386</v>
      </c>
      <c r="J3918" t="str">
        <f t="shared" si="61"/>
        <v>Apr-2024</v>
      </c>
    </row>
    <row r="3919" spans="1:10">
      <c r="A3919">
        <v>3918</v>
      </c>
      <c r="B3919">
        <v>14061</v>
      </c>
      <c r="C3919" t="s">
        <v>22</v>
      </c>
      <c r="D3919">
        <v>124209.5</v>
      </c>
      <c r="E3919" t="s">
        <v>16</v>
      </c>
      <c r="F3919">
        <v>27</v>
      </c>
      <c r="G3919" t="s">
        <v>20</v>
      </c>
      <c r="H3919" s="1">
        <v>45548</v>
      </c>
      <c r="I3919" s="1">
        <v>45575</v>
      </c>
      <c r="J3919" t="str">
        <f t="shared" si="61"/>
        <v>Sep-2024</v>
      </c>
    </row>
    <row r="3920" spans="1:10">
      <c r="A3920">
        <v>3919</v>
      </c>
      <c r="B3920">
        <v>17604</v>
      </c>
      <c r="C3920" t="s">
        <v>18</v>
      </c>
      <c r="D3920">
        <v>147070.22</v>
      </c>
      <c r="E3920" t="s">
        <v>19</v>
      </c>
      <c r="F3920">
        <v>37</v>
      </c>
      <c r="G3920" t="s">
        <v>20</v>
      </c>
      <c r="H3920" s="1">
        <v>45622</v>
      </c>
      <c r="I3920" s="1">
        <v>45659</v>
      </c>
      <c r="J3920" t="str">
        <f t="shared" si="61"/>
        <v>Nov-2024</v>
      </c>
    </row>
    <row r="3921" spans="1:10">
      <c r="A3921">
        <v>3920</v>
      </c>
      <c r="B3921">
        <v>11270</v>
      </c>
      <c r="C3921" t="s">
        <v>18</v>
      </c>
      <c r="D3921">
        <v>72271.649999999994</v>
      </c>
      <c r="E3921" t="s">
        <v>16</v>
      </c>
      <c r="F3921">
        <v>22</v>
      </c>
      <c r="G3921" t="s">
        <v>17</v>
      </c>
      <c r="H3921" s="1">
        <v>45553</v>
      </c>
      <c r="I3921" s="1">
        <v>45575</v>
      </c>
      <c r="J3921" t="str">
        <f t="shared" si="61"/>
        <v>Sep-2024</v>
      </c>
    </row>
    <row r="3922" spans="1:10">
      <c r="A3922">
        <v>3921</v>
      </c>
      <c r="B3922">
        <v>10218</v>
      </c>
      <c r="C3922" t="s">
        <v>22</v>
      </c>
      <c r="D3922">
        <v>135640.09</v>
      </c>
      <c r="E3922" t="s">
        <v>19</v>
      </c>
      <c r="F3922">
        <v>14</v>
      </c>
      <c r="G3922" t="s">
        <v>17</v>
      </c>
      <c r="H3922" s="1">
        <v>45378</v>
      </c>
      <c r="I3922" s="1">
        <v>45392</v>
      </c>
      <c r="J3922" t="str">
        <f t="shared" si="61"/>
        <v>Mar-2024</v>
      </c>
    </row>
    <row r="3923" spans="1:10">
      <c r="A3923">
        <v>3922</v>
      </c>
      <c r="B3923">
        <v>10533</v>
      </c>
      <c r="C3923" t="s">
        <v>23</v>
      </c>
      <c r="D3923">
        <v>55270.54</v>
      </c>
      <c r="E3923" t="s">
        <v>16</v>
      </c>
      <c r="F3923">
        <v>12</v>
      </c>
      <c r="G3923" t="s">
        <v>17</v>
      </c>
      <c r="H3923" s="1">
        <v>45609</v>
      </c>
      <c r="I3923" s="1">
        <v>45621</v>
      </c>
      <c r="J3923" t="str">
        <f t="shared" si="61"/>
        <v>Nov-2024</v>
      </c>
    </row>
    <row r="3924" spans="1:10">
      <c r="A3924">
        <v>3923</v>
      </c>
      <c r="B3924">
        <v>17951</v>
      </c>
      <c r="C3924" t="s">
        <v>23</v>
      </c>
      <c r="D3924">
        <v>52793.9</v>
      </c>
      <c r="E3924" t="s">
        <v>24</v>
      </c>
      <c r="G3924" t="s">
        <v>25</v>
      </c>
      <c r="H3924" s="1">
        <v>45349</v>
      </c>
      <c r="J3924" t="str">
        <f t="shared" si="61"/>
        <v>Feb-2024</v>
      </c>
    </row>
    <row r="3925" spans="1:10">
      <c r="A3925">
        <v>3924</v>
      </c>
      <c r="B3925">
        <v>19687</v>
      </c>
      <c r="C3925" t="s">
        <v>23</v>
      </c>
      <c r="D3925">
        <v>144370.82999999999</v>
      </c>
      <c r="E3925" t="s">
        <v>16</v>
      </c>
      <c r="F3925">
        <v>15</v>
      </c>
      <c r="G3925" t="s">
        <v>17</v>
      </c>
      <c r="H3925" s="1">
        <v>45521</v>
      </c>
      <c r="I3925" s="1">
        <v>45536</v>
      </c>
      <c r="J3925" t="str">
        <f t="shared" si="61"/>
        <v>Aug-2024</v>
      </c>
    </row>
    <row r="3926" spans="1:10">
      <c r="A3926">
        <v>3925</v>
      </c>
      <c r="B3926">
        <v>19565</v>
      </c>
      <c r="C3926" t="s">
        <v>23</v>
      </c>
      <c r="D3926">
        <v>106671.97</v>
      </c>
      <c r="E3926" t="s">
        <v>19</v>
      </c>
      <c r="F3926">
        <v>34</v>
      </c>
      <c r="G3926" t="s">
        <v>25</v>
      </c>
      <c r="H3926" s="1">
        <v>45399</v>
      </c>
      <c r="I3926" s="1">
        <v>45433</v>
      </c>
      <c r="J3926" t="str">
        <f t="shared" si="61"/>
        <v>Apr-2024</v>
      </c>
    </row>
    <row r="3927" spans="1:10">
      <c r="A3927">
        <v>3926</v>
      </c>
      <c r="B3927">
        <v>13823</v>
      </c>
      <c r="C3927" t="s">
        <v>23</v>
      </c>
      <c r="D3927">
        <v>138238.94</v>
      </c>
      <c r="E3927" t="s">
        <v>16</v>
      </c>
      <c r="F3927">
        <v>3</v>
      </c>
      <c r="G3927" t="s">
        <v>20</v>
      </c>
      <c r="H3927" s="1">
        <v>45310</v>
      </c>
      <c r="I3927" s="1">
        <v>45313</v>
      </c>
      <c r="J3927" t="str">
        <f t="shared" si="61"/>
        <v>Jan-2024</v>
      </c>
    </row>
    <row r="3928" spans="1:10">
      <c r="A3928">
        <v>3927</v>
      </c>
      <c r="B3928">
        <v>10064</v>
      </c>
      <c r="C3928" t="s">
        <v>22</v>
      </c>
      <c r="D3928">
        <v>57540.51</v>
      </c>
      <c r="E3928" t="s">
        <v>16</v>
      </c>
      <c r="F3928">
        <v>2</v>
      </c>
      <c r="G3928" t="s">
        <v>17</v>
      </c>
      <c r="H3928" s="1">
        <v>45656</v>
      </c>
      <c r="I3928" s="1">
        <v>45658</v>
      </c>
      <c r="J3928" t="str">
        <f t="shared" si="61"/>
        <v>Dec-2024</v>
      </c>
    </row>
    <row r="3929" spans="1:10">
      <c r="A3929">
        <v>3928</v>
      </c>
      <c r="B3929">
        <v>14341</v>
      </c>
      <c r="C3929" t="s">
        <v>18</v>
      </c>
      <c r="D3929">
        <v>121751.05</v>
      </c>
      <c r="E3929" t="s">
        <v>16</v>
      </c>
      <c r="F3929">
        <v>12</v>
      </c>
      <c r="G3929" t="s">
        <v>17</v>
      </c>
      <c r="H3929" s="1">
        <v>45432</v>
      </c>
      <c r="I3929" s="1">
        <v>45444</v>
      </c>
      <c r="J3929" t="str">
        <f t="shared" si="61"/>
        <v>May-2024</v>
      </c>
    </row>
    <row r="3930" spans="1:10">
      <c r="A3930">
        <v>3929</v>
      </c>
      <c r="B3930">
        <v>15082</v>
      </c>
      <c r="C3930" t="s">
        <v>23</v>
      </c>
      <c r="D3930">
        <v>91567.06</v>
      </c>
      <c r="E3930" t="s">
        <v>16</v>
      </c>
      <c r="F3930">
        <v>7</v>
      </c>
      <c r="G3930" t="s">
        <v>21</v>
      </c>
      <c r="H3930" s="1">
        <v>45451</v>
      </c>
      <c r="I3930" s="1">
        <v>45458</v>
      </c>
      <c r="J3930" t="str">
        <f t="shared" si="61"/>
        <v>Jun-2024</v>
      </c>
    </row>
    <row r="3931" spans="1:10">
      <c r="A3931">
        <v>3930</v>
      </c>
      <c r="B3931">
        <v>19916</v>
      </c>
      <c r="C3931" t="s">
        <v>18</v>
      </c>
      <c r="D3931">
        <v>121407.26</v>
      </c>
      <c r="E3931" t="s">
        <v>16</v>
      </c>
      <c r="F3931">
        <v>33</v>
      </c>
      <c r="G3931" t="s">
        <v>25</v>
      </c>
      <c r="H3931" s="1">
        <v>45391</v>
      </c>
      <c r="I3931" s="1">
        <v>45424</v>
      </c>
      <c r="J3931" t="str">
        <f t="shared" si="61"/>
        <v>Apr-2024</v>
      </c>
    </row>
    <row r="3932" spans="1:10">
      <c r="A3932">
        <v>3931</v>
      </c>
      <c r="B3932">
        <v>12985</v>
      </c>
      <c r="C3932" t="s">
        <v>18</v>
      </c>
      <c r="D3932">
        <v>61721.55</v>
      </c>
      <c r="E3932" t="s">
        <v>16</v>
      </c>
      <c r="F3932">
        <v>16</v>
      </c>
      <c r="G3932" t="s">
        <v>20</v>
      </c>
      <c r="H3932" s="1">
        <v>45556</v>
      </c>
      <c r="I3932" s="1">
        <v>45572</v>
      </c>
      <c r="J3932" t="str">
        <f t="shared" si="61"/>
        <v>Sep-2024</v>
      </c>
    </row>
    <row r="3933" spans="1:10">
      <c r="A3933">
        <v>3932</v>
      </c>
      <c r="B3933">
        <v>15594</v>
      </c>
      <c r="C3933" t="s">
        <v>22</v>
      </c>
      <c r="D3933">
        <v>144512.94</v>
      </c>
      <c r="E3933" t="s">
        <v>16</v>
      </c>
      <c r="F3933">
        <v>13</v>
      </c>
      <c r="G3933" t="s">
        <v>21</v>
      </c>
      <c r="H3933" s="1">
        <v>45529</v>
      </c>
      <c r="I3933" s="1">
        <v>45542</v>
      </c>
      <c r="J3933" t="str">
        <f t="shared" si="61"/>
        <v>Aug-2024</v>
      </c>
    </row>
    <row r="3934" spans="1:10">
      <c r="A3934">
        <v>3933</v>
      </c>
      <c r="B3934">
        <v>13913</v>
      </c>
      <c r="C3934" t="s">
        <v>15</v>
      </c>
      <c r="D3934">
        <v>162156.23000000001</v>
      </c>
      <c r="E3934" t="s">
        <v>24</v>
      </c>
      <c r="G3934" t="s">
        <v>21</v>
      </c>
      <c r="H3934" s="1">
        <v>45529</v>
      </c>
      <c r="J3934" t="str">
        <f t="shared" si="61"/>
        <v>Aug-2024</v>
      </c>
    </row>
    <row r="3935" spans="1:10">
      <c r="A3935">
        <v>3934</v>
      </c>
      <c r="B3935">
        <v>19240</v>
      </c>
      <c r="C3935" t="s">
        <v>18</v>
      </c>
      <c r="D3935">
        <v>55683.71</v>
      </c>
      <c r="E3935" t="s">
        <v>16</v>
      </c>
      <c r="F3935">
        <v>30</v>
      </c>
      <c r="G3935" t="s">
        <v>20</v>
      </c>
      <c r="H3935" s="1">
        <v>45340</v>
      </c>
      <c r="I3935" s="1">
        <v>45370</v>
      </c>
      <c r="J3935" t="str">
        <f t="shared" si="61"/>
        <v>Feb-2024</v>
      </c>
    </row>
    <row r="3936" spans="1:10">
      <c r="A3936">
        <v>3935</v>
      </c>
      <c r="B3936">
        <v>18017</v>
      </c>
      <c r="C3936" t="s">
        <v>18</v>
      </c>
      <c r="D3936">
        <v>63621.01</v>
      </c>
      <c r="E3936" t="s">
        <v>19</v>
      </c>
      <c r="F3936">
        <v>23</v>
      </c>
      <c r="G3936" t="s">
        <v>21</v>
      </c>
      <c r="H3936" s="1">
        <v>45456</v>
      </c>
      <c r="I3936" s="1">
        <v>45479</v>
      </c>
      <c r="J3936" t="str">
        <f t="shared" si="61"/>
        <v>Jun-2024</v>
      </c>
    </row>
    <row r="3937" spans="1:10">
      <c r="A3937">
        <v>3936</v>
      </c>
      <c r="B3937">
        <v>14255</v>
      </c>
      <c r="C3937" t="s">
        <v>18</v>
      </c>
      <c r="D3937">
        <v>133925.07999999999</v>
      </c>
      <c r="E3937" t="s">
        <v>16</v>
      </c>
      <c r="F3937">
        <v>15</v>
      </c>
      <c r="G3937" t="s">
        <v>25</v>
      </c>
      <c r="H3937" s="1">
        <v>45578</v>
      </c>
      <c r="I3937" s="1">
        <v>45593</v>
      </c>
      <c r="J3937" t="str">
        <f t="shared" si="61"/>
        <v>Oct-2024</v>
      </c>
    </row>
    <row r="3938" spans="1:10">
      <c r="A3938">
        <v>3937</v>
      </c>
      <c r="B3938">
        <v>11004</v>
      </c>
      <c r="C3938" t="s">
        <v>18</v>
      </c>
      <c r="D3938">
        <v>140639.10999999999</v>
      </c>
      <c r="E3938" t="s">
        <v>16</v>
      </c>
      <c r="F3938">
        <v>20</v>
      </c>
      <c r="G3938" t="s">
        <v>25</v>
      </c>
      <c r="H3938" s="1">
        <v>45350</v>
      </c>
      <c r="I3938" s="1">
        <v>45370</v>
      </c>
      <c r="J3938" t="str">
        <f t="shared" si="61"/>
        <v>Feb-2024</v>
      </c>
    </row>
    <row r="3939" spans="1:10">
      <c r="A3939">
        <v>3938</v>
      </c>
      <c r="B3939">
        <v>12122</v>
      </c>
      <c r="C3939" t="s">
        <v>23</v>
      </c>
      <c r="D3939">
        <v>142299.44</v>
      </c>
      <c r="E3939" t="s">
        <v>24</v>
      </c>
      <c r="G3939" t="s">
        <v>17</v>
      </c>
      <c r="H3939" s="1">
        <v>45474</v>
      </c>
      <c r="J3939" t="str">
        <f t="shared" si="61"/>
        <v>Jul-2024</v>
      </c>
    </row>
    <row r="3940" spans="1:10">
      <c r="A3940">
        <v>3939</v>
      </c>
      <c r="B3940">
        <v>16696</v>
      </c>
      <c r="C3940" t="s">
        <v>23</v>
      </c>
      <c r="D3940">
        <v>138126.21</v>
      </c>
      <c r="E3940" t="s">
        <v>19</v>
      </c>
      <c r="F3940">
        <v>36</v>
      </c>
      <c r="G3940" t="s">
        <v>21</v>
      </c>
      <c r="H3940" s="1">
        <v>45438</v>
      </c>
      <c r="I3940" s="1">
        <v>45474</v>
      </c>
      <c r="J3940" t="str">
        <f t="shared" si="61"/>
        <v>May-2024</v>
      </c>
    </row>
    <row r="3941" spans="1:10">
      <c r="A3941">
        <v>3940</v>
      </c>
      <c r="B3941">
        <v>13981</v>
      </c>
      <c r="C3941" t="s">
        <v>18</v>
      </c>
      <c r="D3941">
        <v>81597.5</v>
      </c>
      <c r="E3941" t="s">
        <v>19</v>
      </c>
      <c r="F3941">
        <v>26</v>
      </c>
      <c r="G3941" t="s">
        <v>17</v>
      </c>
      <c r="H3941" s="1">
        <v>45592</v>
      </c>
      <c r="I3941" s="1">
        <v>45618</v>
      </c>
      <c r="J3941" t="str">
        <f t="shared" si="61"/>
        <v>Oct-2024</v>
      </c>
    </row>
    <row r="3942" spans="1:10">
      <c r="A3942">
        <v>3941</v>
      </c>
      <c r="B3942">
        <v>10471</v>
      </c>
      <c r="C3942" t="s">
        <v>23</v>
      </c>
      <c r="D3942">
        <v>81996.47</v>
      </c>
      <c r="E3942" t="s">
        <v>16</v>
      </c>
      <c r="F3942">
        <v>39</v>
      </c>
      <c r="G3942" t="s">
        <v>21</v>
      </c>
      <c r="H3942" s="1">
        <v>45387</v>
      </c>
      <c r="I3942" s="1">
        <v>45426</v>
      </c>
      <c r="J3942" t="str">
        <f t="shared" si="61"/>
        <v>Apr-2024</v>
      </c>
    </row>
    <row r="3943" spans="1:10">
      <c r="A3943">
        <v>3942</v>
      </c>
      <c r="B3943">
        <v>13405</v>
      </c>
      <c r="C3943" t="s">
        <v>23</v>
      </c>
      <c r="D3943">
        <v>54689.440000000002</v>
      </c>
      <c r="E3943" t="s">
        <v>16</v>
      </c>
      <c r="F3943">
        <v>10</v>
      </c>
      <c r="G3943" t="s">
        <v>25</v>
      </c>
      <c r="H3943" s="1">
        <v>45334</v>
      </c>
      <c r="I3943" s="1">
        <v>45344</v>
      </c>
      <c r="J3943" t="str">
        <f t="shared" si="61"/>
        <v>Feb-2024</v>
      </c>
    </row>
    <row r="3944" spans="1:10">
      <c r="A3944">
        <v>3943</v>
      </c>
      <c r="B3944">
        <v>10308</v>
      </c>
      <c r="C3944" t="s">
        <v>18</v>
      </c>
      <c r="D3944">
        <v>35582.57</v>
      </c>
      <c r="E3944" t="s">
        <v>16</v>
      </c>
      <c r="F3944">
        <v>8</v>
      </c>
      <c r="G3944" t="s">
        <v>25</v>
      </c>
      <c r="H3944" s="1">
        <v>45645</v>
      </c>
      <c r="I3944" s="1">
        <v>45653</v>
      </c>
      <c r="J3944" t="str">
        <f t="shared" si="61"/>
        <v>Dec-2024</v>
      </c>
    </row>
    <row r="3945" spans="1:10">
      <c r="A3945">
        <v>3944</v>
      </c>
      <c r="B3945">
        <v>17695</v>
      </c>
      <c r="C3945" t="s">
        <v>23</v>
      </c>
      <c r="D3945">
        <v>140052.59</v>
      </c>
      <c r="E3945" t="s">
        <v>16</v>
      </c>
      <c r="F3945">
        <v>19</v>
      </c>
      <c r="G3945" t="s">
        <v>25</v>
      </c>
      <c r="H3945" s="1">
        <v>45548</v>
      </c>
      <c r="I3945" s="1">
        <v>45567</v>
      </c>
      <c r="J3945" t="str">
        <f t="shared" si="61"/>
        <v>Sep-2024</v>
      </c>
    </row>
    <row r="3946" spans="1:10">
      <c r="A3946">
        <v>3945</v>
      </c>
      <c r="B3946">
        <v>17707</v>
      </c>
      <c r="C3946" t="s">
        <v>18</v>
      </c>
      <c r="D3946">
        <v>23171.81</v>
      </c>
      <c r="E3946" t="s">
        <v>16</v>
      </c>
      <c r="F3946">
        <v>3</v>
      </c>
      <c r="G3946" t="s">
        <v>21</v>
      </c>
      <c r="H3946" s="1">
        <v>45504</v>
      </c>
      <c r="I3946" s="1">
        <v>45507</v>
      </c>
      <c r="J3946" t="str">
        <f t="shared" si="61"/>
        <v>Jul-2024</v>
      </c>
    </row>
    <row r="3947" spans="1:10">
      <c r="A3947">
        <v>3946</v>
      </c>
      <c r="B3947">
        <v>13047</v>
      </c>
      <c r="C3947" t="s">
        <v>18</v>
      </c>
      <c r="D3947">
        <v>187869.5</v>
      </c>
      <c r="E3947" t="s">
        <v>19</v>
      </c>
      <c r="F3947">
        <v>11</v>
      </c>
      <c r="G3947" t="s">
        <v>25</v>
      </c>
      <c r="H3947" s="1">
        <v>45480</v>
      </c>
      <c r="I3947" s="1">
        <v>45491</v>
      </c>
      <c r="J3947" t="str">
        <f t="shared" si="61"/>
        <v>Jul-2024</v>
      </c>
    </row>
    <row r="3948" spans="1:10">
      <c r="A3948">
        <v>3947</v>
      </c>
      <c r="B3948">
        <v>12017</v>
      </c>
      <c r="C3948" t="s">
        <v>22</v>
      </c>
      <c r="D3948">
        <v>166203.82999999999</v>
      </c>
      <c r="E3948" t="s">
        <v>19</v>
      </c>
      <c r="F3948">
        <v>3</v>
      </c>
      <c r="G3948" t="s">
        <v>21</v>
      </c>
      <c r="H3948" s="1">
        <v>45422</v>
      </c>
      <c r="I3948" s="1">
        <v>45425</v>
      </c>
      <c r="J3948" t="str">
        <f t="shared" si="61"/>
        <v>May-2024</v>
      </c>
    </row>
    <row r="3949" spans="1:10">
      <c r="A3949">
        <v>3948</v>
      </c>
      <c r="B3949">
        <v>14881</v>
      </c>
      <c r="C3949" t="s">
        <v>23</v>
      </c>
      <c r="D3949">
        <v>172213.62</v>
      </c>
      <c r="E3949" t="s">
        <v>16</v>
      </c>
      <c r="F3949">
        <v>9</v>
      </c>
      <c r="G3949" t="s">
        <v>17</v>
      </c>
      <c r="H3949" s="1">
        <v>45638</v>
      </c>
      <c r="I3949" s="1">
        <v>45647</v>
      </c>
      <c r="J3949" t="str">
        <f t="shared" si="61"/>
        <v>Dec-2024</v>
      </c>
    </row>
    <row r="3950" spans="1:10">
      <c r="A3950">
        <v>3949</v>
      </c>
      <c r="B3950">
        <v>11478</v>
      </c>
      <c r="C3950" t="s">
        <v>23</v>
      </c>
      <c r="D3950">
        <v>181800.42</v>
      </c>
      <c r="E3950" t="s">
        <v>16</v>
      </c>
      <c r="F3950">
        <v>8</v>
      </c>
      <c r="G3950" t="s">
        <v>21</v>
      </c>
      <c r="H3950" s="1">
        <v>45591</v>
      </c>
      <c r="I3950" s="1">
        <v>45599</v>
      </c>
      <c r="J3950" t="str">
        <f t="shared" si="61"/>
        <v>Oct-2024</v>
      </c>
    </row>
    <row r="3951" spans="1:10">
      <c r="A3951">
        <v>3950</v>
      </c>
      <c r="B3951">
        <v>14197</v>
      </c>
      <c r="C3951" t="s">
        <v>18</v>
      </c>
      <c r="D3951">
        <v>84677.97</v>
      </c>
      <c r="E3951" t="s">
        <v>19</v>
      </c>
      <c r="F3951">
        <v>36</v>
      </c>
      <c r="G3951" t="s">
        <v>17</v>
      </c>
      <c r="H3951" s="1">
        <v>45580</v>
      </c>
      <c r="I3951" s="1">
        <v>45616</v>
      </c>
      <c r="J3951" t="str">
        <f t="shared" si="61"/>
        <v>Oct-2024</v>
      </c>
    </row>
    <row r="3952" spans="1:10">
      <c r="A3952">
        <v>3951</v>
      </c>
      <c r="B3952">
        <v>17721</v>
      </c>
      <c r="C3952" t="s">
        <v>15</v>
      </c>
      <c r="D3952">
        <v>170106.64</v>
      </c>
      <c r="E3952" t="s">
        <v>16</v>
      </c>
      <c r="F3952">
        <v>24</v>
      </c>
      <c r="G3952" t="s">
        <v>21</v>
      </c>
      <c r="H3952" s="1">
        <v>45428</v>
      </c>
      <c r="I3952" s="1">
        <v>45452</v>
      </c>
      <c r="J3952" t="str">
        <f t="shared" si="61"/>
        <v>May-2024</v>
      </c>
    </row>
    <row r="3953" spans="1:10">
      <c r="A3953">
        <v>3952</v>
      </c>
      <c r="B3953">
        <v>14870</v>
      </c>
      <c r="C3953" t="s">
        <v>22</v>
      </c>
      <c r="D3953">
        <v>35821.949999999997</v>
      </c>
      <c r="E3953" t="s">
        <v>16</v>
      </c>
      <c r="F3953">
        <v>9</v>
      </c>
      <c r="G3953" t="s">
        <v>17</v>
      </c>
      <c r="H3953" s="1">
        <v>45321</v>
      </c>
      <c r="I3953" s="1">
        <v>45330</v>
      </c>
      <c r="J3953" t="str">
        <f t="shared" si="61"/>
        <v>Jan-2024</v>
      </c>
    </row>
    <row r="3954" spans="1:10">
      <c r="A3954">
        <v>3953</v>
      </c>
      <c r="B3954">
        <v>13459</v>
      </c>
      <c r="C3954" t="s">
        <v>23</v>
      </c>
      <c r="D3954">
        <v>9220.15</v>
      </c>
      <c r="E3954" t="s">
        <v>16</v>
      </c>
      <c r="F3954">
        <v>22</v>
      </c>
      <c r="G3954" t="s">
        <v>25</v>
      </c>
      <c r="H3954" s="1">
        <v>45437</v>
      </c>
      <c r="I3954" s="1">
        <v>45459</v>
      </c>
      <c r="J3954" t="str">
        <f t="shared" si="61"/>
        <v>May-2024</v>
      </c>
    </row>
    <row r="3955" spans="1:10">
      <c r="A3955">
        <v>3954</v>
      </c>
      <c r="B3955">
        <v>19423</v>
      </c>
      <c r="C3955" t="s">
        <v>23</v>
      </c>
      <c r="D3955">
        <v>158053.82</v>
      </c>
      <c r="E3955" t="s">
        <v>16</v>
      </c>
      <c r="F3955">
        <v>34</v>
      </c>
      <c r="G3955" t="s">
        <v>17</v>
      </c>
      <c r="H3955" s="1">
        <v>45603</v>
      </c>
      <c r="I3955" s="1">
        <v>45637</v>
      </c>
      <c r="J3955" t="str">
        <f t="shared" si="61"/>
        <v>Nov-2024</v>
      </c>
    </row>
    <row r="3956" spans="1:10">
      <c r="A3956">
        <v>3955</v>
      </c>
      <c r="B3956">
        <v>15434</v>
      </c>
      <c r="C3956" t="s">
        <v>22</v>
      </c>
      <c r="D3956">
        <v>19585.349999999999</v>
      </c>
      <c r="E3956" t="s">
        <v>24</v>
      </c>
      <c r="G3956" t="s">
        <v>25</v>
      </c>
      <c r="H3956" s="1">
        <v>45396</v>
      </c>
      <c r="J3956" t="str">
        <f t="shared" si="61"/>
        <v>Apr-2024</v>
      </c>
    </row>
    <row r="3957" spans="1:10">
      <c r="A3957">
        <v>3956</v>
      </c>
      <c r="B3957">
        <v>10571</v>
      </c>
      <c r="C3957" t="s">
        <v>23</v>
      </c>
      <c r="D3957">
        <v>197762.31</v>
      </c>
      <c r="E3957" t="s">
        <v>16</v>
      </c>
      <c r="F3957">
        <v>13</v>
      </c>
      <c r="G3957" t="s">
        <v>25</v>
      </c>
      <c r="H3957" s="1">
        <v>45578</v>
      </c>
      <c r="I3957" s="1">
        <v>45591</v>
      </c>
      <c r="J3957" t="str">
        <f t="shared" si="61"/>
        <v>Oct-2024</v>
      </c>
    </row>
    <row r="3958" spans="1:10">
      <c r="A3958">
        <v>3957</v>
      </c>
      <c r="B3958">
        <v>13589</v>
      </c>
      <c r="C3958" t="s">
        <v>18</v>
      </c>
      <c r="D3958">
        <v>136585.29999999999</v>
      </c>
      <c r="E3958" t="s">
        <v>16</v>
      </c>
      <c r="F3958">
        <v>12</v>
      </c>
      <c r="G3958" t="s">
        <v>17</v>
      </c>
      <c r="H3958" s="1">
        <v>45482</v>
      </c>
      <c r="I3958" s="1">
        <v>45494</v>
      </c>
      <c r="J3958" t="str">
        <f t="shared" si="61"/>
        <v>Jul-2024</v>
      </c>
    </row>
    <row r="3959" spans="1:10">
      <c r="A3959">
        <v>3958</v>
      </c>
      <c r="B3959">
        <v>18339</v>
      </c>
      <c r="C3959" t="s">
        <v>23</v>
      </c>
      <c r="D3959">
        <v>151922.69</v>
      </c>
      <c r="E3959" t="s">
        <v>16</v>
      </c>
      <c r="F3959">
        <v>31</v>
      </c>
      <c r="G3959" t="s">
        <v>21</v>
      </c>
      <c r="H3959" s="1">
        <v>45469</v>
      </c>
      <c r="I3959" s="1">
        <v>45500</v>
      </c>
      <c r="J3959" t="str">
        <f t="shared" si="61"/>
        <v>Jun-2024</v>
      </c>
    </row>
    <row r="3960" spans="1:10">
      <c r="A3960">
        <v>3959</v>
      </c>
      <c r="B3960">
        <v>15918</v>
      </c>
      <c r="C3960" t="s">
        <v>23</v>
      </c>
      <c r="D3960">
        <v>52931.75</v>
      </c>
      <c r="E3960" t="s">
        <v>24</v>
      </c>
      <c r="G3960" t="s">
        <v>21</v>
      </c>
      <c r="H3960" s="1">
        <v>45636</v>
      </c>
      <c r="J3960" t="str">
        <f t="shared" si="61"/>
        <v>Dec-2024</v>
      </c>
    </row>
    <row r="3961" spans="1:10">
      <c r="A3961">
        <v>3960</v>
      </c>
      <c r="B3961">
        <v>10596</v>
      </c>
      <c r="C3961" t="s">
        <v>23</v>
      </c>
      <c r="D3961">
        <v>136403.75</v>
      </c>
      <c r="E3961" t="s">
        <v>19</v>
      </c>
      <c r="F3961">
        <v>35</v>
      </c>
      <c r="G3961" t="s">
        <v>20</v>
      </c>
      <c r="H3961" s="1">
        <v>45530</v>
      </c>
      <c r="I3961" s="1">
        <v>45565</v>
      </c>
      <c r="J3961" t="str">
        <f t="shared" si="61"/>
        <v>Aug-2024</v>
      </c>
    </row>
    <row r="3962" spans="1:10">
      <c r="A3962">
        <v>3961</v>
      </c>
      <c r="B3962">
        <v>15073</v>
      </c>
      <c r="C3962" t="s">
        <v>23</v>
      </c>
      <c r="D3962">
        <v>13427.89</v>
      </c>
      <c r="E3962" t="s">
        <v>16</v>
      </c>
      <c r="F3962">
        <v>24</v>
      </c>
      <c r="G3962" t="s">
        <v>21</v>
      </c>
      <c r="H3962" s="1">
        <v>45292</v>
      </c>
      <c r="I3962" s="1">
        <v>45316</v>
      </c>
      <c r="J3962" t="str">
        <f t="shared" si="61"/>
        <v>Jan-2024</v>
      </c>
    </row>
    <row r="3963" spans="1:10">
      <c r="A3963">
        <v>3962</v>
      </c>
      <c r="B3963">
        <v>11070</v>
      </c>
      <c r="C3963" t="s">
        <v>18</v>
      </c>
      <c r="D3963">
        <v>168376.02</v>
      </c>
      <c r="E3963" t="s">
        <v>16</v>
      </c>
      <c r="F3963">
        <v>33</v>
      </c>
      <c r="G3963" t="s">
        <v>20</v>
      </c>
      <c r="H3963" s="1">
        <v>45401</v>
      </c>
      <c r="I3963" s="1">
        <v>45434</v>
      </c>
      <c r="J3963" t="str">
        <f t="shared" si="61"/>
        <v>Apr-2024</v>
      </c>
    </row>
    <row r="3964" spans="1:10">
      <c r="A3964">
        <v>3963</v>
      </c>
      <c r="B3964">
        <v>14250</v>
      </c>
      <c r="C3964" t="s">
        <v>22</v>
      </c>
      <c r="D3964">
        <v>38076.699999999997</v>
      </c>
      <c r="E3964" t="s">
        <v>16</v>
      </c>
      <c r="F3964">
        <v>4</v>
      </c>
      <c r="G3964" t="s">
        <v>21</v>
      </c>
      <c r="H3964" s="1">
        <v>45629</v>
      </c>
      <c r="I3964" s="1">
        <v>45633</v>
      </c>
      <c r="J3964" t="str">
        <f t="shared" si="61"/>
        <v>Dec-2024</v>
      </c>
    </row>
    <row r="3965" spans="1:10">
      <c r="A3965">
        <v>3964</v>
      </c>
      <c r="B3965">
        <v>14325</v>
      </c>
      <c r="C3965" t="s">
        <v>23</v>
      </c>
      <c r="D3965">
        <v>140984.82</v>
      </c>
      <c r="E3965" t="s">
        <v>16</v>
      </c>
      <c r="F3965">
        <v>29</v>
      </c>
      <c r="G3965" t="s">
        <v>21</v>
      </c>
      <c r="H3965" s="1">
        <v>45566</v>
      </c>
      <c r="I3965" s="1">
        <v>45595</v>
      </c>
      <c r="J3965" t="str">
        <f t="shared" si="61"/>
        <v>Oct-2024</v>
      </c>
    </row>
    <row r="3966" spans="1:10">
      <c r="A3966">
        <v>3965</v>
      </c>
      <c r="B3966">
        <v>13371</v>
      </c>
      <c r="C3966" t="s">
        <v>15</v>
      </c>
      <c r="D3966">
        <v>48773.7</v>
      </c>
      <c r="E3966" t="s">
        <v>16</v>
      </c>
      <c r="F3966">
        <v>5</v>
      </c>
      <c r="G3966" t="s">
        <v>25</v>
      </c>
      <c r="H3966" s="1">
        <v>45525</v>
      </c>
      <c r="I3966" s="1">
        <v>45530</v>
      </c>
      <c r="J3966" t="str">
        <f t="shared" si="61"/>
        <v>Aug-2024</v>
      </c>
    </row>
    <row r="3967" spans="1:10">
      <c r="A3967">
        <v>3966</v>
      </c>
      <c r="B3967">
        <v>10157</v>
      </c>
      <c r="C3967" t="s">
        <v>23</v>
      </c>
      <c r="D3967">
        <v>18348.37</v>
      </c>
      <c r="E3967" t="s">
        <v>16</v>
      </c>
      <c r="F3967">
        <v>13</v>
      </c>
      <c r="G3967" t="s">
        <v>20</v>
      </c>
      <c r="H3967" s="1">
        <v>45355</v>
      </c>
      <c r="I3967" s="1">
        <v>45368</v>
      </c>
      <c r="J3967" t="str">
        <f t="shared" si="61"/>
        <v>Mar-2024</v>
      </c>
    </row>
    <row r="3968" spans="1:10">
      <c r="A3968">
        <v>3967</v>
      </c>
      <c r="B3968">
        <v>19114</v>
      </c>
      <c r="C3968" t="s">
        <v>18</v>
      </c>
      <c r="D3968">
        <v>98891.27</v>
      </c>
      <c r="E3968" t="s">
        <v>16</v>
      </c>
      <c r="F3968">
        <v>25</v>
      </c>
      <c r="G3968" t="s">
        <v>21</v>
      </c>
      <c r="H3968" s="1">
        <v>45535</v>
      </c>
      <c r="I3968" s="1">
        <v>45560</v>
      </c>
      <c r="J3968" t="str">
        <f t="shared" si="61"/>
        <v>Aug-2024</v>
      </c>
    </row>
    <row r="3969" spans="1:10">
      <c r="A3969">
        <v>3968</v>
      </c>
      <c r="B3969">
        <v>13318</v>
      </c>
      <c r="C3969" t="s">
        <v>23</v>
      </c>
      <c r="D3969">
        <v>38010.81</v>
      </c>
      <c r="E3969" t="s">
        <v>16</v>
      </c>
      <c r="F3969">
        <v>34</v>
      </c>
      <c r="G3969" t="s">
        <v>20</v>
      </c>
      <c r="H3969" s="1">
        <v>45344</v>
      </c>
      <c r="I3969" s="1">
        <v>45378</v>
      </c>
      <c r="J3969" t="str">
        <f t="shared" si="61"/>
        <v>Feb-2024</v>
      </c>
    </row>
    <row r="3970" spans="1:10">
      <c r="A3970">
        <v>3969</v>
      </c>
      <c r="B3970">
        <v>16711</v>
      </c>
      <c r="C3970" t="s">
        <v>22</v>
      </c>
      <c r="D3970">
        <v>147241.57999999999</v>
      </c>
      <c r="E3970" t="s">
        <v>16</v>
      </c>
      <c r="F3970">
        <v>4</v>
      </c>
      <c r="G3970" t="s">
        <v>25</v>
      </c>
      <c r="H3970" s="1">
        <v>45553</v>
      </c>
      <c r="I3970" s="1">
        <v>45557</v>
      </c>
      <c r="J3970" t="str">
        <f t="shared" si="61"/>
        <v>Sep-2024</v>
      </c>
    </row>
    <row r="3971" spans="1:10">
      <c r="A3971">
        <v>3970</v>
      </c>
      <c r="B3971">
        <v>17221</v>
      </c>
      <c r="C3971" t="s">
        <v>18</v>
      </c>
      <c r="D3971">
        <v>51325.34</v>
      </c>
      <c r="E3971" t="s">
        <v>19</v>
      </c>
      <c r="F3971">
        <v>5</v>
      </c>
      <c r="G3971" t="s">
        <v>25</v>
      </c>
      <c r="H3971" s="1">
        <v>45308</v>
      </c>
      <c r="I3971" s="1">
        <v>45313</v>
      </c>
      <c r="J3971" t="str">
        <f t="shared" ref="J3971:J4034" si="62">TEXT(H3971,"mmm-yyyy")</f>
        <v>Jan-2024</v>
      </c>
    </row>
    <row r="3972" spans="1:10">
      <c r="A3972">
        <v>3971</v>
      </c>
      <c r="B3972">
        <v>19438</v>
      </c>
      <c r="C3972" t="s">
        <v>18</v>
      </c>
      <c r="D3972">
        <v>71782.149999999994</v>
      </c>
      <c r="E3972" t="s">
        <v>16</v>
      </c>
      <c r="F3972">
        <v>31</v>
      </c>
      <c r="G3972" t="s">
        <v>20</v>
      </c>
      <c r="H3972" s="1">
        <v>45593</v>
      </c>
      <c r="I3972" s="1">
        <v>45624</v>
      </c>
      <c r="J3972" t="str">
        <f t="shared" si="62"/>
        <v>Oct-2024</v>
      </c>
    </row>
    <row r="3973" spans="1:10">
      <c r="A3973">
        <v>3972</v>
      </c>
      <c r="B3973">
        <v>18957</v>
      </c>
      <c r="C3973" t="s">
        <v>15</v>
      </c>
      <c r="D3973">
        <v>115650.65</v>
      </c>
      <c r="E3973" t="s">
        <v>16</v>
      </c>
      <c r="F3973">
        <v>7</v>
      </c>
      <c r="G3973" t="s">
        <v>25</v>
      </c>
      <c r="H3973" s="1">
        <v>45525</v>
      </c>
      <c r="I3973" s="1">
        <v>45532</v>
      </c>
      <c r="J3973" t="str">
        <f t="shared" si="62"/>
        <v>Aug-2024</v>
      </c>
    </row>
    <row r="3974" spans="1:10">
      <c r="A3974">
        <v>3973</v>
      </c>
      <c r="B3974">
        <v>12612</v>
      </c>
      <c r="C3974" t="s">
        <v>18</v>
      </c>
      <c r="D3974">
        <v>60568.81</v>
      </c>
      <c r="E3974" t="s">
        <v>24</v>
      </c>
      <c r="G3974" t="s">
        <v>17</v>
      </c>
      <c r="H3974" s="1">
        <v>45364</v>
      </c>
      <c r="J3974" t="str">
        <f t="shared" si="62"/>
        <v>Mar-2024</v>
      </c>
    </row>
    <row r="3975" spans="1:10">
      <c r="A3975">
        <v>3974</v>
      </c>
      <c r="B3975">
        <v>14562</v>
      </c>
      <c r="C3975" t="s">
        <v>22</v>
      </c>
      <c r="D3975">
        <v>78707.679999999993</v>
      </c>
      <c r="E3975" t="s">
        <v>16</v>
      </c>
      <c r="F3975">
        <v>9</v>
      </c>
      <c r="G3975" t="s">
        <v>17</v>
      </c>
      <c r="H3975" s="1">
        <v>45648</v>
      </c>
      <c r="I3975" s="1">
        <v>45657</v>
      </c>
      <c r="J3975" t="str">
        <f t="shared" si="62"/>
        <v>Dec-2024</v>
      </c>
    </row>
    <row r="3976" spans="1:10">
      <c r="A3976">
        <v>3975</v>
      </c>
      <c r="B3976">
        <v>10443</v>
      </c>
      <c r="C3976" t="s">
        <v>18</v>
      </c>
      <c r="D3976">
        <v>164046.25</v>
      </c>
      <c r="E3976" t="s">
        <v>19</v>
      </c>
      <c r="F3976">
        <v>19</v>
      </c>
      <c r="G3976" t="s">
        <v>25</v>
      </c>
      <c r="H3976" s="1">
        <v>45382</v>
      </c>
      <c r="I3976" s="1">
        <v>45401</v>
      </c>
      <c r="J3976" t="str">
        <f t="shared" si="62"/>
        <v>Mar-2024</v>
      </c>
    </row>
    <row r="3977" spans="1:10">
      <c r="A3977">
        <v>3976</v>
      </c>
      <c r="B3977">
        <v>15973</v>
      </c>
      <c r="C3977" t="s">
        <v>22</v>
      </c>
      <c r="D3977">
        <v>39945.919999999998</v>
      </c>
      <c r="E3977" t="s">
        <v>16</v>
      </c>
      <c r="F3977">
        <v>17</v>
      </c>
      <c r="G3977" t="s">
        <v>17</v>
      </c>
      <c r="H3977" s="1">
        <v>45297</v>
      </c>
      <c r="I3977" s="1">
        <v>45314</v>
      </c>
      <c r="J3977" t="str">
        <f t="shared" si="62"/>
        <v>Jan-2024</v>
      </c>
    </row>
    <row r="3978" spans="1:10">
      <c r="A3978">
        <v>3977</v>
      </c>
      <c r="B3978">
        <v>10904</v>
      </c>
      <c r="C3978" t="s">
        <v>18</v>
      </c>
      <c r="D3978">
        <v>21029.31</v>
      </c>
      <c r="E3978" t="s">
        <v>16</v>
      </c>
      <c r="F3978">
        <v>7</v>
      </c>
      <c r="G3978" t="s">
        <v>21</v>
      </c>
      <c r="H3978" s="1">
        <v>45489</v>
      </c>
      <c r="I3978" s="1">
        <v>45496</v>
      </c>
      <c r="J3978" t="str">
        <f t="shared" si="62"/>
        <v>Jul-2024</v>
      </c>
    </row>
    <row r="3979" spans="1:10">
      <c r="A3979">
        <v>3978</v>
      </c>
      <c r="B3979">
        <v>12910</v>
      </c>
      <c r="C3979" t="s">
        <v>23</v>
      </c>
      <c r="D3979">
        <v>69029.77</v>
      </c>
      <c r="E3979" t="s">
        <v>19</v>
      </c>
      <c r="F3979">
        <v>25</v>
      </c>
      <c r="G3979" t="s">
        <v>20</v>
      </c>
      <c r="H3979" s="1">
        <v>45656</v>
      </c>
      <c r="I3979" s="1">
        <v>45681</v>
      </c>
      <c r="J3979" t="str">
        <f t="shared" si="62"/>
        <v>Dec-2024</v>
      </c>
    </row>
    <row r="3980" spans="1:10">
      <c r="A3980">
        <v>3979</v>
      </c>
      <c r="B3980">
        <v>11801</v>
      </c>
      <c r="C3980" t="s">
        <v>18</v>
      </c>
      <c r="D3980">
        <v>87753.47</v>
      </c>
      <c r="E3980" t="s">
        <v>16</v>
      </c>
      <c r="F3980">
        <v>29</v>
      </c>
      <c r="G3980" t="s">
        <v>21</v>
      </c>
      <c r="H3980" s="1">
        <v>45487</v>
      </c>
      <c r="I3980" s="1">
        <v>45516</v>
      </c>
      <c r="J3980" t="str">
        <f t="shared" si="62"/>
        <v>Jul-2024</v>
      </c>
    </row>
    <row r="3981" spans="1:10">
      <c r="A3981">
        <v>3980</v>
      </c>
      <c r="B3981">
        <v>10925</v>
      </c>
      <c r="C3981" t="s">
        <v>23</v>
      </c>
      <c r="D3981">
        <v>110818.56</v>
      </c>
      <c r="E3981" t="s">
        <v>19</v>
      </c>
      <c r="F3981">
        <v>33</v>
      </c>
      <c r="G3981" t="s">
        <v>20</v>
      </c>
      <c r="H3981" s="1">
        <v>45587</v>
      </c>
      <c r="I3981" s="1">
        <v>45620</v>
      </c>
      <c r="J3981" t="str">
        <f t="shared" si="62"/>
        <v>Oct-2024</v>
      </c>
    </row>
    <row r="3982" spans="1:10">
      <c r="A3982">
        <v>3981</v>
      </c>
      <c r="B3982">
        <v>17851</v>
      </c>
      <c r="C3982" t="s">
        <v>18</v>
      </c>
      <c r="D3982">
        <v>77622.62</v>
      </c>
      <c r="E3982" t="s">
        <v>16</v>
      </c>
      <c r="F3982">
        <v>26</v>
      </c>
      <c r="G3982" t="s">
        <v>25</v>
      </c>
      <c r="H3982" s="1">
        <v>45638</v>
      </c>
      <c r="I3982" s="1">
        <v>45664</v>
      </c>
      <c r="J3982" t="str">
        <f t="shared" si="62"/>
        <v>Dec-2024</v>
      </c>
    </row>
    <row r="3983" spans="1:10">
      <c r="A3983">
        <v>3982</v>
      </c>
      <c r="B3983">
        <v>15930</v>
      </c>
      <c r="C3983" t="s">
        <v>23</v>
      </c>
      <c r="D3983">
        <v>159032.78</v>
      </c>
      <c r="E3983" t="s">
        <v>16</v>
      </c>
      <c r="F3983">
        <v>29</v>
      </c>
      <c r="G3983" t="s">
        <v>21</v>
      </c>
      <c r="H3983" s="1">
        <v>45613</v>
      </c>
      <c r="I3983" s="1">
        <v>45642</v>
      </c>
      <c r="J3983" t="str">
        <f t="shared" si="62"/>
        <v>Nov-2024</v>
      </c>
    </row>
    <row r="3984" spans="1:10">
      <c r="A3984">
        <v>3983</v>
      </c>
      <c r="B3984">
        <v>18943</v>
      </c>
      <c r="C3984" t="s">
        <v>18</v>
      </c>
      <c r="D3984">
        <v>12667.3</v>
      </c>
      <c r="E3984" t="s">
        <v>16</v>
      </c>
      <c r="F3984">
        <v>22</v>
      </c>
      <c r="G3984" t="s">
        <v>25</v>
      </c>
      <c r="H3984" s="1">
        <v>45428</v>
      </c>
      <c r="I3984" s="1">
        <v>45450</v>
      </c>
      <c r="J3984" t="str">
        <f t="shared" si="62"/>
        <v>May-2024</v>
      </c>
    </row>
    <row r="3985" spans="1:10">
      <c r="A3985">
        <v>3984</v>
      </c>
      <c r="B3985">
        <v>19426</v>
      </c>
      <c r="C3985" t="s">
        <v>23</v>
      </c>
      <c r="D3985">
        <v>89194.67</v>
      </c>
      <c r="E3985" t="s">
        <v>16</v>
      </c>
      <c r="F3985">
        <v>9</v>
      </c>
      <c r="G3985" t="s">
        <v>25</v>
      </c>
      <c r="H3985" s="1">
        <v>45558</v>
      </c>
      <c r="I3985" s="1">
        <v>45567</v>
      </c>
      <c r="J3985" t="str">
        <f t="shared" si="62"/>
        <v>Sep-2024</v>
      </c>
    </row>
    <row r="3986" spans="1:10">
      <c r="A3986">
        <v>3985</v>
      </c>
      <c r="B3986">
        <v>12922</v>
      </c>
      <c r="C3986" t="s">
        <v>23</v>
      </c>
      <c r="D3986">
        <v>79539.899999999994</v>
      </c>
      <c r="E3986" t="s">
        <v>16</v>
      </c>
      <c r="F3986">
        <v>37</v>
      </c>
      <c r="G3986" t="s">
        <v>20</v>
      </c>
      <c r="H3986" s="1">
        <v>45407</v>
      </c>
      <c r="I3986" s="1">
        <v>45444</v>
      </c>
      <c r="J3986" t="str">
        <f t="shared" si="62"/>
        <v>Apr-2024</v>
      </c>
    </row>
    <row r="3987" spans="1:10">
      <c r="A3987">
        <v>3986</v>
      </c>
      <c r="B3987">
        <v>18854</v>
      </c>
      <c r="C3987" t="s">
        <v>23</v>
      </c>
      <c r="D3987">
        <v>131277.81</v>
      </c>
      <c r="E3987" t="s">
        <v>16</v>
      </c>
      <c r="F3987">
        <v>10</v>
      </c>
      <c r="G3987" t="s">
        <v>20</v>
      </c>
      <c r="H3987" s="1">
        <v>45334</v>
      </c>
      <c r="I3987" s="1">
        <v>45344</v>
      </c>
      <c r="J3987" t="str">
        <f t="shared" si="62"/>
        <v>Feb-2024</v>
      </c>
    </row>
    <row r="3988" spans="1:10">
      <c r="A3988">
        <v>3987</v>
      </c>
      <c r="B3988">
        <v>17555</v>
      </c>
      <c r="C3988" t="s">
        <v>22</v>
      </c>
      <c r="D3988">
        <v>193423.87</v>
      </c>
      <c r="E3988" t="s">
        <v>16</v>
      </c>
      <c r="F3988">
        <v>41</v>
      </c>
      <c r="G3988" t="s">
        <v>20</v>
      </c>
      <c r="H3988" s="1">
        <v>45522</v>
      </c>
      <c r="I3988" s="1">
        <v>45563</v>
      </c>
      <c r="J3988" t="str">
        <f t="shared" si="62"/>
        <v>Aug-2024</v>
      </c>
    </row>
    <row r="3989" spans="1:10">
      <c r="A3989">
        <v>3988</v>
      </c>
      <c r="B3989">
        <v>19776</v>
      </c>
      <c r="C3989" t="s">
        <v>23</v>
      </c>
      <c r="D3989">
        <v>104523.2</v>
      </c>
      <c r="E3989" t="s">
        <v>16</v>
      </c>
      <c r="F3989">
        <v>22</v>
      </c>
      <c r="G3989" t="s">
        <v>21</v>
      </c>
      <c r="H3989" s="1">
        <v>45349</v>
      </c>
      <c r="I3989" s="1">
        <v>45371</v>
      </c>
      <c r="J3989" t="str">
        <f t="shared" si="62"/>
        <v>Feb-2024</v>
      </c>
    </row>
    <row r="3990" spans="1:10">
      <c r="A3990">
        <v>3989</v>
      </c>
      <c r="B3990">
        <v>10919</v>
      </c>
      <c r="C3990" t="s">
        <v>23</v>
      </c>
      <c r="D3990">
        <v>197440.99</v>
      </c>
      <c r="E3990" t="s">
        <v>19</v>
      </c>
      <c r="F3990">
        <v>2</v>
      </c>
      <c r="G3990" t="s">
        <v>17</v>
      </c>
      <c r="H3990" s="1">
        <v>45497</v>
      </c>
      <c r="I3990" s="1">
        <v>45499</v>
      </c>
      <c r="J3990" t="str">
        <f t="shared" si="62"/>
        <v>Jul-2024</v>
      </c>
    </row>
    <row r="3991" spans="1:10">
      <c r="A3991">
        <v>3990</v>
      </c>
      <c r="B3991">
        <v>15004</v>
      </c>
      <c r="C3991" t="s">
        <v>18</v>
      </c>
      <c r="D3991">
        <v>63938.63</v>
      </c>
      <c r="E3991" t="s">
        <v>16</v>
      </c>
      <c r="F3991">
        <v>5</v>
      </c>
      <c r="G3991" t="s">
        <v>20</v>
      </c>
      <c r="H3991" s="1">
        <v>45585</v>
      </c>
      <c r="I3991" s="1">
        <v>45590</v>
      </c>
      <c r="J3991" t="str">
        <f t="shared" si="62"/>
        <v>Oct-2024</v>
      </c>
    </row>
    <row r="3992" spans="1:10">
      <c r="A3992">
        <v>3991</v>
      </c>
      <c r="B3992">
        <v>14219</v>
      </c>
      <c r="C3992" t="s">
        <v>18</v>
      </c>
      <c r="D3992">
        <v>11019.29</v>
      </c>
      <c r="E3992" t="s">
        <v>24</v>
      </c>
      <c r="G3992" t="s">
        <v>20</v>
      </c>
      <c r="H3992" s="1">
        <v>45385</v>
      </c>
      <c r="J3992" t="str">
        <f t="shared" si="62"/>
        <v>Apr-2024</v>
      </c>
    </row>
    <row r="3993" spans="1:10">
      <c r="A3993">
        <v>3992</v>
      </c>
      <c r="B3993">
        <v>18259</v>
      </c>
      <c r="C3993" t="s">
        <v>23</v>
      </c>
      <c r="D3993">
        <v>37304.32</v>
      </c>
      <c r="E3993" t="s">
        <v>16</v>
      </c>
      <c r="F3993">
        <v>27</v>
      </c>
      <c r="G3993" t="s">
        <v>21</v>
      </c>
      <c r="H3993" s="1">
        <v>45327</v>
      </c>
      <c r="I3993" s="1">
        <v>45354</v>
      </c>
      <c r="J3993" t="str">
        <f t="shared" si="62"/>
        <v>Feb-2024</v>
      </c>
    </row>
    <row r="3994" spans="1:10">
      <c r="A3994">
        <v>3993</v>
      </c>
      <c r="B3994">
        <v>14570</v>
      </c>
      <c r="C3994" t="s">
        <v>23</v>
      </c>
      <c r="D3994">
        <v>82049.350000000006</v>
      </c>
      <c r="E3994" t="s">
        <v>16</v>
      </c>
      <c r="F3994">
        <v>41</v>
      </c>
      <c r="G3994" t="s">
        <v>20</v>
      </c>
      <c r="H3994" s="1">
        <v>45521</v>
      </c>
      <c r="I3994" s="1">
        <v>45562</v>
      </c>
      <c r="J3994" t="str">
        <f t="shared" si="62"/>
        <v>Aug-2024</v>
      </c>
    </row>
    <row r="3995" spans="1:10">
      <c r="A3995">
        <v>3994</v>
      </c>
      <c r="B3995">
        <v>14453</v>
      </c>
      <c r="C3995" t="s">
        <v>23</v>
      </c>
      <c r="D3995">
        <v>66685.11</v>
      </c>
      <c r="E3995" t="s">
        <v>19</v>
      </c>
      <c r="F3995">
        <v>4</v>
      </c>
      <c r="G3995" t="s">
        <v>21</v>
      </c>
      <c r="H3995" s="1">
        <v>45518</v>
      </c>
      <c r="I3995" s="1">
        <v>45522</v>
      </c>
      <c r="J3995" t="str">
        <f t="shared" si="62"/>
        <v>Aug-2024</v>
      </c>
    </row>
    <row r="3996" spans="1:10">
      <c r="A3996">
        <v>3995</v>
      </c>
      <c r="B3996">
        <v>19958</v>
      </c>
      <c r="C3996" t="s">
        <v>22</v>
      </c>
      <c r="D3996">
        <v>23925.56</v>
      </c>
      <c r="E3996" t="s">
        <v>16</v>
      </c>
      <c r="F3996">
        <v>10</v>
      </c>
      <c r="G3996" t="s">
        <v>25</v>
      </c>
      <c r="H3996" s="1">
        <v>45474</v>
      </c>
      <c r="I3996" s="1">
        <v>45484</v>
      </c>
      <c r="J3996" t="str">
        <f t="shared" si="62"/>
        <v>Jul-2024</v>
      </c>
    </row>
    <row r="3997" spans="1:10">
      <c r="A3997">
        <v>3996</v>
      </c>
      <c r="B3997">
        <v>15575</v>
      </c>
      <c r="C3997" t="s">
        <v>23</v>
      </c>
      <c r="D3997">
        <v>89368.72</v>
      </c>
      <c r="E3997" t="s">
        <v>16</v>
      </c>
      <c r="F3997">
        <v>33</v>
      </c>
      <c r="G3997" t="s">
        <v>20</v>
      </c>
      <c r="H3997" s="1">
        <v>45553</v>
      </c>
      <c r="I3997" s="1">
        <v>45586</v>
      </c>
      <c r="J3997" t="str">
        <f t="shared" si="62"/>
        <v>Sep-2024</v>
      </c>
    </row>
    <row r="3998" spans="1:10">
      <c r="A3998">
        <v>3997</v>
      </c>
      <c r="B3998">
        <v>11953</v>
      </c>
      <c r="C3998" t="s">
        <v>23</v>
      </c>
      <c r="D3998">
        <v>70932.58</v>
      </c>
      <c r="E3998" t="s">
        <v>16</v>
      </c>
      <c r="F3998">
        <v>4</v>
      </c>
      <c r="G3998" t="s">
        <v>20</v>
      </c>
      <c r="H3998" s="1">
        <v>45422</v>
      </c>
      <c r="I3998" s="1">
        <v>45426</v>
      </c>
      <c r="J3998" t="str">
        <f t="shared" si="62"/>
        <v>May-2024</v>
      </c>
    </row>
    <row r="3999" spans="1:10">
      <c r="A3999">
        <v>3998</v>
      </c>
      <c r="B3999">
        <v>12568</v>
      </c>
      <c r="C3999" t="s">
        <v>23</v>
      </c>
      <c r="D3999">
        <v>28910.75</v>
      </c>
      <c r="E3999" t="s">
        <v>16</v>
      </c>
      <c r="F3999">
        <v>5</v>
      </c>
      <c r="G3999" t="s">
        <v>25</v>
      </c>
      <c r="H3999" s="1">
        <v>45356</v>
      </c>
      <c r="I3999" s="1">
        <v>45361</v>
      </c>
      <c r="J3999" t="str">
        <f t="shared" si="62"/>
        <v>Mar-2024</v>
      </c>
    </row>
    <row r="4000" spans="1:10">
      <c r="A4000">
        <v>3999</v>
      </c>
      <c r="B4000">
        <v>17945</v>
      </c>
      <c r="C4000" t="s">
        <v>23</v>
      </c>
      <c r="D4000">
        <v>62742.84</v>
      </c>
      <c r="E4000" t="s">
        <v>16</v>
      </c>
      <c r="F4000">
        <v>7</v>
      </c>
      <c r="G4000" t="s">
        <v>25</v>
      </c>
      <c r="H4000" s="1">
        <v>45477</v>
      </c>
      <c r="I4000" s="1">
        <v>45484</v>
      </c>
      <c r="J4000" t="str">
        <f t="shared" si="62"/>
        <v>Jul-2024</v>
      </c>
    </row>
    <row r="4001" spans="1:10">
      <c r="A4001">
        <v>4000</v>
      </c>
      <c r="B4001">
        <v>13708</v>
      </c>
      <c r="C4001" t="s">
        <v>18</v>
      </c>
      <c r="D4001">
        <v>177855.03</v>
      </c>
      <c r="E4001" t="s">
        <v>24</v>
      </c>
      <c r="G4001" t="s">
        <v>25</v>
      </c>
      <c r="H4001" s="1">
        <v>45408</v>
      </c>
      <c r="J4001" t="str">
        <f t="shared" si="62"/>
        <v>Apr-2024</v>
      </c>
    </row>
    <row r="4002" spans="1:10">
      <c r="A4002">
        <v>4001</v>
      </c>
      <c r="B4002">
        <v>14928</v>
      </c>
      <c r="C4002" t="s">
        <v>23</v>
      </c>
      <c r="D4002">
        <v>63899.53</v>
      </c>
      <c r="E4002" t="s">
        <v>16</v>
      </c>
      <c r="F4002">
        <v>27</v>
      </c>
      <c r="G4002" t="s">
        <v>20</v>
      </c>
      <c r="H4002" s="1">
        <v>45477</v>
      </c>
      <c r="I4002" s="1">
        <v>45504</v>
      </c>
      <c r="J4002" t="str">
        <f t="shared" si="62"/>
        <v>Jul-2024</v>
      </c>
    </row>
    <row r="4003" spans="1:10">
      <c r="A4003">
        <v>4002</v>
      </c>
      <c r="B4003">
        <v>13399</v>
      </c>
      <c r="C4003" t="s">
        <v>23</v>
      </c>
      <c r="D4003">
        <v>144221.31</v>
      </c>
      <c r="E4003" t="s">
        <v>19</v>
      </c>
      <c r="F4003">
        <v>3</v>
      </c>
      <c r="G4003" t="s">
        <v>17</v>
      </c>
      <c r="H4003" s="1">
        <v>45565</v>
      </c>
      <c r="I4003" s="1">
        <v>45568</v>
      </c>
      <c r="J4003" t="str">
        <f t="shared" si="62"/>
        <v>Sep-2024</v>
      </c>
    </row>
    <row r="4004" spans="1:10">
      <c r="A4004">
        <v>4003</v>
      </c>
      <c r="B4004">
        <v>19545</v>
      </c>
      <c r="C4004" t="s">
        <v>23</v>
      </c>
      <c r="D4004">
        <v>124349.18</v>
      </c>
      <c r="E4004" t="s">
        <v>16</v>
      </c>
      <c r="F4004">
        <v>3</v>
      </c>
      <c r="G4004" t="s">
        <v>17</v>
      </c>
      <c r="H4004" s="1">
        <v>45442</v>
      </c>
      <c r="I4004" s="1">
        <v>45445</v>
      </c>
      <c r="J4004" t="str">
        <f t="shared" si="62"/>
        <v>May-2024</v>
      </c>
    </row>
    <row r="4005" spans="1:10">
      <c r="A4005">
        <v>4004</v>
      </c>
      <c r="B4005">
        <v>16570</v>
      </c>
      <c r="C4005" t="s">
        <v>23</v>
      </c>
      <c r="D4005">
        <v>88300.33</v>
      </c>
      <c r="E4005" t="s">
        <v>16</v>
      </c>
      <c r="F4005">
        <v>22</v>
      </c>
      <c r="G4005" t="s">
        <v>17</v>
      </c>
      <c r="H4005" s="1">
        <v>45643</v>
      </c>
      <c r="I4005" s="1">
        <v>45665</v>
      </c>
      <c r="J4005" t="str">
        <f t="shared" si="62"/>
        <v>Dec-2024</v>
      </c>
    </row>
    <row r="4006" spans="1:10">
      <c r="A4006">
        <v>4005</v>
      </c>
      <c r="B4006">
        <v>10442</v>
      </c>
      <c r="C4006" t="s">
        <v>23</v>
      </c>
      <c r="D4006">
        <v>51610</v>
      </c>
      <c r="E4006" t="s">
        <v>16</v>
      </c>
      <c r="F4006">
        <v>23</v>
      </c>
      <c r="G4006" t="s">
        <v>20</v>
      </c>
      <c r="H4006" s="1">
        <v>45442</v>
      </c>
      <c r="I4006" s="1">
        <v>45465</v>
      </c>
      <c r="J4006" t="str">
        <f t="shared" si="62"/>
        <v>May-2024</v>
      </c>
    </row>
    <row r="4007" spans="1:10">
      <c r="A4007">
        <v>4006</v>
      </c>
      <c r="B4007">
        <v>10600</v>
      </c>
      <c r="C4007" t="s">
        <v>15</v>
      </c>
      <c r="D4007">
        <v>76957.87</v>
      </c>
      <c r="E4007" t="s">
        <v>19</v>
      </c>
      <c r="F4007">
        <v>4</v>
      </c>
      <c r="G4007" t="s">
        <v>25</v>
      </c>
      <c r="H4007" s="1">
        <v>45327</v>
      </c>
      <c r="I4007" s="1">
        <v>45331</v>
      </c>
      <c r="J4007" t="str">
        <f t="shared" si="62"/>
        <v>Feb-2024</v>
      </c>
    </row>
    <row r="4008" spans="1:10">
      <c r="A4008">
        <v>4007</v>
      </c>
      <c r="B4008">
        <v>14582</v>
      </c>
      <c r="C4008" t="s">
        <v>18</v>
      </c>
      <c r="D4008">
        <v>120460.91</v>
      </c>
      <c r="E4008" t="s">
        <v>19</v>
      </c>
      <c r="F4008">
        <v>36</v>
      </c>
      <c r="G4008" t="s">
        <v>20</v>
      </c>
      <c r="H4008" s="1">
        <v>45617</v>
      </c>
      <c r="I4008" s="1">
        <v>45653</v>
      </c>
      <c r="J4008" t="str">
        <f t="shared" si="62"/>
        <v>Nov-2024</v>
      </c>
    </row>
    <row r="4009" spans="1:10">
      <c r="A4009">
        <v>4008</v>
      </c>
      <c r="B4009">
        <v>12786</v>
      </c>
      <c r="C4009" t="s">
        <v>22</v>
      </c>
      <c r="D4009">
        <v>73396.88</v>
      </c>
      <c r="E4009" t="s">
        <v>16</v>
      </c>
      <c r="F4009">
        <v>39</v>
      </c>
      <c r="G4009" t="s">
        <v>25</v>
      </c>
      <c r="H4009" s="1">
        <v>45386</v>
      </c>
      <c r="I4009" s="1">
        <v>45425</v>
      </c>
      <c r="J4009" t="str">
        <f t="shared" si="62"/>
        <v>Apr-2024</v>
      </c>
    </row>
    <row r="4010" spans="1:10">
      <c r="A4010">
        <v>4009</v>
      </c>
      <c r="B4010">
        <v>12695</v>
      </c>
      <c r="C4010" t="s">
        <v>15</v>
      </c>
      <c r="D4010">
        <v>46904.800000000003</v>
      </c>
      <c r="E4010" t="s">
        <v>16</v>
      </c>
      <c r="F4010">
        <v>34</v>
      </c>
      <c r="G4010" t="s">
        <v>20</v>
      </c>
      <c r="H4010" s="1">
        <v>45425</v>
      </c>
      <c r="I4010" s="1">
        <v>45459</v>
      </c>
      <c r="J4010" t="str">
        <f t="shared" si="62"/>
        <v>May-2024</v>
      </c>
    </row>
    <row r="4011" spans="1:10">
      <c r="A4011">
        <v>4010</v>
      </c>
      <c r="B4011">
        <v>12052</v>
      </c>
      <c r="C4011" t="s">
        <v>18</v>
      </c>
      <c r="D4011">
        <v>27710.240000000002</v>
      </c>
      <c r="E4011" t="s">
        <v>16</v>
      </c>
      <c r="F4011">
        <v>16</v>
      </c>
      <c r="G4011" t="s">
        <v>20</v>
      </c>
      <c r="H4011" s="1">
        <v>45453</v>
      </c>
      <c r="I4011" s="1">
        <v>45469</v>
      </c>
      <c r="J4011" t="str">
        <f t="shared" si="62"/>
        <v>Jun-2024</v>
      </c>
    </row>
    <row r="4012" spans="1:10">
      <c r="A4012">
        <v>4011</v>
      </c>
      <c r="B4012">
        <v>10631</v>
      </c>
      <c r="C4012" t="s">
        <v>23</v>
      </c>
      <c r="D4012">
        <v>176554.55</v>
      </c>
      <c r="E4012" t="s">
        <v>16</v>
      </c>
      <c r="F4012">
        <v>12</v>
      </c>
      <c r="G4012" t="s">
        <v>25</v>
      </c>
      <c r="H4012" s="1">
        <v>45335</v>
      </c>
      <c r="I4012" s="1">
        <v>45347</v>
      </c>
      <c r="J4012" t="str">
        <f t="shared" si="62"/>
        <v>Feb-2024</v>
      </c>
    </row>
    <row r="4013" spans="1:10">
      <c r="A4013">
        <v>4012</v>
      </c>
      <c r="B4013">
        <v>13442</v>
      </c>
      <c r="C4013" t="s">
        <v>18</v>
      </c>
      <c r="D4013">
        <v>90861.03</v>
      </c>
      <c r="E4013" t="s">
        <v>16</v>
      </c>
      <c r="F4013">
        <v>11</v>
      </c>
      <c r="G4013" t="s">
        <v>17</v>
      </c>
      <c r="H4013" s="1">
        <v>45591</v>
      </c>
      <c r="I4013" s="1">
        <v>45602</v>
      </c>
      <c r="J4013" t="str">
        <f t="shared" si="62"/>
        <v>Oct-2024</v>
      </c>
    </row>
    <row r="4014" spans="1:10">
      <c r="A4014">
        <v>4013</v>
      </c>
      <c r="B4014">
        <v>11754</v>
      </c>
      <c r="C4014" t="s">
        <v>15</v>
      </c>
      <c r="D4014">
        <v>126915.62</v>
      </c>
      <c r="E4014" t="s">
        <v>19</v>
      </c>
      <c r="F4014">
        <v>37</v>
      </c>
      <c r="G4014" t="s">
        <v>25</v>
      </c>
      <c r="H4014" s="1">
        <v>45574</v>
      </c>
      <c r="I4014" s="1">
        <v>45611</v>
      </c>
      <c r="J4014" t="str">
        <f t="shared" si="62"/>
        <v>Oct-2024</v>
      </c>
    </row>
    <row r="4015" spans="1:10">
      <c r="A4015">
        <v>4014</v>
      </c>
      <c r="B4015">
        <v>17020</v>
      </c>
      <c r="C4015" t="s">
        <v>18</v>
      </c>
      <c r="D4015">
        <v>100630.02</v>
      </c>
      <c r="E4015" t="s">
        <v>16</v>
      </c>
      <c r="F4015">
        <v>15</v>
      </c>
      <c r="G4015" t="s">
        <v>21</v>
      </c>
      <c r="H4015" s="1">
        <v>45647</v>
      </c>
      <c r="I4015" s="1">
        <v>45662</v>
      </c>
      <c r="J4015" t="str">
        <f t="shared" si="62"/>
        <v>Dec-2024</v>
      </c>
    </row>
    <row r="4016" spans="1:10">
      <c r="A4016">
        <v>4015</v>
      </c>
      <c r="B4016">
        <v>19770</v>
      </c>
      <c r="C4016" t="s">
        <v>18</v>
      </c>
      <c r="D4016">
        <v>175150.47</v>
      </c>
      <c r="E4016" t="s">
        <v>19</v>
      </c>
      <c r="F4016">
        <v>3</v>
      </c>
      <c r="G4016" t="s">
        <v>21</v>
      </c>
      <c r="H4016" s="1">
        <v>45531</v>
      </c>
      <c r="I4016" s="1">
        <v>45534</v>
      </c>
      <c r="J4016" t="str">
        <f t="shared" si="62"/>
        <v>Aug-2024</v>
      </c>
    </row>
    <row r="4017" spans="1:10">
      <c r="A4017">
        <v>4016</v>
      </c>
      <c r="B4017">
        <v>10025</v>
      </c>
      <c r="C4017" t="s">
        <v>23</v>
      </c>
      <c r="D4017">
        <v>111652.3</v>
      </c>
      <c r="E4017" t="s">
        <v>16</v>
      </c>
      <c r="F4017">
        <v>38</v>
      </c>
      <c r="G4017" t="s">
        <v>25</v>
      </c>
      <c r="H4017" s="1">
        <v>45343</v>
      </c>
      <c r="I4017" s="1">
        <v>45381</v>
      </c>
      <c r="J4017" t="str">
        <f t="shared" si="62"/>
        <v>Feb-2024</v>
      </c>
    </row>
    <row r="4018" spans="1:10">
      <c r="A4018">
        <v>4017</v>
      </c>
      <c r="B4018">
        <v>17946</v>
      </c>
      <c r="C4018" t="s">
        <v>15</v>
      </c>
      <c r="D4018">
        <v>98752.38</v>
      </c>
      <c r="E4018" t="s">
        <v>16</v>
      </c>
      <c r="F4018">
        <v>30</v>
      </c>
      <c r="G4018" t="s">
        <v>20</v>
      </c>
      <c r="H4018" s="1">
        <v>45572</v>
      </c>
      <c r="I4018" s="1">
        <v>45602</v>
      </c>
      <c r="J4018" t="str">
        <f t="shared" si="62"/>
        <v>Oct-2024</v>
      </c>
    </row>
    <row r="4019" spans="1:10">
      <c r="A4019">
        <v>4018</v>
      </c>
      <c r="B4019">
        <v>17297</v>
      </c>
      <c r="C4019" t="s">
        <v>18</v>
      </c>
      <c r="D4019">
        <v>185297.19</v>
      </c>
      <c r="E4019" t="s">
        <v>16</v>
      </c>
      <c r="F4019">
        <v>36</v>
      </c>
      <c r="G4019" t="s">
        <v>21</v>
      </c>
      <c r="H4019" s="1">
        <v>45365</v>
      </c>
      <c r="I4019" s="1">
        <v>45401</v>
      </c>
      <c r="J4019" t="str">
        <f t="shared" si="62"/>
        <v>Mar-2024</v>
      </c>
    </row>
    <row r="4020" spans="1:10">
      <c r="A4020">
        <v>4019</v>
      </c>
      <c r="B4020">
        <v>16553</v>
      </c>
      <c r="C4020" t="s">
        <v>22</v>
      </c>
      <c r="D4020">
        <v>145339.47</v>
      </c>
      <c r="E4020" t="s">
        <v>19</v>
      </c>
      <c r="F4020">
        <v>21</v>
      </c>
      <c r="G4020" t="s">
        <v>21</v>
      </c>
      <c r="H4020" s="1">
        <v>45586</v>
      </c>
      <c r="I4020" s="1">
        <v>45607</v>
      </c>
      <c r="J4020" t="str">
        <f t="shared" si="62"/>
        <v>Oct-2024</v>
      </c>
    </row>
    <row r="4021" spans="1:10">
      <c r="A4021">
        <v>4020</v>
      </c>
      <c r="B4021">
        <v>15759</v>
      </c>
      <c r="C4021" t="s">
        <v>23</v>
      </c>
      <c r="D4021">
        <v>26752.23</v>
      </c>
      <c r="E4021" t="s">
        <v>19</v>
      </c>
      <c r="F4021">
        <v>22</v>
      </c>
      <c r="G4021" t="s">
        <v>20</v>
      </c>
      <c r="H4021" s="1">
        <v>45529</v>
      </c>
      <c r="I4021" s="1">
        <v>45551</v>
      </c>
      <c r="J4021" t="str">
        <f t="shared" si="62"/>
        <v>Aug-2024</v>
      </c>
    </row>
    <row r="4022" spans="1:10">
      <c r="A4022">
        <v>4021</v>
      </c>
      <c r="B4022">
        <v>17755</v>
      </c>
      <c r="C4022" t="s">
        <v>23</v>
      </c>
      <c r="D4022">
        <v>39652.370000000003</v>
      </c>
      <c r="E4022" t="s">
        <v>16</v>
      </c>
      <c r="F4022">
        <v>35</v>
      </c>
      <c r="G4022" t="s">
        <v>20</v>
      </c>
      <c r="H4022" s="1">
        <v>45458</v>
      </c>
      <c r="I4022" s="1">
        <v>45493</v>
      </c>
      <c r="J4022" t="str">
        <f t="shared" si="62"/>
        <v>Jun-2024</v>
      </c>
    </row>
    <row r="4023" spans="1:10">
      <c r="A4023">
        <v>4022</v>
      </c>
      <c r="B4023">
        <v>11129</v>
      </c>
      <c r="C4023" t="s">
        <v>23</v>
      </c>
      <c r="D4023">
        <v>158488.95999999999</v>
      </c>
      <c r="E4023" t="s">
        <v>16</v>
      </c>
      <c r="F4023">
        <v>44</v>
      </c>
      <c r="G4023" t="s">
        <v>17</v>
      </c>
      <c r="H4023" s="1">
        <v>45431</v>
      </c>
      <c r="I4023" s="1">
        <v>45475</v>
      </c>
      <c r="J4023" t="str">
        <f t="shared" si="62"/>
        <v>May-2024</v>
      </c>
    </row>
    <row r="4024" spans="1:10">
      <c r="A4024">
        <v>4023</v>
      </c>
      <c r="B4024">
        <v>14996</v>
      </c>
      <c r="C4024" t="s">
        <v>18</v>
      </c>
      <c r="D4024">
        <v>167991.01</v>
      </c>
      <c r="E4024" t="s">
        <v>16</v>
      </c>
      <c r="F4024">
        <v>34</v>
      </c>
      <c r="G4024" t="s">
        <v>20</v>
      </c>
      <c r="H4024" s="1">
        <v>45430</v>
      </c>
      <c r="I4024" s="1">
        <v>45464</v>
      </c>
      <c r="J4024" t="str">
        <f t="shared" si="62"/>
        <v>May-2024</v>
      </c>
    </row>
    <row r="4025" spans="1:10">
      <c r="A4025">
        <v>4024</v>
      </c>
      <c r="B4025">
        <v>14145</v>
      </c>
      <c r="C4025" t="s">
        <v>23</v>
      </c>
      <c r="D4025">
        <v>111312.21</v>
      </c>
      <c r="E4025" t="s">
        <v>16</v>
      </c>
      <c r="F4025">
        <v>20</v>
      </c>
      <c r="G4025" t="s">
        <v>25</v>
      </c>
      <c r="H4025" s="1">
        <v>45526</v>
      </c>
      <c r="I4025" s="1">
        <v>45546</v>
      </c>
      <c r="J4025" t="str">
        <f t="shared" si="62"/>
        <v>Aug-2024</v>
      </c>
    </row>
    <row r="4026" spans="1:10">
      <c r="A4026">
        <v>4025</v>
      </c>
      <c r="B4026">
        <v>15641</v>
      </c>
      <c r="C4026" t="s">
        <v>23</v>
      </c>
      <c r="D4026">
        <v>113118.77</v>
      </c>
      <c r="E4026" t="s">
        <v>16</v>
      </c>
      <c r="F4026">
        <v>9</v>
      </c>
      <c r="G4026" t="s">
        <v>25</v>
      </c>
      <c r="H4026" s="1">
        <v>45294</v>
      </c>
      <c r="I4026" s="1">
        <v>45303</v>
      </c>
      <c r="J4026" t="str">
        <f t="shared" si="62"/>
        <v>Jan-2024</v>
      </c>
    </row>
    <row r="4027" spans="1:10">
      <c r="A4027">
        <v>4026</v>
      </c>
      <c r="B4027">
        <v>18633</v>
      </c>
      <c r="C4027" t="s">
        <v>22</v>
      </c>
      <c r="D4027">
        <v>128226.93</v>
      </c>
      <c r="E4027" t="s">
        <v>19</v>
      </c>
      <c r="F4027">
        <v>32</v>
      </c>
      <c r="G4027" t="s">
        <v>17</v>
      </c>
      <c r="H4027" s="1">
        <v>45547</v>
      </c>
      <c r="I4027" s="1">
        <v>45579</v>
      </c>
      <c r="J4027" t="str">
        <f t="shared" si="62"/>
        <v>Sep-2024</v>
      </c>
    </row>
    <row r="4028" spans="1:10">
      <c r="A4028">
        <v>4027</v>
      </c>
      <c r="B4028">
        <v>15897</v>
      </c>
      <c r="C4028" t="s">
        <v>23</v>
      </c>
      <c r="D4028">
        <v>90627.58</v>
      </c>
      <c r="E4028" t="s">
        <v>16</v>
      </c>
      <c r="F4028">
        <v>12</v>
      </c>
      <c r="G4028" t="s">
        <v>21</v>
      </c>
      <c r="H4028" s="1">
        <v>45569</v>
      </c>
      <c r="I4028" s="1">
        <v>45581</v>
      </c>
      <c r="J4028" t="str">
        <f t="shared" si="62"/>
        <v>Oct-2024</v>
      </c>
    </row>
    <row r="4029" spans="1:10">
      <c r="A4029">
        <v>4028</v>
      </c>
      <c r="B4029">
        <v>17369</v>
      </c>
      <c r="C4029" t="s">
        <v>15</v>
      </c>
      <c r="D4029">
        <v>137638.82999999999</v>
      </c>
      <c r="E4029" t="s">
        <v>19</v>
      </c>
      <c r="F4029">
        <v>9</v>
      </c>
      <c r="G4029" t="s">
        <v>21</v>
      </c>
      <c r="H4029" s="1">
        <v>45295</v>
      </c>
      <c r="I4029" s="1">
        <v>45304</v>
      </c>
      <c r="J4029" t="str">
        <f t="shared" si="62"/>
        <v>Jan-2024</v>
      </c>
    </row>
    <row r="4030" spans="1:10">
      <c r="A4030">
        <v>4029</v>
      </c>
      <c r="B4030">
        <v>13895</v>
      </c>
      <c r="C4030" t="s">
        <v>23</v>
      </c>
      <c r="D4030">
        <v>26153.85</v>
      </c>
      <c r="E4030" t="s">
        <v>16</v>
      </c>
      <c r="F4030">
        <v>26</v>
      </c>
      <c r="G4030" t="s">
        <v>20</v>
      </c>
      <c r="H4030" s="1">
        <v>45561</v>
      </c>
      <c r="I4030" s="1">
        <v>45587</v>
      </c>
      <c r="J4030" t="str">
        <f t="shared" si="62"/>
        <v>Sep-2024</v>
      </c>
    </row>
    <row r="4031" spans="1:10">
      <c r="A4031">
        <v>4030</v>
      </c>
      <c r="B4031">
        <v>14797</v>
      </c>
      <c r="C4031" t="s">
        <v>15</v>
      </c>
      <c r="D4031">
        <v>192449.45</v>
      </c>
      <c r="E4031" t="s">
        <v>16</v>
      </c>
      <c r="F4031">
        <v>21</v>
      </c>
      <c r="G4031" t="s">
        <v>25</v>
      </c>
      <c r="H4031" s="1">
        <v>45503</v>
      </c>
      <c r="I4031" s="1">
        <v>45524</v>
      </c>
      <c r="J4031" t="str">
        <f t="shared" si="62"/>
        <v>Jul-2024</v>
      </c>
    </row>
    <row r="4032" spans="1:10">
      <c r="A4032">
        <v>4031</v>
      </c>
      <c r="B4032">
        <v>11828</v>
      </c>
      <c r="C4032" t="s">
        <v>18</v>
      </c>
      <c r="D4032">
        <v>151280.19</v>
      </c>
      <c r="E4032" t="s">
        <v>24</v>
      </c>
      <c r="G4032" t="s">
        <v>21</v>
      </c>
      <c r="H4032" s="1">
        <v>45507</v>
      </c>
      <c r="J4032" t="str">
        <f t="shared" si="62"/>
        <v>Aug-2024</v>
      </c>
    </row>
    <row r="4033" spans="1:10">
      <c r="A4033">
        <v>4032</v>
      </c>
      <c r="B4033">
        <v>19727</v>
      </c>
      <c r="C4033" t="s">
        <v>22</v>
      </c>
      <c r="D4033">
        <v>128078.97</v>
      </c>
      <c r="E4033" t="s">
        <v>16</v>
      </c>
      <c r="F4033">
        <v>8</v>
      </c>
      <c r="G4033" t="s">
        <v>17</v>
      </c>
      <c r="H4033" s="1">
        <v>45561</v>
      </c>
      <c r="I4033" s="1">
        <v>45569</v>
      </c>
      <c r="J4033" t="str">
        <f t="shared" si="62"/>
        <v>Sep-2024</v>
      </c>
    </row>
    <row r="4034" spans="1:10">
      <c r="A4034">
        <v>4033</v>
      </c>
      <c r="B4034">
        <v>10559</v>
      </c>
      <c r="C4034" t="s">
        <v>22</v>
      </c>
      <c r="D4034">
        <v>66682.8</v>
      </c>
      <c r="E4034" t="s">
        <v>24</v>
      </c>
      <c r="G4034" t="s">
        <v>17</v>
      </c>
      <c r="H4034" s="1">
        <v>45307</v>
      </c>
      <c r="J4034" t="str">
        <f t="shared" si="62"/>
        <v>Jan-2024</v>
      </c>
    </row>
    <row r="4035" spans="1:10">
      <c r="A4035">
        <v>4034</v>
      </c>
      <c r="B4035">
        <v>19365</v>
      </c>
      <c r="C4035" t="s">
        <v>23</v>
      </c>
      <c r="D4035">
        <v>36386.32</v>
      </c>
      <c r="E4035" t="s">
        <v>16</v>
      </c>
      <c r="F4035">
        <v>40</v>
      </c>
      <c r="G4035" t="s">
        <v>25</v>
      </c>
      <c r="H4035" s="1">
        <v>45355</v>
      </c>
      <c r="I4035" s="1">
        <v>45395</v>
      </c>
      <c r="J4035" t="str">
        <f t="shared" ref="J4035:J4098" si="63">TEXT(H4035,"mmm-yyyy")</f>
        <v>Mar-2024</v>
      </c>
    </row>
    <row r="4036" spans="1:10">
      <c r="A4036">
        <v>4035</v>
      </c>
      <c r="B4036">
        <v>19276</v>
      </c>
      <c r="C4036" t="s">
        <v>23</v>
      </c>
      <c r="D4036">
        <v>84821.88</v>
      </c>
      <c r="E4036" t="s">
        <v>16</v>
      </c>
      <c r="F4036">
        <v>44</v>
      </c>
      <c r="G4036" t="s">
        <v>17</v>
      </c>
      <c r="H4036" s="1">
        <v>45530</v>
      </c>
      <c r="I4036" s="1">
        <v>45574</v>
      </c>
      <c r="J4036" t="str">
        <f t="shared" si="63"/>
        <v>Aug-2024</v>
      </c>
    </row>
    <row r="4037" spans="1:10">
      <c r="A4037">
        <v>4036</v>
      </c>
      <c r="B4037">
        <v>13914</v>
      </c>
      <c r="C4037" t="s">
        <v>23</v>
      </c>
      <c r="D4037">
        <v>134007.46</v>
      </c>
      <c r="E4037" t="s">
        <v>19</v>
      </c>
      <c r="F4037">
        <v>11</v>
      </c>
      <c r="G4037" t="s">
        <v>17</v>
      </c>
      <c r="H4037" s="1">
        <v>45307</v>
      </c>
      <c r="I4037" s="1">
        <v>45318</v>
      </c>
      <c r="J4037" t="str">
        <f t="shared" si="63"/>
        <v>Jan-2024</v>
      </c>
    </row>
    <row r="4038" spans="1:10">
      <c r="A4038">
        <v>4037</v>
      </c>
      <c r="B4038">
        <v>18430</v>
      </c>
      <c r="C4038" t="s">
        <v>18</v>
      </c>
      <c r="D4038">
        <v>128573.4</v>
      </c>
      <c r="E4038" t="s">
        <v>24</v>
      </c>
      <c r="G4038" t="s">
        <v>25</v>
      </c>
      <c r="H4038" s="1">
        <v>45343</v>
      </c>
      <c r="J4038" t="str">
        <f t="shared" si="63"/>
        <v>Feb-2024</v>
      </c>
    </row>
    <row r="4039" spans="1:10">
      <c r="A4039">
        <v>4038</v>
      </c>
      <c r="B4039">
        <v>18050</v>
      </c>
      <c r="C4039" t="s">
        <v>15</v>
      </c>
      <c r="D4039">
        <v>79615.03</v>
      </c>
      <c r="E4039" t="s">
        <v>16</v>
      </c>
      <c r="F4039">
        <v>43</v>
      </c>
      <c r="G4039" t="s">
        <v>20</v>
      </c>
      <c r="H4039" s="1">
        <v>45310</v>
      </c>
      <c r="I4039" s="1">
        <v>45353</v>
      </c>
      <c r="J4039" t="str">
        <f t="shared" si="63"/>
        <v>Jan-2024</v>
      </c>
    </row>
    <row r="4040" spans="1:10">
      <c r="A4040">
        <v>4039</v>
      </c>
      <c r="B4040">
        <v>19663</v>
      </c>
      <c r="C4040" t="s">
        <v>23</v>
      </c>
      <c r="D4040">
        <v>124590.85</v>
      </c>
      <c r="E4040" t="s">
        <v>16</v>
      </c>
      <c r="F4040">
        <v>44</v>
      </c>
      <c r="G4040" t="s">
        <v>20</v>
      </c>
      <c r="H4040" s="1">
        <v>45616</v>
      </c>
      <c r="I4040" s="1">
        <v>45660</v>
      </c>
      <c r="J4040" t="str">
        <f t="shared" si="63"/>
        <v>Nov-2024</v>
      </c>
    </row>
    <row r="4041" spans="1:10">
      <c r="A4041">
        <v>4040</v>
      </c>
      <c r="B4041">
        <v>16900</v>
      </c>
      <c r="C4041" t="s">
        <v>18</v>
      </c>
      <c r="D4041">
        <v>163680.92000000001</v>
      </c>
      <c r="E4041" t="s">
        <v>19</v>
      </c>
      <c r="F4041">
        <v>21</v>
      </c>
      <c r="G4041" t="s">
        <v>17</v>
      </c>
      <c r="H4041" s="1">
        <v>45384</v>
      </c>
      <c r="I4041" s="1">
        <v>45405</v>
      </c>
      <c r="J4041" t="str">
        <f t="shared" si="63"/>
        <v>Apr-2024</v>
      </c>
    </row>
    <row r="4042" spans="1:10">
      <c r="A4042">
        <v>4041</v>
      </c>
      <c r="B4042">
        <v>15587</v>
      </c>
      <c r="C4042" t="s">
        <v>23</v>
      </c>
      <c r="D4042">
        <v>10125.530000000001</v>
      </c>
      <c r="E4042" t="s">
        <v>19</v>
      </c>
      <c r="F4042">
        <v>18</v>
      </c>
      <c r="G4042" t="s">
        <v>20</v>
      </c>
      <c r="H4042" s="1">
        <v>45552</v>
      </c>
      <c r="I4042" s="1">
        <v>45570</v>
      </c>
      <c r="J4042" t="str">
        <f t="shared" si="63"/>
        <v>Sep-2024</v>
      </c>
    </row>
    <row r="4043" spans="1:10">
      <c r="A4043">
        <v>4042</v>
      </c>
      <c r="B4043">
        <v>15412</v>
      </c>
      <c r="C4043" t="s">
        <v>15</v>
      </c>
      <c r="D4043">
        <v>92871.1</v>
      </c>
      <c r="E4043" t="s">
        <v>16</v>
      </c>
      <c r="F4043">
        <v>12</v>
      </c>
      <c r="G4043" t="s">
        <v>20</v>
      </c>
      <c r="H4043" s="1">
        <v>45589</v>
      </c>
      <c r="I4043" s="1">
        <v>45601</v>
      </c>
      <c r="J4043" t="str">
        <f t="shared" si="63"/>
        <v>Oct-2024</v>
      </c>
    </row>
    <row r="4044" spans="1:10">
      <c r="A4044">
        <v>4043</v>
      </c>
      <c r="B4044">
        <v>14612</v>
      </c>
      <c r="C4044" t="s">
        <v>22</v>
      </c>
      <c r="D4044">
        <v>152918.26999999999</v>
      </c>
      <c r="E4044" t="s">
        <v>19</v>
      </c>
      <c r="F4044">
        <v>17</v>
      </c>
      <c r="G4044" t="s">
        <v>17</v>
      </c>
      <c r="H4044" s="1">
        <v>45308</v>
      </c>
      <c r="I4044" s="1">
        <v>45325</v>
      </c>
      <c r="J4044" t="str">
        <f t="shared" si="63"/>
        <v>Jan-2024</v>
      </c>
    </row>
    <row r="4045" spans="1:10">
      <c r="A4045">
        <v>4044</v>
      </c>
      <c r="B4045">
        <v>13683</v>
      </c>
      <c r="C4045" t="s">
        <v>23</v>
      </c>
      <c r="D4045">
        <v>111498.17</v>
      </c>
      <c r="E4045" t="s">
        <v>16</v>
      </c>
      <c r="F4045">
        <v>38</v>
      </c>
      <c r="G4045" t="s">
        <v>20</v>
      </c>
      <c r="H4045" s="1">
        <v>45402</v>
      </c>
      <c r="I4045" s="1">
        <v>45440</v>
      </c>
      <c r="J4045" t="str">
        <f t="shared" si="63"/>
        <v>Apr-2024</v>
      </c>
    </row>
    <row r="4046" spans="1:10">
      <c r="A4046">
        <v>4045</v>
      </c>
      <c r="B4046">
        <v>18396</v>
      </c>
      <c r="C4046" t="s">
        <v>23</v>
      </c>
      <c r="D4046">
        <v>132037.84</v>
      </c>
      <c r="E4046" t="s">
        <v>16</v>
      </c>
      <c r="F4046">
        <v>43</v>
      </c>
      <c r="G4046" t="s">
        <v>17</v>
      </c>
      <c r="H4046" s="1">
        <v>45619</v>
      </c>
      <c r="I4046" s="1">
        <v>45662</v>
      </c>
      <c r="J4046" t="str">
        <f t="shared" si="63"/>
        <v>Nov-2024</v>
      </c>
    </row>
    <row r="4047" spans="1:10">
      <c r="A4047">
        <v>4046</v>
      </c>
      <c r="B4047">
        <v>17347</v>
      </c>
      <c r="C4047" t="s">
        <v>23</v>
      </c>
      <c r="D4047">
        <v>105751.9</v>
      </c>
      <c r="E4047" t="s">
        <v>16</v>
      </c>
      <c r="F4047">
        <v>33</v>
      </c>
      <c r="G4047" t="s">
        <v>21</v>
      </c>
      <c r="H4047" s="1">
        <v>45651</v>
      </c>
      <c r="I4047" s="1">
        <v>45684</v>
      </c>
      <c r="J4047" t="str">
        <f t="shared" si="63"/>
        <v>Dec-2024</v>
      </c>
    </row>
    <row r="4048" spans="1:10">
      <c r="A4048">
        <v>4047</v>
      </c>
      <c r="B4048">
        <v>13600</v>
      </c>
      <c r="C4048" t="s">
        <v>18</v>
      </c>
      <c r="D4048">
        <v>198415.54</v>
      </c>
      <c r="E4048" t="s">
        <v>16</v>
      </c>
      <c r="F4048">
        <v>27</v>
      </c>
      <c r="G4048" t="s">
        <v>25</v>
      </c>
      <c r="H4048" s="1">
        <v>45385</v>
      </c>
      <c r="I4048" s="1">
        <v>45412</v>
      </c>
      <c r="J4048" t="str">
        <f t="shared" si="63"/>
        <v>Apr-2024</v>
      </c>
    </row>
    <row r="4049" spans="1:10">
      <c r="A4049">
        <v>4048</v>
      </c>
      <c r="B4049">
        <v>16643</v>
      </c>
      <c r="C4049" t="s">
        <v>18</v>
      </c>
      <c r="D4049">
        <v>15651.2</v>
      </c>
      <c r="E4049" t="s">
        <v>24</v>
      </c>
      <c r="G4049" t="s">
        <v>25</v>
      </c>
      <c r="H4049" s="1">
        <v>45301</v>
      </c>
      <c r="J4049" t="str">
        <f t="shared" si="63"/>
        <v>Jan-2024</v>
      </c>
    </row>
    <row r="4050" spans="1:10">
      <c r="A4050">
        <v>4049</v>
      </c>
      <c r="B4050">
        <v>11213</v>
      </c>
      <c r="C4050" t="s">
        <v>23</v>
      </c>
      <c r="D4050">
        <v>100753.74</v>
      </c>
      <c r="E4050" t="s">
        <v>16</v>
      </c>
      <c r="F4050">
        <v>10</v>
      </c>
      <c r="G4050" t="s">
        <v>20</v>
      </c>
      <c r="H4050" s="1">
        <v>45503</v>
      </c>
      <c r="I4050" s="1">
        <v>45513</v>
      </c>
      <c r="J4050" t="str">
        <f t="shared" si="63"/>
        <v>Jul-2024</v>
      </c>
    </row>
    <row r="4051" spans="1:10">
      <c r="A4051">
        <v>4050</v>
      </c>
      <c r="B4051">
        <v>17347</v>
      </c>
      <c r="C4051" t="s">
        <v>23</v>
      </c>
      <c r="D4051">
        <v>22826.23</v>
      </c>
      <c r="E4051" t="s">
        <v>24</v>
      </c>
      <c r="G4051" t="s">
        <v>20</v>
      </c>
      <c r="H4051" s="1">
        <v>45528</v>
      </c>
      <c r="J4051" t="str">
        <f t="shared" si="63"/>
        <v>Aug-2024</v>
      </c>
    </row>
    <row r="4052" spans="1:10">
      <c r="A4052">
        <v>4051</v>
      </c>
      <c r="B4052">
        <v>13091</v>
      </c>
      <c r="C4052" t="s">
        <v>23</v>
      </c>
      <c r="D4052">
        <v>36158.18</v>
      </c>
      <c r="E4052" t="s">
        <v>16</v>
      </c>
      <c r="F4052">
        <v>4</v>
      </c>
      <c r="G4052" t="s">
        <v>20</v>
      </c>
      <c r="H4052" s="1">
        <v>45545</v>
      </c>
      <c r="I4052" s="1">
        <v>45549</v>
      </c>
      <c r="J4052" t="str">
        <f t="shared" si="63"/>
        <v>Sep-2024</v>
      </c>
    </row>
    <row r="4053" spans="1:10">
      <c r="A4053">
        <v>4052</v>
      </c>
      <c r="B4053">
        <v>11382</v>
      </c>
      <c r="C4053" t="s">
        <v>18</v>
      </c>
      <c r="D4053">
        <v>79692.479999999996</v>
      </c>
      <c r="E4053" t="s">
        <v>19</v>
      </c>
      <c r="F4053">
        <v>32</v>
      </c>
      <c r="G4053" t="s">
        <v>25</v>
      </c>
      <c r="H4053" s="1">
        <v>45307</v>
      </c>
      <c r="I4053" s="1">
        <v>45339</v>
      </c>
      <c r="J4053" t="str">
        <f t="shared" si="63"/>
        <v>Jan-2024</v>
      </c>
    </row>
    <row r="4054" spans="1:10">
      <c r="A4054">
        <v>4053</v>
      </c>
      <c r="B4054">
        <v>13680</v>
      </c>
      <c r="C4054" t="s">
        <v>18</v>
      </c>
      <c r="D4054">
        <v>35330.32</v>
      </c>
      <c r="E4054" t="s">
        <v>19</v>
      </c>
      <c r="F4054">
        <v>43</v>
      </c>
      <c r="G4054" t="s">
        <v>21</v>
      </c>
      <c r="H4054" s="1">
        <v>45435</v>
      </c>
      <c r="I4054" s="1">
        <v>45478</v>
      </c>
      <c r="J4054" t="str">
        <f t="shared" si="63"/>
        <v>May-2024</v>
      </c>
    </row>
    <row r="4055" spans="1:10">
      <c r="A4055">
        <v>4054</v>
      </c>
      <c r="B4055">
        <v>19871</v>
      </c>
      <c r="C4055" t="s">
        <v>23</v>
      </c>
      <c r="D4055">
        <v>192919</v>
      </c>
      <c r="E4055" t="s">
        <v>16</v>
      </c>
      <c r="F4055">
        <v>8</v>
      </c>
      <c r="G4055" t="s">
        <v>21</v>
      </c>
      <c r="H4055" s="1">
        <v>45333</v>
      </c>
      <c r="I4055" s="1">
        <v>45341</v>
      </c>
      <c r="J4055" t="str">
        <f t="shared" si="63"/>
        <v>Feb-2024</v>
      </c>
    </row>
    <row r="4056" spans="1:10">
      <c r="A4056">
        <v>4055</v>
      </c>
      <c r="B4056">
        <v>18198</v>
      </c>
      <c r="C4056" t="s">
        <v>18</v>
      </c>
      <c r="D4056">
        <v>189624.01</v>
      </c>
      <c r="E4056" t="s">
        <v>16</v>
      </c>
      <c r="F4056">
        <v>3</v>
      </c>
      <c r="G4056" t="s">
        <v>25</v>
      </c>
      <c r="H4056" s="1">
        <v>45294</v>
      </c>
      <c r="I4056" s="1">
        <v>45297</v>
      </c>
      <c r="J4056" t="str">
        <f t="shared" si="63"/>
        <v>Jan-2024</v>
      </c>
    </row>
    <row r="4057" spans="1:10">
      <c r="A4057">
        <v>4056</v>
      </c>
      <c r="B4057">
        <v>13498</v>
      </c>
      <c r="C4057" t="s">
        <v>18</v>
      </c>
      <c r="D4057">
        <v>70541.38</v>
      </c>
      <c r="E4057" t="s">
        <v>16</v>
      </c>
      <c r="F4057">
        <v>26</v>
      </c>
      <c r="G4057" t="s">
        <v>21</v>
      </c>
      <c r="H4057" s="1">
        <v>45447</v>
      </c>
      <c r="I4057" s="1">
        <v>45473</v>
      </c>
      <c r="J4057" t="str">
        <f t="shared" si="63"/>
        <v>Jun-2024</v>
      </c>
    </row>
    <row r="4058" spans="1:10">
      <c r="A4058">
        <v>4057</v>
      </c>
      <c r="B4058">
        <v>18487</v>
      </c>
      <c r="C4058" t="s">
        <v>23</v>
      </c>
      <c r="D4058">
        <v>129750.8</v>
      </c>
      <c r="E4058" t="s">
        <v>19</v>
      </c>
      <c r="F4058">
        <v>41</v>
      </c>
      <c r="G4058" t="s">
        <v>25</v>
      </c>
      <c r="H4058" s="1">
        <v>45464</v>
      </c>
      <c r="I4058" s="1">
        <v>45505</v>
      </c>
      <c r="J4058" t="str">
        <f t="shared" si="63"/>
        <v>Jun-2024</v>
      </c>
    </row>
    <row r="4059" spans="1:10">
      <c r="A4059">
        <v>4058</v>
      </c>
      <c r="B4059">
        <v>15506</v>
      </c>
      <c r="C4059" t="s">
        <v>23</v>
      </c>
      <c r="D4059">
        <v>109081.9</v>
      </c>
      <c r="E4059" t="s">
        <v>19</v>
      </c>
      <c r="F4059">
        <v>13</v>
      </c>
      <c r="G4059" t="s">
        <v>21</v>
      </c>
      <c r="H4059" s="1">
        <v>45315</v>
      </c>
      <c r="I4059" s="1">
        <v>45328</v>
      </c>
      <c r="J4059" t="str">
        <f t="shared" si="63"/>
        <v>Jan-2024</v>
      </c>
    </row>
    <row r="4060" spans="1:10">
      <c r="A4060">
        <v>4059</v>
      </c>
      <c r="B4060">
        <v>18455</v>
      </c>
      <c r="C4060" t="s">
        <v>18</v>
      </c>
      <c r="D4060">
        <v>164039.46</v>
      </c>
      <c r="E4060" t="s">
        <v>16</v>
      </c>
      <c r="F4060">
        <v>31</v>
      </c>
      <c r="G4060" t="s">
        <v>17</v>
      </c>
      <c r="H4060" s="1">
        <v>45566</v>
      </c>
      <c r="I4060" s="1">
        <v>45597</v>
      </c>
      <c r="J4060" t="str">
        <f t="shared" si="63"/>
        <v>Oct-2024</v>
      </c>
    </row>
    <row r="4061" spans="1:10">
      <c r="A4061">
        <v>4060</v>
      </c>
      <c r="B4061">
        <v>12137</v>
      </c>
      <c r="C4061" t="s">
        <v>22</v>
      </c>
      <c r="D4061">
        <v>127351.89</v>
      </c>
      <c r="E4061" t="s">
        <v>19</v>
      </c>
      <c r="F4061">
        <v>31</v>
      </c>
      <c r="G4061" t="s">
        <v>17</v>
      </c>
      <c r="H4061" s="1">
        <v>45366</v>
      </c>
      <c r="I4061" s="1">
        <v>45397</v>
      </c>
      <c r="J4061" t="str">
        <f t="shared" si="63"/>
        <v>Mar-2024</v>
      </c>
    </row>
    <row r="4062" spans="1:10">
      <c r="A4062">
        <v>4061</v>
      </c>
      <c r="B4062">
        <v>17655</v>
      </c>
      <c r="C4062" t="s">
        <v>23</v>
      </c>
      <c r="D4062">
        <v>5049.2299999999996</v>
      </c>
      <c r="E4062" t="s">
        <v>16</v>
      </c>
      <c r="F4062">
        <v>30</v>
      </c>
      <c r="G4062" t="s">
        <v>25</v>
      </c>
      <c r="H4062" s="1">
        <v>45331</v>
      </c>
      <c r="I4062" s="1">
        <v>45361</v>
      </c>
      <c r="J4062" t="str">
        <f t="shared" si="63"/>
        <v>Feb-2024</v>
      </c>
    </row>
    <row r="4063" spans="1:10">
      <c r="A4063">
        <v>4062</v>
      </c>
      <c r="B4063">
        <v>18124</v>
      </c>
      <c r="C4063" t="s">
        <v>23</v>
      </c>
      <c r="D4063">
        <v>153819.01</v>
      </c>
      <c r="E4063" t="s">
        <v>16</v>
      </c>
      <c r="F4063">
        <v>42</v>
      </c>
      <c r="G4063" t="s">
        <v>21</v>
      </c>
      <c r="H4063" s="1">
        <v>45593</v>
      </c>
      <c r="I4063" s="1">
        <v>45635</v>
      </c>
      <c r="J4063" t="str">
        <f t="shared" si="63"/>
        <v>Oct-2024</v>
      </c>
    </row>
    <row r="4064" spans="1:10">
      <c r="A4064">
        <v>4063</v>
      </c>
      <c r="B4064">
        <v>14948</v>
      </c>
      <c r="C4064" t="s">
        <v>23</v>
      </c>
      <c r="D4064">
        <v>150635.38</v>
      </c>
      <c r="E4064" t="s">
        <v>19</v>
      </c>
      <c r="F4064">
        <v>12</v>
      </c>
      <c r="G4064" t="s">
        <v>20</v>
      </c>
      <c r="H4064" s="1">
        <v>45331</v>
      </c>
      <c r="I4064" s="1">
        <v>45343</v>
      </c>
      <c r="J4064" t="str">
        <f t="shared" si="63"/>
        <v>Feb-2024</v>
      </c>
    </row>
    <row r="4065" spans="1:10">
      <c r="A4065">
        <v>4064</v>
      </c>
      <c r="B4065">
        <v>13865</v>
      </c>
      <c r="C4065" t="s">
        <v>18</v>
      </c>
      <c r="D4065">
        <v>104395.93</v>
      </c>
      <c r="E4065" t="s">
        <v>16</v>
      </c>
      <c r="F4065">
        <v>24</v>
      </c>
      <c r="G4065" t="s">
        <v>21</v>
      </c>
      <c r="H4065" s="1">
        <v>45353</v>
      </c>
      <c r="I4065" s="1">
        <v>45377</v>
      </c>
      <c r="J4065" t="str">
        <f t="shared" si="63"/>
        <v>Mar-2024</v>
      </c>
    </row>
    <row r="4066" spans="1:10">
      <c r="A4066">
        <v>4065</v>
      </c>
      <c r="B4066">
        <v>15460</v>
      </c>
      <c r="C4066" t="s">
        <v>23</v>
      </c>
      <c r="D4066">
        <v>181069.2</v>
      </c>
      <c r="E4066" t="s">
        <v>19</v>
      </c>
      <c r="F4066">
        <v>18</v>
      </c>
      <c r="G4066" t="s">
        <v>17</v>
      </c>
      <c r="H4066" s="1">
        <v>45529</v>
      </c>
      <c r="I4066" s="1">
        <v>45547</v>
      </c>
      <c r="J4066" t="str">
        <f t="shared" si="63"/>
        <v>Aug-2024</v>
      </c>
    </row>
    <row r="4067" spans="1:10">
      <c r="A4067">
        <v>4066</v>
      </c>
      <c r="B4067">
        <v>15448</v>
      </c>
      <c r="C4067" t="s">
        <v>23</v>
      </c>
      <c r="D4067">
        <v>182147.01</v>
      </c>
      <c r="E4067" t="s">
        <v>16</v>
      </c>
      <c r="F4067">
        <v>14</v>
      </c>
      <c r="G4067" t="s">
        <v>17</v>
      </c>
      <c r="H4067" s="1">
        <v>45536</v>
      </c>
      <c r="I4067" s="1">
        <v>45550</v>
      </c>
      <c r="J4067" t="str">
        <f t="shared" si="63"/>
        <v>Sep-2024</v>
      </c>
    </row>
    <row r="4068" spans="1:10">
      <c r="A4068">
        <v>4067</v>
      </c>
      <c r="B4068">
        <v>14496</v>
      </c>
      <c r="C4068" t="s">
        <v>18</v>
      </c>
      <c r="D4068">
        <v>107162.78</v>
      </c>
      <c r="E4068" t="s">
        <v>16</v>
      </c>
      <c r="F4068">
        <v>34</v>
      </c>
      <c r="G4068" t="s">
        <v>21</v>
      </c>
      <c r="H4068" s="1">
        <v>45309</v>
      </c>
      <c r="I4068" s="1">
        <v>45343</v>
      </c>
      <c r="J4068" t="str">
        <f t="shared" si="63"/>
        <v>Jan-2024</v>
      </c>
    </row>
    <row r="4069" spans="1:10">
      <c r="A4069">
        <v>4068</v>
      </c>
      <c r="B4069">
        <v>14452</v>
      </c>
      <c r="C4069" t="s">
        <v>18</v>
      </c>
      <c r="D4069">
        <v>123557.71</v>
      </c>
      <c r="E4069" t="s">
        <v>16</v>
      </c>
      <c r="F4069">
        <v>2</v>
      </c>
      <c r="G4069" t="s">
        <v>21</v>
      </c>
      <c r="H4069" s="1">
        <v>45431</v>
      </c>
      <c r="I4069" s="1">
        <v>45433</v>
      </c>
      <c r="J4069" t="str">
        <f t="shared" si="63"/>
        <v>May-2024</v>
      </c>
    </row>
    <row r="4070" spans="1:10">
      <c r="A4070">
        <v>4069</v>
      </c>
      <c r="B4070">
        <v>16898</v>
      </c>
      <c r="C4070" t="s">
        <v>23</v>
      </c>
      <c r="D4070">
        <v>199321.8</v>
      </c>
      <c r="E4070" t="s">
        <v>16</v>
      </c>
      <c r="F4070">
        <v>41</v>
      </c>
      <c r="G4070" t="s">
        <v>20</v>
      </c>
      <c r="H4070" s="1">
        <v>45373</v>
      </c>
      <c r="I4070" s="1">
        <v>45414</v>
      </c>
      <c r="J4070" t="str">
        <f t="shared" si="63"/>
        <v>Mar-2024</v>
      </c>
    </row>
    <row r="4071" spans="1:10">
      <c r="A4071">
        <v>4070</v>
      </c>
      <c r="B4071">
        <v>12546</v>
      </c>
      <c r="C4071" t="s">
        <v>23</v>
      </c>
      <c r="D4071">
        <v>63269.95</v>
      </c>
      <c r="E4071" t="s">
        <v>19</v>
      </c>
      <c r="F4071">
        <v>14</v>
      </c>
      <c r="G4071" t="s">
        <v>20</v>
      </c>
      <c r="H4071" s="1">
        <v>45480</v>
      </c>
      <c r="I4071" s="1">
        <v>45494</v>
      </c>
      <c r="J4071" t="str">
        <f t="shared" si="63"/>
        <v>Jul-2024</v>
      </c>
    </row>
    <row r="4072" spans="1:10">
      <c r="A4072">
        <v>4071</v>
      </c>
      <c r="B4072">
        <v>14929</v>
      </c>
      <c r="C4072" t="s">
        <v>18</v>
      </c>
      <c r="D4072">
        <v>68300.36</v>
      </c>
      <c r="E4072" t="s">
        <v>16</v>
      </c>
      <c r="F4072">
        <v>39</v>
      </c>
      <c r="G4072" t="s">
        <v>21</v>
      </c>
      <c r="H4072" s="1">
        <v>45399</v>
      </c>
      <c r="I4072" s="1">
        <v>45438</v>
      </c>
      <c r="J4072" t="str">
        <f t="shared" si="63"/>
        <v>Apr-2024</v>
      </c>
    </row>
    <row r="4073" spans="1:10">
      <c r="A4073">
        <v>4072</v>
      </c>
      <c r="B4073">
        <v>18310</v>
      </c>
      <c r="C4073" t="s">
        <v>23</v>
      </c>
      <c r="D4073">
        <v>40640.910000000003</v>
      </c>
      <c r="E4073" t="s">
        <v>16</v>
      </c>
      <c r="F4073">
        <v>4</v>
      </c>
      <c r="G4073" t="s">
        <v>21</v>
      </c>
      <c r="H4073" s="1">
        <v>45525</v>
      </c>
      <c r="I4073" s="1">
        <v>45529</v>
      </c>
      <c r="J4073" t="str">
        <f t="shared" si="63"/>
        <v>Aug-2024</v>
      </c>
    </row>
    <row r="4074" spans="1:10">
      <c r="A4074">
        <v>4073</v>
      </c>
      <c r="B4074">
        <v>17214</v>
      </c>
      <c r="C4074" t="s">
        <v>23</v>
      </c>
      <c r="D4074">
        <v>179694.05</v>
      </c>
      <c r="E4074" t="s">
        <v>16</v>
      </c>
      <c r="F4074">
        <v>17</v>
      </c>
      <c r="G4074" t="s">
        <v>21</v>
      </c>
      <c r="H4074" s="1">
        <v>45559</v>
      </c>
      <c r="I4074" s="1">
        <v>45576</v>
      </c>
      <c r="J4074" t="str">
        <f t="shared" si="63"/>
        <v>Sep-2024</v>
      </c>
    </row>
    <row r="4075" spans="1:10">
      <c r="A4075">
        <v>4074</v>
      </c>
      <c r="B4075">
        <v>12395</v>
      </c>
      <c r="C4075" t="s">
        <v>15</v>
      </c>
      <c r="D4075">
        <v>150175.24</v>
      </c>
      <c r="E4075" t="s">
        <v>16</v>
      </c>
      <c r="F4075">
        <v>43</v>
      </c>
      <c r="G4075" t="s">
        <v>21</v>
      </c>
      <c r="H4075" s="1">
        <v>45395</v>
      </c>
      <c r="I4075" s="1">
        <v>45438</v>
      </c>
      <c r="J4075" t="str">
        <f t="shared" si="63"/>
        <v>Apr-2024</v>
      </c>
    </row>
    <row r="4076" spans="1:10">
      <c r="A4076">
        <v>4075</v>
      </c>
      <c r="B4076">
        <v>17671</v>
      </c>
      <c r="C4076" t="s">
        <v>23</v>
      </c>
      <c r="D4076">
        <v>25600.36</v>
      </c>
      <c r="E4076" t="s">
        <v>19</v>
      </c>
      <c r="F4076">
        <v>8</v>
      </c>
      <c r="G4076" t="s">
        <v>25</v>
      </c>
      <c r="H4076" s="1">
        <v>45425</v>
      </c>
      <c r="I4076" s="1">
        <v>45433</v>
      </c>
      <c r="J4076" t="str">
        <f t="shared" si="63"/>
        <v>May-2024</v>
      </c>
    </row>
    <row r="4077" spans="1:10">
      <c r="A4077">
        <v>4076</v>
      </c>
      <c r="B4077">
        <v>15514</v>
      </c>
      <c r="C4077" t="s">
        <v>18</v>
      </c>
      <c r="D4077">
        <v>196444.63</v>
      </c>
      <c r="E4077" t="s">
        <v>16</v>
      </c>
      <c r="F4077">
        <v>4</v>
      </c>
      <c r="G4077" t="s">
        <v>21</v>
      </c>
      <c r="H4077" s="1">
        <v>45635</v>
      </c>
      <c r="I4077" s="1">
        <v>45639</v>
      </c>
      <c r="J4077" t="str">
        <f t="shared" si="63"/>
        <v>Dec-2024</v>
      </c>
    </row>
    <row r="4078" spans="1:10">
      <c r="A4078">
        <v>4077</v>
      </c>
      <c r="B4078">
        <v>11702</v>
      </c>
      <c r="C4078" t="s">
        <v>22</v>
      </c>
      <c r="D4078">
        <v>147537.53</v>
      </c>
      <c r="E4078" t="s">
        <v>16</v>
      </c>
      <c r="F4078">
        <v>15</v>
      </c>
      <c r="G4078" t="s">
        <v>20</v>
      </c>
      <c r="H4078" s="1">
        <v>45324</v>
      </c>
      <c r="I4078" s="1">
        <v>45339</v>
      </c>
      <c r="J4078" t="str">
        <f t="shared" si="63"/>
        <v>Feb-2024</v>
      </c>
    </row>
    <row r="4079" spans="1:10">
      <c r="A4079">
        <v>4078</v>
      </c>
      <c r="B4079">
        <v>18721</v>
      </c>
      <c r="C4079" t="s">
        <v>23</v>
      </c>
      <c r="D4079">
        <v>170851.81</v>
      </c>
      <c r="E4079" t="s">
        <v>24</v>
      </c>
      <c r="G4079" t="s">
        <v>17</v>
      </c>
      <c r="H4079" s="1">
        <v>45528</v>
      </c>
      <c r="J4079" t="str">
        <f t="shared" si="63"/>
        <v>Aug-2024</v>
      </c>
    </row>
    <row r="4080" spans="1:10">
      <c r="A4080">
        <v>4079</v>
      </c>
      <c r="B4080">
        <v>13674</v>
      </c>
      <c r="C4080" t="s">
        <v>23</v>
      </c>
      <c r="D4080">
        <v>14389.4</v>
      </c>
      <c r="E4080" t="s">
        <v>16</v>
      </c>
      <c r="F4080">
        <v>5</v>
      </c>
      <c r="G4080" t="s">
        <v>25</v>
      </c>
      <c r="H4080" s="1">
        <v>45627</v>
      </c>
      <c r="I4080" s="1">
        <v>45632</v>
      </c>
      <c r="J4080" t="str">
        <f t="shared" si="63"/>
        <v>Dec-2024</v>
      </c>
    </row>
    <row r="4081" spans="1:10">
      <c r="A4081">
        <v>4080</v>
      </c>
      <c r="B4081">
        <v>18494</v>
      </c>
      <c r="C4081" t="s">
        <v>18</v>
      </c>
      <c r="D4081">
        <v>103467.38</v>
      </c>
      <c r="E4081" t="s">
        <v>19</v>
      </c>
      <c r="F4081">
        <v>32</v>
      </c>
      <c r="G4081" t="s">
        <v>21</v>
      </c>
      <c r="H4081" s="1">
        <v>45469</v>
      </c>
      <c r="I4081" s="1">
        <v>45501</v>
      </c>
      <c r="J4081" t="str">
        <f t="shared" si="63"/>
        <v>Jun-2024</v>
      </c>
    </row>
    <row r="4082" spans="1:10">
      <c r="A4082">
        <v>4081</v>
      </c>
      <c r="B4082">
        <v>14251</v>
      </c>
      <c r="C4082" t="s">
        <v>15</v>
      </c>
      <c r="D4082">
        <v>141226.67000000001</v>
      </c>
      <c r="E4082" t="s">
        <v>16</v>
      </c>
      <c r="F4082">
        <v>14</v>
      </c>
      <c r="G4082" t="s">
        <v>17</v>
      </c>
      <c r="H4082" s="1">
        <v>45303</v>
      </c>
      <c r="I4082" s="1">
        <v>45317</v>
      </c>
      <c r="J4082" t="str">
        <f t="shared" si="63"/>
        <v>Jan-2024</v>
      </c>
    </row>
    <row r="4083" spans="1:10">
      <c r="A4083">
        <v>4082</v>
      </c>
      <c r="B4083">
        <v>10013</v>
      </c>
      <c r="C4083" t="s">
        <v>22</v>
      </c>
      <c r="D4083">
        <v>110874.58</v>
      </c>
      <c r="E4083" t="s">
        <v>16</v>
      </c>
      <c r="F4083">
        <v>28</v>
      </c>
      <c r="G4083" t="s">
        <v>25</v>
      </c>
      <c r="H4083" s="1">
        <v>45642</v>
      </c>
      <c r="I4083" s="1">
        <v>45670</v>
      </c>
      <c r="J4083" t="str">
        <f t="shared" si="63"/>
        <v>Dec-2024</v>
      </c>
    </row>
    <row r="4084" spans="1:10">
      <c r="A4084">
        <v>4083</v>
      </c>
      <c r="B4084">
        <v>17187</v>
      </c>
      <c r="C4084" t="s">
        <v>18</v>
      </c>
      <c r="D4084">
        <v>134996.26</v>
      </c>
      <c r="E4084" t="s">
        <v>19</v>
      </c>
      <c r="F4084">
        <v>2</v>
      </c>
      <c r="G4084" t="s">
        <v>17</v>
      </c>
      <c r="H4084" s="1">
        <v>45520</v>
      </c>
      <c r="I4084" s="1">
        <v>45522</v>
      </c>
      <c r="J4084" t="str">
        <f t="shared" si="63"/>
        <v>Aug-2024</v>
      </c>
    </row>
    <row r="4085" spans="1:10">
      <c r="A4085">
        <v>4084</v>
      </c>
      <c r="B4085">
        <v>12803</v>
      </c>
      <c r="C4085" t="s">
        <v>23</v>
      </c>
      <c r="D4085">
        <v>164485.44</v>
      </c>
      <c r="E4085" t="s">
        <v>19</v>
      </c>
      <c r="F4085">
        <v>26</v>
      </c>
      <c r="G4085" t="s">
        <v>21</v>
      </c>
      <c r="H4085" s="1">
        <v>45600</v>
      </c>
      <c r="I4085" s="1">
        <v>45626</v>
      </c>
      <c r="J4085" t="str">
        <f t="shared" si="63"/>
        <v>Nov-2024</v>
      </c>
    </row>
    <row r="4086" spans="1:10">
      <c r="A4086">
        <v>4085</v>
      </c>
      <c r="B4086">
        <v>10888</v>
      </c>
      <c r="C4086" t="s">
        <v>18</v>
      </c>
      <c r="D4086">
        <v>77995.73</v>
      </c>
      <c r="E4086" t="s">
        <v>16</v>
      </c>
      <c r="F4086">
        <v>38</v>
      </c>
      <c r="G4086" t="s">
        <v>21</v>
      </c>
      <c r="H4086" s="1">
        <v>45560</v>
      </c>
      <c r="I4086" s="1">
        <v>45598</v>
      </c>
      <c r="J4086" t="str">
        <f t="shared" si="63"/>
        <v>Sep-2024</v>
      </c>
    </row>
    <row r="4087" spans="1:10">
      <c r="A4087">
        <v>4086</v>
      </c>
      <c r="B4087">
        <v>19388</v>
      </c>
      <c r="C4087" t="s">
        <v>23</v>
      </c>
      <c r="D4087">
        <v>170490.39</v>
      </c>
      <c r="E4087" t="s">
        <v>16</v>
      </c>
      <c r="F4087">
        <v>12</v>
      </c>
      <c r="G4087" t="s">
        <v>20</v>
      </c>
      <c r="H4087" s="1">
        <v>45649</v>
      </c>
      <c r="I4087" s="1">
        <v>45661</v>
      </c>
      <c r="J4087" t="str">
        <f t="shared" si="63"/>
        <v>Dec-2024</v>
      </c>
    </row>
    <row r="4088" spans="1:10">
      <c r="A4088">
        <v>4087</v>
      </c>
      <c r="B4088">
        <v>14540</v>
      </c>
      <c r="C4088" t="s">
        <v>23</v>
      </c>
      <c r="D4088">
        <v>36768.639999999999</v>
      </c>
      <c r="E4088" t="s">
        <v>16</v>
      </c>
      <c r="F4088">
        <v>10</v>
      </c>
      <c r="G4088" t="s">
        <v>21</v>
      </c>
      <c r="H4088" s="1">
        <v>45422</v>
      </c>
      <c r="I4088" s="1">
        <v>45432</v>
      </c>
      <c r="J4088" t="str">
        <f t="shared" si="63"/>
        <v>May-2024</v>
      </c>
    </row>
    <row r="4089" spans="1:10">
      <c r="A4089">
        <v>4088</v>
      </c>
      <c r="B4089">
        <v>18090</v>
      </c>
      <c r="C4089" t="s">
        <v>23</v>
      </c>
      <c r="D4089">
        <v>57822.78</v>
      </c>
      <c r="E4089" t="s">
        <v>16</v>
      </c>
      <c r="F4089">
        <v>8</v>
      </c>
      <c r="G4089" t="s">
        <v>21</v>
      </c>
      <c r="H4089" s="1">
        <v>45540</v>
      </c>
      <c r="I4089" s="1">
        <v>45548</v>
      </c>
      <c r="J4089" t="str">
        <f t="shared" si="63"/>
        <v>Sep-2024</v>
      </c>
    </row>
    <row r="4090" spans="1:10">
      <c r="A4090">
        <v>4089</v>
      </c>
      <c r="B4090">
        <v>12169</v>
      </c>
      <c r="C4090" t="s">
        <v>23</v>
      </c>
      <c r="D4090">
        <v>13452.4</v>
      </c>
      <c r="E4090" t="s">
        <v>19</v>
      </c>
      <c r="F4090">
        <v>15</v>
      </c>
      <c r="G4090" t="s">
        <v>25</v>
      </c>
      <c r="H4090" s="1">
        <v>45349</v>
      </c>
      <c r="I4090" s="1">
        <v>45364</v>
      </c>
      <c r="J4090" t="str">
        <f t="shared" si="63"/>
        <v>Feb-2024</v>
      </c>
    </row>
    <row r="4091" spans="1:10">
      <c r="A4091">
        <v>4090</v>
      </c>
      <c r="B4091">
        <v>13651</v>
      </c>
      <c r="C4091" t="s">
        <v>18</v>
      </c>
      <c r="D4091">
        <v>76063.23</v>
      </c>
      <c r="E4091" t="s">
        <v>16</v>
      </c>
      <c r="F4091">
        <v>31</v>
      </c>
      <c r="G4091" t="s">
        <v>20</v>
      </c>
      <c r="H4091" s="1">
        <v>45295</v>
      </c>
      <c r="I4091" s="1">
        <v>45326</v>
      </c>
      <c r="J4091" t="str">
        <f t="shared" si="63"/>
        <v>Jan-2024</v>
      </c>
    </row>
    <row r="4092" spans="1:10">
      <c r="A4092">
        <v>4091</v>
      </c>
      <c r="B4092">
        <v>18017</v>
      </c>
      <c r="C4092" t="s">
        <v>23</v>
      </c>
      <c r="D4092">
        <v>79082.36</v>
      </c>
      <c r="E4092" t="s">
        <v>16</v>
      </c>
      <c r="F4092">
        <v>25</v>
      </c>
      <c r="G4092" t="s">
        <v>25</v>
      </c>
      <c r="H4092" s="1">
        <v>45527</v>
      </c>
      <c r="I4092" s="1">
        <v>45552</v>
      </c>
      <c r="J4092" t="str">
        <f t="shared" si="63"/>
        <v>Aug-2024</v>
      </c>
    </row>
    <row r="4093" spans="1:10">
      <c r="A4093">
        <v>4092</v>
      </c>
      <c r="B4093">
        <v>18240</v>
      </c>
      <c r="C4093" t="s">
        <v>23</v>
      </c>
      <c r="D4093">
        <v>162027.76999999999</v>
      </c>
      <c r="E4093" t="s">
        <v>19</v>
      </c>
      <c r="F4093">
        <v>4</v>
      </c>
      <c r="G4093" t="s">
        <v>17</v>
      </c>
      <c r="H4093" s="1">
        <v>45464</v>
      </c>
      <c r="I4093" s="1">
        <v>45468</v>
      </c>
      <c r="J4093" t="str">
        <f t="shared" si="63"/>
        <v>Jun-2024</v>
      </c>
    </row>
    <row r="4094" spans="1:10">
      <c r="A4094">
        <v>4093</v>
      </c>
      <c r="B4094">
        <v>10180</v>
      </c>
      <c r="C4094" t="s">
        <v>23</v>
      </c>
      <c r="D4094">
        <v>132360.48000000001</v>
      </c>
      <c r="E4094" t="s">
        <v>16</v>
      </c>
      <c r="F4094">
        <v>40</v>
      </c>
      <c r="G4094" t="s">
        <v>21</v>
      </c>
      <c r="H4094" s="1">
        <v>45613</v>
      </c>
      <c r="I4094" s="1">
        <v>45653</v>
      </c>
      <c r="J4094" t="str">
        <f t="shared" si="63"/>
        <v>Nov-2024</v>
      </c>
    </row>
    <row r="4095" spans="1:10">
      <c r="A4095">
        <v>4094</v>
      </c>
      <c r="B4095">
        <v>13878</v>
      </c>
      <c r="C4095" t="s">
        <v>15</v>
      </c>
      <c r="D4095">
        <v>90160.9</v>
      </c>
      <c r="E4095" t="s">
        <v>16</v>
      </c>
      <c r="F4095">
        <v>28</v>
      </c>
      <c r="G4095" t="s">
        <v>17</v>
      </c>
      <c r="H4095" s="1">
        <v>45327</v>
      </c>
      <c r="I4095" s="1">
        <v>45355</v>
      </c>
      <c r="J4095" t="str">
        <f t="shared" si="63"/>
        <v>Feb-2024</v>
      </c>
    </row>
    <row r="4096" spans="1:10">
      <c r="A4096">
        <v>4095</v>
      </c>
      <c r="B4096">
        <v>19609</v>
      </c>
      <c r="C4096" t="s">
        <v>18</v>
      </c>
      <c r="D4096">
        <v>132162.23000000001</v>
      </c>
      <c r="E4096" t="s">
        <v>19</v>
      </c>
      <c r="F4096">
        <v>2</v>
      </c>
      <c r="G4096" t="s">
        <v>25</v>
      </c>
      <c r="H4096" s="1">
        <v>45570</v>
      </c>
      <c r="I4096" s="1">
        <v>45572</v>
      </c>
      <c r="J4096" t="str">
        <f t="shared" si="63"/>
        <v>Oct-2024</v>
      </c>
    </row>
    <row r="4097" spans="1:10">
      <c r="A4097">
        <v>4096</v>
      </c>
      <c r="B4097">
        <v>13464</v>
      </c>
      <c r="C4097" t="s">
        <v>23</v>
      </c>
      <c r="D4097">
        <v>15292.75</v>
      </c>
      <c r="E4097" t="s">
        <v>19</v>
      </c>
      <c r="F4097">
        <v>39</v>
      </c>
      <c r="G4097" t="s">
        <v>21</v>
      </c>
      <c r="H4097" s="1">
        <v>45528</v>
      </c>
      <c r="I4097" s="1">
        <v>45567</v>
      </c>
      <c r="J4097" t="str">
        <f t="shared" si="63"/>
        <v>Aug-2024</v>
      </c>
    </row>
    <row r="4098" spans="1:10">
      <c r="A4098">
        <v>4097</v>
      </c>
      <c r="B4098">
        <v>10529</v>
      </c>
      <c r="C4098" t="s">
        <v>23</v>
      </c>
      <c r="D4098">
        <v>40152.949999999997</v>
      </c>
      <c r="E4098" t="s">
        <v>16</v>
      </c>
      <c r="F4098">
        <v>27</v>
      </c>
      <c r="G4098" t="s">
        <v>21</v>
      </c>
      <c r="H4098" s="1">
        <v>45566</v>
      </c>
      <c r="I4098" s="1">
        <v>45593</v>
      </c>
      <c r="J4098" t="str">
        <f t="shared" si="63"/>
        <v>Oct-2024</v>
      </c>
    </row>
    <row r="4099" spans="1:10">
      <c r="A4099">
        <v>4098</v>
      </c>
      <c r="B4099">
        <v>15771</v>
      </c>
      <c r="C4099" t="s">
        <v>23</v>
      </c>
      <c r="D4099">
        <v>127254.83</v>
      </c>
      <c r="E4099" t="s">
        <v>16</v>
      </c>
      <c r="F4099">
        <v>7</v>
      </c>
      <c r="G4099" t="s">
        <v>25</v>
      </c>
      <c r="H4099" s="1">
        <v>45587</v>
      </c>
      <c r="I4099" s="1">
        <v>45594</v>
      </c>
      <c r="J4099" t="str">
        <f t="shared" ref="J4099:J4162" si="64">TEXT(H4099,"mmm-yyyy")</f>
        <v>Oct-2024</v>
      </c>
    </row>
    <row r="4100" spans="1:10">
      <c r="A4100">
        <v>4099</v>
      </c>
      <c r="B4100">
        <v>14679</v>
      </c>
      <c r="C4100" t="s">
        <v>22</v>
      </c>
      <c r="D4100">
        <v>130066.53</v>
      </c>
      <c r="E4100" t="s">
        <v>16</v>
      </c>
      <c r="F4100">
        <v>43</v>
      </c>
      <c r="G4100" t="s">
        <v>25</v>
      </c>
      <c r="H4100" s="1">
        <v>45619</v>
      </c>
      <c r="I4100" s="1">
        <v>45662</v>
      </c>
      <c r="J4100" t="str">
        <f t="shared" si="64"/>
        <v>Nov-2024</v>
      </c>
    </row>
    <row r="4101" spans="1:10">
      <c r="A4101">
        <v>4100</v>
      </c>
      <c r="B4101">
        <v>17940</v>
      </c>
      <c r="C4101" t="s">
        <v>18</v>
      </c>
      <c r="D4101">
        <v>155956.26</v>
      </c>
      <c r="E4101" t="s">
        <v>16</v>
      </c>
      <c r="F4101">
        <v>13</v>
      </c>
      <c r="G4101" t="s">
        <v>25</v>
      </c>
      <c r="H4101" s="1">
        <v>45349</v>
      </c>
      <c r="I4101" s="1">
        <v>45362</v>
      </c>
      <c r="J4101" t="str">
        <f t="shared" si="64"/>
        <v>Feb-2024</v>
      </c>
    </row>
    <row r="4102" spans="1:10">
      <c r="A4102">
        <v>4101</v>
      </c>
      <c r="B4102">
        <v>11286</v>
      </c>
      <c r="C4102" t="s">
        <v>18</v>
      </c>
      <c r="D4102">
        <v>83584.95</v>
      </c>
      <c r="E4102" t="s">
        <v>16</v>
      </c>
      <c r="F4102">
        <v>39</v>
      </c>
      <c r="G4102" t="s">
        <v>25</v>
      </c>
      <c r="H4102" s="1">
        <v>45654</v>
      </c>
      <c r="I4102" s="1">
        <v>45693</v>
      </c>
      <c r="J4102" t="str">
        <f t="shared" si="64"/>
        <v>Dec-2024</v>
      </c>
    </row>
    <row r="4103" spans="1:10">
      <c r="A4103">
        <v>4102</v>
      </c>
      <c r="B4103">
        <v>12190</v>
      </c>
      <c r="C4103" t="s">
        <v>18</v>
      </c>
      <c r="D4103">
        <v>145898.04999999999</v>
      </c>
      <c r="E4103" t="s">
        <v>19</v>
      </c>
      <c r="F4103">
        <v>36</v>
      </c>
      <c r="G4103" t="s">
        <v>25</v>
      </c>
      <c r="H4103" s="1">
        <v>45309</v>
      </c>
      <c r="I4103" s="1">
        <v>45345</v>
      </c>
      <c r="J4103" t="str">
        <f t="shared" si="64"/>
        <v>Jan-2024</v>
      </c>
    </row>
    <row r="4104" spans="1:10">
      <c r="A4104">
        <v>4103</v>
      </c>
      <c r="B4104">
        <v>18898</v>
      </c>
      <c r="C4104" t="s">
        <v>23</v>
      </c>
      <c r="D4104">
        <v>138376.16</v>
      </c>
      <c r="E4104" t="s">
        <v>24</v>
      </c>
      <c r="G4104" t="s">
        <v>21</v>
      </c>
      <c r="H4104" s="1">
        <v>45327</v>
      </c>
      <c r="J4104" t="str">
        <f t="shared" si="64"/>
        <v>Feb-2024</v>
      </c>
    </row>
    <row r="4105" spans="1:10">
      <c r="A4105">
        <v>4104</v>
      </c>
      <c r="B4105">
        <v>18485</v>
      </c>
      <c r="C4105" t="s">
        <v>15</v>
      </c>
      <c r="D4105">
        <v>192861.71</v>
      </c>
      <c r="E4105" t="s">
        <v>19</v>
      </c>
      <c r="F4105">
        <v>10</v>
      </c>
      <c r="G4105" t="s">
        <v>25</v>
      </c>
      <c r="H4105" s="1">
        <v>45420</v>
      </c>
      <c r="I4105" s="1">
        <v>45430</v>
      </c>
      <c r="J4105" t="str">
        <f t="shared" si="64"/>
        <v>May-2024</v>
      </c>
    </row>
    <row r="4106" spans="1:10">
      <c r="A4106">
        <v>4105</v>
      </c>
      <c r="B4106">
        <v>11561</v>
      </c>
      <c r="C4106" t="s">
        <v>18</v>
      </c>
      <c r="D4106">
        <v>46950.39</v>
      </c>
      <c r="E4106" t="s">
        <v>16</v>
      </c>
      <c r="F4106">
        <v>24</v>
      </c>
      <c r="G4106" t="s">
        <v>21</v>
      </c>
      <c r="H4106" s="1">
        <v>45292</v>
      </c>
      <c r="I4106" s="1">
        <v>45316</v>
      </c>
      <c r="J4106" t="str">
        <f t="shared" si="64"/>
        <v>Jan-2024</v>
      </c>
    </row>
    <row r="4107" spans="1:10">
      <c r="A4107">
        <v>4106</v>
      </c>
      <c r="B4107">
        <v>15628</v>
      </c>
      <c r="C4107" t="s">
        <v>23</v>
      </c>
      <c r="D4107">
        <v>112577.51</v>
      </c>
      <c r="E4107" t="s">
        <v>19</v>
      </c>
      <c r="F4107">
        <v>31</v>
      </c>
      <c r="G4107" t="s">
        <v>21</v>
      </c>
      <c r="H4107" s="1">
        <v>45355</v>
      </c>
      <c r="I4107" s="1">
        <v>45386</v>
      </c>
      <c r="J4107" t="str">
        <f t="shared" si="64"/>
        <v>Mar-2024</v>
      </c>
    </row>
    <row r="4108" spans="1:10">
      <c r="A4108">
        <v>4107</v>
      </c>
      <c r="B4108">
        <v>12611</v>
      </c>
      <c r="C4108" t="s">
        <v>23</v>
      </c>
      <c r="D4108">
        <v>122344.07</v>
      </c>
      <c r="E4108" t="s">
        <v>16</v>
      </c>
      <c r="F4108">
        <v>23</v>
      </c>
      <c r="G4108" t="s">
        <v>25</v>
      </c>
      <c r="H4108" s="1">
        <v>45353</v>
      </c>
      <c r="I4108" s="1">
        <v>45376</v>
      </c>
      <c r="J4108" t="str">
        <f t="shared" si="64"/>
        <v>Mar-2024</v>
      </c>
    </row>
    <row r="4109" spans="1:10">
      <c r="A4109">
        <v>4108</v>
      </c>
      <c r="B4109">
        <v>16560</v>
      </c>
      <c r="C4109" t="s">
        <v>18</v>
      </c>
      <c r="D4109">
        <v>199736.34</v>
      </c>
      <c r="E4109" t="s">
        <v>16</v>
      </c>
      <c r="F4109">
        <v>10</v>
      </c>
      <c r="G4109" t="s">
        <v>25</v>
      </c>
      <c r="H4109" s="1">
        <v>45622</v>
      </c>
      <c r="I4109" s="1">
        <v>45632</v>
      </c>
      <c r="J4109" t="str">
        <f t="shared" si="64"/>
        <v>Nov-2024</v>
      </c>
    </row>
    <row r="4110" spans="1:10">
      <c r="A4110">
        <v>4109</v>
      </c>
      <c r="B4110">
        <v>10660</v>
      </c>
      <c r="C4110" t="s">
        <v>22</v>
      </c>
      <c r="D4110">
        <v>44230.91</v>
      </c>
      <c r="E4110" t="s">
        <v>16</v>
      </c>
      <c r="F4110">
        <v>20</v>
      </c>
      <c r="G4110" t="s">
        <v>20</v>
      </c>
      <c r="H4110" s="1">
        <v>45437</v>
      </c>
      <c r="I4110" s="1">
        <v>45457</v>
      </c>
      <c r="J4110" t="str">
        <f t="shared" si="64"/>
        <v>May-2024</v>
      </c>
    </row>
    <row r="4111" spans="1:10">
      <c r="A4111">
        <v>4110</v>
      </c>
      <c r="B4111">
        <v>13178</v>
      </c>
      <c r="C4111" t="s">
        <v>23</v>
      </c>
      <c r="D4111">
        <v>107027.51</v>
      </c>
      <c r="E4111" t="s">
        <v>16</v>
      </c>
      <c r="F4111">
        <v>9</v>
      </c>
      <c r="G4111" t="s">
        <v>21</v>
      </c>
      <c r="H4111" s="1">
        <v>45563</v>
      </c>
      <c r="I4111" s="1">
        <v>45572</v>
      </c>
      <c r="J4111" t="str">
        <f t="shared" si="64"/>
        <v>Sep-2024</v>
      </c>
    </row>
    <row r="4112" spans="1:10">
      <c r="A4112">
        <v>4111</v>
      </c>
      <c r="B4112">
        <v>13389</v>
      </c>
      <c r="C4112" t="s">
        <v>15</v>
      </c>
      <c r="D4112">
        <v>72506.14</v>
      </c>
      <c r="E4112" t="s">
        <v>24</v>
      </c>
      <c r="G4112" t="s">
        <v>25</v>
      </c>
      <c r="H4112" s="1">
        <v>45308</v>
      </c>
      <c r="J4112" t="str">
        <f t="shared" si="64"/>
        <v>Jan-2024</v>
      </c>
    </row>
    <row r="4113" spans="1:10">
      <c r="A4113">
        <v>4112</v>
      </c>
      <c r="B4113">
        <v>13063</v>
      </c>
      <c r="C4113" t="s">
        <v>18</v>
      </c>
      <c r="D4113">
        <v>107549.13</v>
      </c>
      <c r="E4113" t="s">
        <v>16</v>
      </c>
      <c r="F4113">
        <v>6</v>
      </c>
      <c r="G4113" t="s">
        <v>25</v>
      </c>
      <c r="H4113" s="1">
        <v>45571</v>
      </c>
      <c r="I4113" s="1">
        <v>45577</v>
      </c>
      <c r="J4113" t="str">
        <f t="shared" si="64"/>
        <v>Oct-2024</v>
      </c>
    </row>
    <row r="4114" spans="1:10">
      <c r="A4114">
        <v>4113</v>
      </c>
      <c r="B4114">
        <v>16401</v>
      </c>
      <c r="C4114" t="s">
        <v>23</v>
      </c>
      <c r="D4114">
        <v>50265.08</v>
      </c>
      <c r="E4114" t="s">
        <v>16</v>
      </c>
      <c r="F4114">
        <v>20</v>
      </c>
      <c r="G4114" t="s">
        <v>25</v>
      </c>
      <c r="H4114" s="1">
        <v>45389</v>
      </c>
      <c r="I4114" s="1">
        <v>45409</v>
      </c>
      <c r="J4114" t="str">
        <f t="shared" si="64"/>
        <v>Apr-2024</v>
      </c>
    </row>
    <row r="4115" spans="1:10">
      <c r="A4115">
        <v>4114</v>
      </c>
      <c r="B4115">
        <v>18127</v>
      </c>
      <c r="C4115" t="s">
        <v>23</v>
      </c>
      <c r="D4115">
        <v>14284.41</v>
      </c>
      <c r="E4115" t="s">
        <v>24</v>
      </c>
      <c r="G4115" t="s">
        <v>20</v>
      </c>
      <c r="H4115" s="1">
        <v>45518</v>
      </c>
      <c r="J4115" t="str">
        <f t="shared" si="64"/>
        <v>Aug-2024</v>
      </c>
    </row>
    <row r="4116" spans="1:10">
      <c r="A4116">
        <v>4115</v>
      </c>
      <c r="B4116">
        <v>12840</v>
      </c>
      <c r="C4116" t="s">
        <v>23</v>
      </c>
      <c r="D4116">
        <v>116650.26</v>
      </c>
      <c r="E4116" t="s">
        <v>16</v>
      </c>
      <c r="F4116">
        <v>30</v>
      </c>
      <c r="G4116" t="s">
        <v>20</v>
      </c>
      <c r="H4116" s="1">
        <v>45534</v>
      </c>
      <c r="I4116" s="1">
        <v>45564</v>
      </c>
      <c r="J4116" t="str">
        <f t="shared" si="64"/>
        <v>Aug-2024</v>
      </c>
    </row>
    <row r="4117" spans="1:10">
      <c r="A4117">
        <v>4116</v>
      </c>
      <c r="B4117">
        <v>16309</v>
      </c>
      <c r="C4117" t="s">
        <v>18</v>
      </c>
      <c r="D4117">
        <v>70491.59</v>
      </c>
      <c r="E4117" t="s">
        <v>19</v>
      </c>
      <c r="F4117">
        <v>20</v>
      </c>
      <c r="G4117" t="s">
        <v>17</v>
      </c>
      <c r="H4117" s="1">
        <v>45492</v>
      </c>
      <c r="I4117" s="1">
        <v>45512</v>
      </c>
      <c r="J4117" t="str">
        <f t="shared" si="64"/>
        <v>Jul-2024</v>
      </c>
    </row>
    <row r="4118" spans="1:10">
      <c r="A4118">
        <v>4117</v>
      </c>
      <c r="B4118">
        <v>17192</v>
      </c>
      <c r="C4118" t="s">
        <v>23</v>
      </c>
      <c r="D4118">
        <v>40478.57</v>
      </c>
      <c r="E4118" t="s">
        <v>16</v>
      </c>
      <c r="F4118">
        <v>7</v>
      </c>
      <c r="G4118" t="s">
        <v>21</v>
      </c>
      <c r="H4118" s="1">
        <v>45470</v>
      </c>
      <c r="I4118" s="1">
        <v>45477</v>
      </c>
      <c r="J4118" t="str">
        <f t="shared" si="64"/>
        <v>Jun-2024</v>
      </c>
    </row>
    <row r="4119" spans="1:10">
      <c r="A4119">
        <v>4118</v>
      </c>
      <c r="B4119">
        <v>16054</v>
      </c>
      <c r="C4119" t="s">
        <v>23</v>
      </c>
      <c r="D4119">
        <v>68167.44</v>
      </c>
      <c r="E4119" t="s">
        <v>16</v>
      </c>
      <c r="F4119">
        <v>6</v>
      </c>
      <c r="G4119" t="s">
        <v>17</v>
      </c>
      <c r="H4119" s="1">
        <v>45561</v>
      </c>
      <c r="I4119" s="1">
        <v>45567</v>
      </c>
      <c r="J4119" t="str">
        <f t="shared" si="64"/>
        <v>Sep-2024</v>
      </c>
    </row>
    <row r="4120" spans="1:10">
      <c r="A4120">
        <v>4119</v>
      </c>
      <c r="B4120">
        <v>16146</v>
      </c>
      <c r="C4120" t="s">
        <v>18</v>
      </c>
      <c r="D4120">
        <v>14609.64</v>
      </c>
      <c r="E4120" t="s">
        <v>24</v>
      </c>
      <c r="G4120" t="s">
        <v>25</v>
      </c>
      <c r="H4120" s="1">
        <v>45525</v>
      </c>
      <c r="J4120" t="str">
        <f t="shared" si="64"/>
        <v>Aug-2024</v>
      </c>
    </row>
    <row r="4121" spans="1:10">
      <c r="A4121">
        <v>4120</v>
      </c>
      <c r="B4121">
        <v>16561</v>
      </c>
      <c r="C4121" t="s">
        <v>18</v>
      </c>
      <c r="D4121">
        <v>190336.24</v>
      </c>
      <c r="E4121" t="s">
        <v>16</v>
      </c>
      <c r="F4121">
        <v>6</v>
      </c>
      <c r="G4121" t="s">
        <v>20</v>
      </c>
      <c r="H4121" s="1">
        <v>45403</v>
      </c>
      <c r="I4121" s="1">
        <v>45409</v>
      </c>
      <c r="J4121" t="str">
        <f t="shared" si="64"/>
        <v>Apr-2024</v>
      </c>
    </row>
    <row r="4122" spans="1:10">
      <c r="A4122">
        <v>4121</v>
      </c>
      <c r="B4122">
        <v>18560</v>
      </c>
      <c r="C4122" t="s">
        <v>23</v>
      </c>
      <c r="D4122">
        <v>118323.84</v>
      </c>
      <c r="E4122" t="s">
        <v>16</v>
      </c>
      <c r="F4122">
        <v>9</v>
      </c>
      <c r="G4122" t="s">
        <v>20</v>
      </c>
      <c r="H4122" s="1">
        <v>45357</v>
      </c>
      <c r="I4122" s="1">
        <v>45366</v>
      </c>
      <c r="J4122" t="str">
        <f t="shared" si="64"/>
        <v>Mar-2024</v>
      </c>
    </row>
    <row r="4123" spans="1:10">
      <c r="A4123">
        <v>4122</v>
      </c>
      <c r="B4123">
        <v>10538</v>
      </c>
      <c r="C4123" t="s">
        <v>23</v>
      </c>
      <c r="D4123">
        <v>163879.89000000001</v>
      </c>
      <c r="E4123" t="s">
        <v>16</v>
      </c>
      <c r="F4123">
        <v>28</v>
      </c>
      <c r="G4123" t="s">
        <v>17</v>
      </c>
      <c r="H4123" s="1">
        <v>45629</v>
      </c>
      <c r="I4123" s="1">
        <v>45657</v>
      </c>
      <c r="J4123" t="str">
        <f t="shared" si="64"/>
        <v>Dec-2024</v>
      </c>
    </row>
    <row r="4124" spans="1:10">
      <c r="A4124">
        <v>4123</v>
      </c>
      <c r="B4124">
        <v>12927</v>
      </c>
      <c r="C4124" t="s">
        <v>23</v>
      </c>
      <c r="D4124">
        <v>87508.05</v>
      </c>
      <c r="E4124" t="s">
        <v>16</v>
      </c>
      <c r="F4124">
        <v>38</v>
      </c>
      <c r="G4124" t="s">
        <v>20</v>
      </c>
      <c r="H4124" s="1">
        <v>45640</v>
      </c>
      <c r="I4124" s="1">
        <v>45678</v>
      </c>
      <c r="J4124" t="str">
        <f t="shared" si="64"/>
        <v>Dec-2024</v>
      </c>
    </row>
    <row r="4125" spans="1:10">
      <c r="A4125">
        <v>4124</v>
      </c>
      <c r="B4125">
        <v>12393</v>
      </c>
      <c r="C4125" t="s">
        <v>18</v>
      </c>
      <c r="D4125">
        <v>181146.36</v>
      </c>
      <c r="E4125" t="s">
        <v>16</v>
      </c>
      <c r="F4125">
        <v>44</v>
      </c>
      <c r="G4125" t="s">
        <v>25</v>
      </c>
      <c r="H4125" s="1">
        <v>45536</v>
      </c>
      <c r="I4125" s="1">
        <v>45580</v>
      </c>
      <c r="J4125" t="str">
        <f t="shared" si="64"/>
        <v>Sep-2024</v>
      </c>
    </row>
    <row r="4126" spans="1:10">
      <c r="A4126">
        <v>4125</v>
      </c>
      <c r="B4126">
        <v>18922</v>
      </c>
      <c r="C4126" t="s">
        <v>15</v>
      </c>
      <c r="D4126">
        <v>99247.05</v>
      </c>
      <c r="E4126" t="s">
        <v>16</v>
      </c>
      <c r="F4126">
        <v>39</v>
      </c>
      <c r="G4126" t="s">
        <v>20</v>
      </c>
      <c r="H4126" s="1">
        <v>45536</v>
      </c>
      <c r="I4126" s="1">
        <v>45575</v>
      </c>
      <c r="J4126" t="str">
        <f t="shared" si="64"/>
        <v>Sep-2024</v>
      </c>
    </row>
    <row r="4127" spans="1:10">
      <c r="A4127">
        <v>4126</v>
      </c>
      <c r="B4127">
        <v>10896</v>
      </c>
      <c r="C4127" t="s">
        <v>23</v>
      </c>
      <c r="D4127">
        <v>116919.34</v>
      </c>
      <c r="E4127" t="s">
        <v>16</v>
      </c>
      <c r="F4127">
        <v>38</v>
      </c>
      <c r="G4127" t="s">
        <v>17</v>
      </c>
      <c r="H4127" s="1">
        <v>45363</v>
      </c>
      <c r="I4127" s="1">
        <v>45401</v>
      </c>
      <c r="J4127" t="str">
        <f t="shared" si="64"/>
        <v>Mar-2024</v>
      </c>
    </row>
    <row r="4128" spans="1:10">
      <c r="A4128">
        <v>4127</v>
      </c>
      <c r="B4128">
        <v>16867</v>
      </c>
      <c r="C4128" t="s">
        <v>15</v>
      </c>
      <c r="D4128">
        <v>100899.83</v>
      </c>
      <c r="E4128" t="s">
        <v>19</v>
      </c>
      <c r="F4128">
        <v>19</v>
      </c>
      <c r="G4128" t="s">
        <v>25</v>
      </c>
      <c r="H4128" s="1">
        <v>45648</v>
      </c>
      <c r="I4128" s="1">
        <v>45667</v>
      </c>
      <c r="J4128" t="str">
        <f t="shared" si="64"/>
        <v>Dec-2024</v>
      </c>
    </row>
    <row r="4129" spans="1:10">
      <c r="A4129">
        <v>4128</v>
      </c>
      <c r="B4129">
        <v>16345</v>
      </c>
      <c r="C4129" t="s">
        <v>18</v>
      </c>
      <c r="D4129">
        <v>147989.26999999999</v>
      </c>
      <c r="E4129" t="s">
        <v>16</v>
      </c>
      <c r="F4129">
        <v>27</v>
      </c>
      <c r="G4129" t="s">
        <v>17</v>
      </c>
      <c r="H4129" s="1">
        <v>45340</v>
      </c>
      <c r="I4129" s="1">
        <v>45367</v>
      </c>
      <c r="J4129" t="str">
        <f t="shared" si="64"/>
        <v>Feb-2024</v>
      </c>
    </row>
    <row r="4130" spans="1:10">
      <c r="A4130">
        <v>4129</v>
      </c>
      <c r="B4130">
        <v>12368</v>
      </c>
      <c r="C4130" t="s">
        <v>18</v>
      </c>
      <c r="D4130">
        <v>115497.94</v>
      </c>
      <c r="E4130" t="s">
        <v>16</v>
      </c>
      <c r="F4130">
        <v>43</v>
      </c>
      <c r="G4130" t="s">
        <v>20</v>
      </c>
      <c r="H4130" s="1">
        <v>45637</v>
      </c>
      <c r="I4130" s="1">
        <v>45680</v>
      </c>
      <c r="J4130" t="str">
        <f t="shared" si="64"/>
        <v>Dec-2024</v>
      </c>
    </row>
    <row r="4131" spans="1:10">
      <c r="A4131">
        <v>4130</v>
      </c>
      <c r="B4131">
        <v>14559</v>
      </c>
      <c r="C4131" t="s">
        <v>18</v>
      </c>
      <c r="D4131">
        <v>57961.79</v>
      </c>
      <c r="E4131" t="s">
        <v>16</v>
      </c>
      <c r="F4131">
        <v>17</v>
      </c>
      <c r="G4131" t="s">
        <v>17</v>
      </c>
      <c r="H4131" s="1">
        <v>45481</v>
      </c>
      <c r="I4131" s="1">
        <v>45498</v>
      </c>
      <c r="J4131" t="str">
        <f t="shared" si="64"/>
        <v>Jul-2024</v>
      </c>
    </row>
    <row r="4132" spans="1:10">
      <c r="A4132">
        <v>4131</v>
      </c>
      <c r="B4132">
        <v>17747</v>
      </c>
      <c r="C4132" t="s">
        <v>23</v>
      </c>
      <c r="D4132">
        <v>33380.21</v>
      </c>
      <c r="E4132" t="s">
        <v>24</v>
      </c>
      <c r="G4132" t="s">
        <v>17</v>
      </c>
      <c r="H4132" s="1">
        <v>45584</v>
      </c>
      <c r="J4132" t="str">
        <f t="shared" si="64"/>
        <v>Oct-2024</v>
      </c>
    </row>
    <row r="4133" spans="1:10">
      <c r="A4133">
        <v>4132</v>
      </c>
      <c r="B4133">
        <v>12380</v>
      </c>
      <c r="C4133" t="s">
        <v>23</v>
      </c>
      <c r="D4133">
        <v>123194.26</v>
      </c>
      <c r="E4133" t="s">
        <v>24</v>
      </c>
      <c r="G4133" t="s">
        <v>21</v>
      </c>
      <c r="H4133" s="1">
        <v>45468</v>
      </c>
      <c r="J4133" t="str">
        <f t="shared" si="64"/>
        <v>Jun-2024</v>
      </c>
    </row>
    <row r="4134" spans="1:10">
      <c r="A4134">
        <v>4133</v>
      </c>
      <c r="B4134">
        <v>10014</v>
      </c>
      <c r="C4134" t="s">
        <v>18</v>
      </c>
      <c r="D4134">
        <v>100390.09</v>
      </c>
      <c r="E4134" t="s">
        <v>19</v>
      </c>
      <c r="F4134">
        <v>4</v>
      </c>
      <c r="G4134" t="s">
        <v>20</v>
      </c>
      <c r="H4134" s="1">
        <v>45452</v>
      </c>
      <c r="I4134" s="1">
        <v>45456</v>
      </c>
      <c r="J4134" t="str">
        <f t="shared" si="64"/>
        <v>Jun-2024</v>
      </c>
    </row>
    <row r="4135" spans="1:10">
      <c r="A4135">
        <v>4134</v>
      </c>
      <c r="B4135">
        <v>19545</v>
      </c>
      <c r="C4135" t="s">
        <v>18</v>
      </c>
      <c r="D4135">
        <v>23715.26</v>
      </c>
      <c r="E4135" t="s">
        <v>19</v>
      </c>
      <c r="F4135">
        <v>4</v>
      </c>
      <c r="G4135" t="s">
        <v>20</v>
      </c>
      <c r="H4135" s="1">
        <v>45441</v>
      </c>
      <c r="I4135" s="1">
        <v>45445</v>
      </c>
      <c r="J4135" t="str">
        <f t="shared" si="64"/>
        <v>May-2024</v>
      </c>
    </row>
    <row r="4136" spans="1:10">
      <c r="A4136">
        <v>4135</v>
      </c>
      <c r="B4136">
        <v>13135</v>
      </c>
      <c r="C4136" t="s">
        <v>18</v>
      </c>
      <c r="D4136">
        <v>82145.41</v>
      </c>
      <c r="E4136" t="s">
        <v>16</v>
      </c>
      <c r="F4136">
        <v>13</v>
      </c>
      <c r="G4136" t="s">
        <v>17</v>
      </c>
      <c r="H4136" s="1">
        <v>45361</v>
      </c>
      <c r="I4136" s="1">
        <v>45374</v>
      </c>
      <c r="J4136" t="str">
        <f t="shared" si="64"/>
        <v>Mar-2024</v>
      </c>
    </row>
    <row r="4137" spans="1:10">
      <c r="A4137">
        <v>4136</v>
      </c>
      <c r="B4137">
        <v>12277</v>
      </c>
      <c r="C4137" t="s">
        <v>23</v>
      </c>
      <c r="D4137">
        <v>105381.4</v>
      </c>
      <c r="E4137" t="s">
        <v>16</v>
      </c>
      <c r="F4137">
        <v>24</v>
      </c>
      <c r="G4137" t="s">
        <v>21</v>
      </c>
      <c r="H4137" s="1">
        <v>45324</v>
      </c>
      <c r="I4137" s="1">
        <v>45348</v>
      </c>
      <c r="J4137" t="str">
        <f t="shared" si="64"/>
        <v>Feb-2024</v>
      </c>
    </row>
    <row r="4138" spans="1:10">
      <c r="A4138">
        <v>4137</v>
      </c>
      <c r="B4138">
        <v>18202</v>
      </c>
      <c r="C4138" t="s">
        <v>22</v>
      </c>
      <c r="D4138">
        <v>166244.18</v>
      </c>
      <c r="E4138" t="s">
        <v>16</v>
      </c>
      <c r="F4138">
        <v>12</v>
      </c>
      <c r="G4138" t="s">
        <v>20</v>
      </c>
      <c r="H4138" s="1">
        <v>45575</v>
      </c>
      <c r="I4138" s="1">
        <v>45587</v>
      </c>
      <c r="J4138" t="str">
        <f t="shared" si="64"/>
        <v>Oct-2024</v>
      </c>
    </row>
    <row r="4139" spans="1:10">
      <c r="A4139">
        <v>4138</v>
      </c>
      <c r="B4139">
        <v>11656</v>
      </c>
      <c r="C4139" t="s">
        <v>18</v>
      </c>
      <c r="D4139">
        <v>19839.71</v>
      </c>
      <c r="E4139" t="s">
        <v>16</v>
      </c>
      <c r="F4139">
        <v>43</v>
      </c>
      <c r="G4139" t="s">
        <v>25</v>
      </c>
      <c r="H4139" s="1">
        <v>45635</v>
      </c>
      <c r="I4139" s="1">
        <v>45678</v>
      </c>
      <c r="J4139" t="str">
        <f t="shared" si="64"/>
        <v>Dec-2024</v>
      </c>
    </row>
    <row r="4140" spans="1:10">
      <c r="A4140">
        <v>4139</v>
      </c>
      <c r="B4140">
        <v>19439</v>
      </c>
      <c r="C4140" t="s">
        <v>23</v>
      </c>
      <c r="D4140">
        <v>72956.59</v>
      </c>
      <c r="E4140" t="s">
        <v>16</v>
      </c>
      <c r="F4140">
        <v>30</v>
      </c>
      <c r="G4140" t="s">
        <v>17</v>
      </c>
      <c r="H4140" s="1">
        <v>45551</v>
      </c>
      <c r="I4140" s="1">
        <v>45581</v>
      </c>
      <c r="J4140" t="str">
        <f t="shared" si="64"/>
        <v>Sep-2024</v>
      </c>
    </row>
    <row r="4141" spans="1:10">
      <c r="A4141">
        <v>4140</v>
      </c>
      <c r="B4141">
        <v>11660</v>
      </c>
      <c r="C4141" t="s">
        <v>23</v>
      </c>
      <c r="D4141">
        <v>165417.94</v>
      </c>
      <c r="E4141" t="s">
        <v>16</v>
      </c>
      <c r="F4141">
        <v>7</v>
      </c>
      <c r="G4141" t="s">
        <v>20</v>
      </c>
      <c r="H4141" s="1">
        <v>45613</v>
      </c>
      <c r="I4141" s="1">
        <v>45620</v>
      </c>
      <c r="J4141" t="str">
        <f t="shared" si="64"/>
        <v>Nov-2024</v>
      </c>
    </row>
    <row r="4142" spans="1:10">
      <c r="A4142">
        <v>4141</v>
      </c>
      <c r="B4142">
        <v>11763</v>
      </c>
      <c r="C4142" t="s">
        <v>18</v>
      </c>
      <c r="D4142">
        <v>131442.67000000001</v>
      </c>
      <c r="E4142" t="s">
        <v>24</v>
      </c>
      <c r="G4142" t="s">
        <v>25</v>
      </c>
      <c r="H4142" s="1">
        <v>45368</v>
      </c>
      <c r="J4142" t="str">
        <f t="shared" si="64"/>
        <v>Mar-2024</v>
      </c>
    </row>
    <row r="4143" spans="1:10">
      <c r="A4143">
        <v>4142</v>
      </c>
      <c r="B4143">
        <v>18733</v>
      </c>
      <c r="C4143" t="s">
        <v>18</v>
      </c>
      <c r="D4143">
        <v>61541.87</v>
      </c>
      <c r="E4143" t="s">
        <v>19</v>
      </c>
      <c r="F4143">
        <v>35</v>
      </c>
      <c r="G4143" t="s">
        <v>20</v>
      </c>
      <c r="H4143" s="1">
        <v>45401</v>
      </c>
      <c r="I4143" s="1">
        <v>45436</v>
      </c>
      <c r="J4143" t="str">
        <f t="shared" si="64"/>
        <v>Apr-2024</v>
      </c>
    </row>
    <row r="4144" spans="1:10">
      <c r="A4144">
        <v>4143</v>
      </c>
      <c r="B4144">
        <v>11529</v>
      </c>
      <c r="C4144" t="s">
        <v>23</v>
      </c>
      <c r="D4144">
        <v>169840.35</v>
      </c>
      <c r="E4144" t="s">
        <v>16</v>
      </c>
      <c r="F4144">
        <v>38</v>
      </c>
      <c r="G4144" t="s">
        <v>25</v>
      </c>
      <c r="H4144" s="1">
        <v>45596</v>
      </c>
      <c r="I4144" s="1">
        <v>45634</v>
      </c>
      <c r="J4144" t="str">
        <f t="shared" si="64"/>
        <v>Oct-2024</v>
      </c>
    </row>
    <row r="4145" spans="1:10">
      <c r="A4145">
        <v>4144</v>
      </c>
      <c r="B4145">
        <v>17865</v>
      </c>
      <c r="C4145" t="s">
        <v>15</v>
      </c>
      <c r="D4145">
        <v>101192.25</v>
      </c>
      <c r="E4145" t="s">
        <v>19</v>
      </c>
      <c r="F4145">
        <v>12</v>
      </c>
      <c r="G4145" t="s">
        <v>17</v>
      </c>
      <c r="H4145" s="1">
        <v>45430</v>
      </c>
      <c r="I4145" s="1">
        <v>45442</v>
      </c>
      <c r="J4145" t="str">
        <f t="shared" si="64"/>
        <v>May-2024</v>
      </c>
    </row>
    <row r="4146" spans="1:10">
      <c r="A4146">
        <v>4145</v>
      </c>
      <c r="B4146">
        <v>15838</v>
      </c>
      <c r="C4146" t="s">
        <v>23</v>
      </c>
      <c r="D4146">
        <v>102178.62</v>
      </c>
      <c r="E4146" t="s">
        <v>16</v>
      </c>
      <c r="F4146">
        <v>12</v>
      </c>
      <c r="G4146" t="s">
        <v>20</v>
      </c>
      <c r="H4146" s="1">
        <v>45326</v>
      </c>
      <c r="I4146" s="1">
        <v>45338</v>
      </c>
      <c r="J4146" t="str">
        <f t="shared" si="64"/>
        <v>Feb-2024</v>
      </c>
    </row>
    <row r="4147" spans="1:10">
      <c r="A4147">
        <v>4146</v>
      </c>
      <c r="B4147">
        <v>16910</v>
      </c>
      <c r="C4147" t="s">
        <v>23</v>
      </c>
      <c r="D4147">
        <v>195434.53</v>
      </c>
      <c r="E4147" t="s">
        <v>16</v>
      </c>
      <c r="F4147">
        <v>26</v>
      </c>
      <c r="G4147" t="s">
        <v>20</v>
      </c>
      <c r="H4147" s="1">
        <v>45526</v>
      </c>
      <c r="I4147" s="1">
        <v>45552</v>
      </c>
      <c r="J4147" t="str">
        <f t="shared" si="64"/>
        <v>Aug-2024</v>
      </c>
    </row>
    <row r="4148" spans="1:10">
      <c r="A4148">
        <v>4147</v>
      </c>
      <c r="B4148">
        <v>19372</v>
      </c>
      <c r="C4148" t="s">
        <v>15</v>
      </c>
      <c r="D4148">
        <v>189687.72</v>
      </c>
      <c r="E4148" t="s">
        <v>16</v>
      </c>
      <c r="F4148">
        <v>20</v>
      </c>
      <c r="G4148" t="s">
        <v>21</v>
      </c>
      <c r="H4148" s="1">
        <v>45621</v>
      </c>
      <c r="I4148" s="1">
        <v>45641</v>
      </c>
      <c r="J4148" t="str">
        <f t="shared" si="64"/>
        <v>Nov-2024</v>
      </c>
    </row>
    <row r="4149" spans="1:10">
      <c r="A4149">
        <v>4148</v>
      </c>
      <c r="B4149">
        <v>12617</v>
      </c>
      <c r="C4149" t="s">
        <v>15</v>
      </c>
      <c r="D4149">
        <v>74913.87</v>
      </c>
      <c r="E4149" t="s">
        <v>16</v>
      </c>
      <c r="F4149">
        <v>33</v>
      </c>
      <c r="G4149" t="s">
        <v>17</v>
      </c>
      <c r="H4149" s="1">
        <v>45491</v>
      </c>
      <c r="I4149" s="1">
        <v>45524</v>
      </c>
      <c r="J4149" t="str">
        <f t="shared" si="64"/>
        <v>Jul-2024</v>
      </c>
    </row>
    <row r="4150" spans="1:10">
      <c r="A4150">
        <v>4149</v>
      </c>
      <c r="B4150">
        <v>12754</v>
      </c>
      <c r="C4150" t="s">
        <v>18</v>
      </c>
      <c r="D4150">
        <v>32412.93</v>
      </c>
      <c r="E4150" t="s">
        <v>16</v>
      </c>
      <c r="F4150">
        <v>9</v>
      </c>
      <c r="G4150" t="s">
        <v>25</v>
      </c>
      <c r="H4150" s="1">
        <v>45616</v>
      </c>
      <c r="I4150" s="1">
        <v>45625</v>
      </c>
      <c r="J4150" t="str">
        <f t="shared" si="64"/>
        <v>Nov-2024</v>
      </c>
    </row>
    <row r="4151" spans="1:10">
      <c r="A4151">
        <v>4150</v>
      </c>
      <c r="B4151">
        <v>19120</v>
      </c>
      <c r="C4151" t="s">
        <v>15</v>
      </c>
      <c r="D4151">
        <v>68505.009999999995</v>
      </c>
      <c r="E4151" t="s">
        <v>19</v>
      </c>
      <c r="F4151">
        <v>13</v>
      </c>
      <c r="G4151" t="s">
        <v>20</v>
      </c>
      <c r="H4151" s="1">
        <v>45442</v>
      </c>
      <c r="I4151" s="1">
        <v>45455</v>
      </c>
      <c r="J4151" t="str">
        <f t="shared" si="64"/>
        <v>May-2024</v>
      </c>
    </row>
    <row r="4152" spans="1:10">
      <c r="A4152">
        <v>4151</v>
      </c>
      <c r="B4152">
        <v>18101</v>
      </c>
      <c r="C4152" t="s">
        <v>23</v>
      </c>
      <c r="D4152">
        <v>10944.24</v>
      </c>
      <c r="E4152" t="s">
        <v>16</v>
      </c>
      <c r="F4152">
        <v>42</v>
      </c>
      <c r="G4152" t="s">
        <v>20</v>
      </c>
      <c r="H4152" s="1">
        <v>45325</v>
      </c>
      <c r="I4152" s="1">
        <v>45367</v>
      </c>
      <c r="J4152" t="str">
        <f t="shared" si="64"/>
        <v>Feb-2024</v>
      </c>
    </row>
    <row r="4153" spans="1:10">
      <c r="A4153">
        <v>4152</v>
      </c>
      <c r="B4153">
        <v>11426</v>
      </c>
      <c r="C4153" t="s">
        <v>15</v>
      </c>
      <c r="D4153">
        <v>9049.74</v>
      </c>
      <c r="E4153" t="s">
        <v>16</v>
      </c>
      <c r="F4153">
        <v>36</v>
      </c>
      <c r="G4153" t="s">
        <v>25</v>
      </c>
      <c r="H4153" s="1">
        <v>45415</v>
      </c>
      <c r="I4153" s="1">
        <v>45451</v>
      </c>
      <c r="J4153" t="str">
        <f t="shared" si="64"/>
        <v>May-2024</v>
      </c>
    </row>
    <row r="4154" spans="1:10">
      <c r="A4154">
        <v>4153</v>
      </c>
      <c r="B4154">
        <v>18067</v>
      </c>
      <c r="C4154" t="s">
        <v>23</v>
      </c>
      <c r="D4154">
        <v>82126.820000000007</v>
      </c>
      <c r="E4154" t="s">
        <v>16</v>
      </c>
      <c r="F4154">
        <v>7</v>
      </c>
      <c r="G4154" t="s">
        <v>17</v>
      </c>
      <c r="H4154" s="1">
        <v>45323</v>
      </c>
      <c r="I4154" s="1">
        <v>45330</v>
      </c>
      <c r="J4154" t="str">
        <f t="shared" si="64"/>
        <v>Feb-2024</v>
      </c>
    </row>
    <row r="4155" spans="1:10">
      <c r="A4155">
        <v>4154</v>
      </c>
      <c r="B4155">
        <v>15208</v>
      </c>
      <c r="C4155" t="s">
        <v>23</v>
      </c>
      <c r="D4155">
        <v>188498.87</v>
      </c>
      <c r="E4155" t="s">
        <v>16</v>
      </c>
      <c r="F4155">
        <v>22</v>
      </c>
      <c r="G4155" t="s">
        <v>21</v>
      </c>
      <c r="H4155" s="1">
        <v>45563</v>
      </c>
      <c r="I4155" s="1">
        <v>45585</v>
      </c>
      <c r="J4155" t="str">
        <f t="shared" si="64"/>
        <v>Sep-2024</v>
      </c>
    </row>
    <row r="4156" spans="1:10">
      <c r="A4156">
        <v>4155</v>
      </c>
      <c r="B4156">
        <v>16222</v>
      </c>
      <c r="C4156" t="s">
        <v>23</v>
      </c>
      <c r="D4156">
        <v>174914.68</v>
      </c>
      <c r="E4156" t="s">
        <v>19</v>
      </c>
      <c r="F4156">
        <v>27</v>
      </c>
      <c r="G4156" t="s">
        <v>21</v>
      </c>
      <c r="H4156" s="1">
        <v>45615</v>
      </c>
      <c r="I4156" s="1">
        <v>45642</v>
      </c>
      <c r="J4156" t="str">
        <f t="shared" si="64"/>
        <v>Nov-2024</v>
      </c>
    </row>
    <row r="4157" spans="1:10">
      <c r="A4157">
        <v>4156</v>
      </c>
      <c r="B4157">
        <v>17808</v>
      </c>
      <c r="C4157" t="s">
        <v>23</v>
      </c>
      <c r="D4157">
        <v>104731.35</v>
      </c>
      <c r="E4157" t="s">
        <v>16</v>
      </c>
      <c r="F4157">
        <v>2</v>
      </c>
      <c r="G4157" t="s">
        <v>20</v>
      </c>
      <c r="H4157" s="1">
        <v>45601</v>
      </c>
      <c r="I4157" s="1">
        <v>45603</v>
      </c>
      <c r="J4157" t="str">
        <f t="shared" si="64"/>
        <v>Nov-2024</v>
      </c>
    </row>
    <row r="4158" spans="1:10">
      <c r="A4158">
        <v>4157</v>
      </c>
      <c r="B4158">
        <v>12061</v>
      </c>
      <c r="C4158" t="s">
        <v>23</v>
      </c>
      <c r="D4158">
        <v>115219.14</v>
      </c>
      <c r="E4158" t="s">
        <v>24</v>
      </c>
      <c r="G4158" t="s">
        <v>25</v>
      </c>
      <c r="H4158" s="1">
        <v>45415</v>
      </c>
      <c r="J4158" t="str">
        <f t="shared" si="64"/>
        <v>May-2024</v>
      </c>
    </row>
    <row r="4159" spans="1:10">
      <c r="A4159">
        <v>4158</v>
      </c>
      <c r="B4159">
        <v>12563</v>
      </c>
      <c r="C4159" t="s">
        <v>23</v>
      </c>
      <c r="D4159">
        <v>6157.03</v>
      </c>
      <c r="E4159" t="s">
        <v>24</v>
      </c>
      <c r="G4159" t="s">
        <v>20</v>
      </c>
      <c r="H4159" s="1">
        <v>45607</v>
      </c>
      <c r="J4159" t="str">
        <f t="shared" si="64"/>
        <v>Nov-2024</v>
      </c>
    </row>
    <row r="4160" spans="1:10">
      <c r="A4160">
        <v>4159</v>
      </c>
      <c r="B4160">
        <v>12803</v>
      </c>
      <c r="C4160" t="s">
        <v>23</v>
      </c>
      <c r="D4160">
        <v>47022.73</v>
      </c>
      <c r="E4160" t="s">
        <v>16</v>
      </c>
      <c r="F4160">
        <v>28</v>
      </c>
      <c r="G4160" t="s">
        <v>25</v>
      </c>
      <c r="H4160" s="1">
        <v>45369</v>
      </c>
      <c r="I4160" s="1">
        <v>45397</v>
      </c>
      <c r="J4160" t="str">
        <f t="shared" si="64"/>
        <v>Mar-2024</v>
      </c>
    </row>
    <row r="4161" spans="1:10">
      <c r="A4161">
        <v>4160</v>
      </c>
      <c r="B4161">
        <v>16209</v>
      </c>
      <c r="C4161" t="s">
        <v>23</v>
      </c>
      <c r="D4161">
        <v>9830.9500000000007</v>
      </c>
      <c r="E4161" t="s">
        <v>16</v>
      </c>
      <c r="F4161">
        <v>3</v>
      </c>
      <c r="G4161" t="s">
        <v>21</v>
      </c>
      <c r="H4161" s="1">
        <v>45367</v>
      </c>
      <c r="I4161" s="1">
        <v>45370</v>
      </c>
      <c r="J4161" t="str">
        <f t="shared" si="64"/>
        <v>Mar-2024</v>
      </c>
    </row>
    <row r="4162" spans="1:10">
      <c r="A4162">
        <v>4161</v>
      </c>
      <c r="B4162">
        <v>12293</v>
      </c>
      <c r="C4162" t="s">
        <v>18</v>
      </c>
      <c r="D4162">
        <v>152135.21</v>
      </c>
      <c r="E4162" t="s">
        <v>19</v>
      </c>
      <c r="F4162">
        <v>37</v>
      </c>
      <c r="G4162" t="s">
        <v>17</v>
      </c>
      <c r="H4162" s="1">
        <v>45351</v>
      </c>
      <c r="I4162" s="1">
        <v>45388</v>
      </c>
      <c r="J4162" t="str">
        <f t="shared" si="64"/>
        <v>Feb-2024</v>
      </c>
    </row>
    <row r="4163" spans="1:10">
      <c r="A4163">
        <v>4162</v>
      </c>
      <c r="B4163">
        <v>11625</v>
      </c>
      <c r="C4163" t="s">
        <v>23</v>
      </c>
      <c r="D4163">
        <v>33400.93</v>
      </c>
      <c r="E4163" t="s">
        <v>24</v>
      </c>
      <c r="G4163" t="s">
        <v>25</v>
      </c>
      <c r="H4163" s="1">
        <v>45376</v>
      </c>
      <c r="J4163" t="str">
        <f t="shared" ref="J4163:J4226" si="65">TEXT(H4163,"mmm-yyyy")</f>
        <v>Mar-2024</v>
      </c>
    </row>
    <row r="4164" spans="1:10">
      <c r="A4164">
        <v>4163</v>
      </c>
      <c r="B4164">
        <v>15809</v>
      </c>
      <c r="C4164" t="s">
        <v>23</v>
      </c>
      <c r="D4164">
        <v>174464.18</v>
      </c>
      <c r="E4164" t="s">
        <v>16</v>
      </c>
      <c r="F4164">
        <v>11</v>
      </c>
      <c r="G4164" t="s">
        <v>21</v>
      </c>
      <c r="H4164" s="1">
        <v>45371</v>
      </c>
      <c r="I4164" s="1">
        <v>45382</v>
      </c>
      <c r="J4164" t="str">
        <f t="shared" si="65"/>
        <v>Mar-2024</v>
      </c>
    </row>
    <row r="4165" spans="1:10">
      <c r="A4165">
        <v>4164</v>
      </c>
      <c r="B4165">
        <v>10571</v>
      </c>
      <c r="C4165" t="s">
        <v>18</v>
      </c>
      <c r="D4165">
        <v>130448.24</v>
      </c>
      <c r="E4165" t="s">
        <v>19</v>
      </c>
      <c r="F4165">
        <v>32</v>
      </c>
      <c r="G4165" t="s">
        <v>20</v>
      </c>
      <c r="H4165" s="1">
        <v>45463</v>
      </c>
      <c r="I4165" s="1">
        <v>45495</v>
      </c>
      <c r="J4165" t="str">
        <f t="shared" si="65"/>
        <v>Jun-2024</v>
      </c>
    </row>
    <row r="4166" spans="1:10">
      <c r="A4166">
        <v>4165</v>
      </c>
      <c r="B4166">
        <v>17399</v>
      </c>
      <c r="C4166" t="s">
        <v>15</v>
      </c>
      <c r="D4166">
        <v>49736.639999999999</v>
      </c>
      <c r="E4166" t="s">
        <v>19</v>
      </c>
      <c r="F4166">
        <v>38</v>
      </c>
      <c r="G4166" t="s">
        <v>25</v>
      </c>
      <c r="H4166" s="1">
        <v>45549</v>
      </c>
      <c r="I4166" s="1">
        <v>45587</v>
      </c>
      <c r="J4166" t="str">
        <f t="shared" si="65"/>
        <v>Sep-2024</v>
      </c>
    </row>
    <row r="4167" spans="1:10">
      <c r="A4167">
        <v>4166</v>
      </c>
      <c r="B4167">
        <v>12400</v>
      </c>
      <c r="C4167" t="s">
        <v>18</v>
      </c>
      <c r="D4167">
        <v>35755.46</v>
      </c>
      <c r="E4167" t="s">
        <v>16</v>
      </c>
      <c r="F4167">
        <v>6</v>
      </c>
      <c r="G4167" t="s">
        <v>17</v>
      </c>
      <c r="H4167" s="1">
        <v>45570</v>
      </c>
      <c r="I4167" s="1">
        <v>45576</v>
      </c>
      <c r="J4167" t="str">
        <f t="shared" si="65"/>
        <v>Oct-2024</v>
      </c>
    </row>
    <row r="4168" spans="1:10">
      <c r="A4168">
        <v>4167</v>
      </c>
      <c r="B4168">
        <v>19903</v>
      </c>
      <c r="C4168" t="s">
        <v>23</v>
      </c>
      <c r="D4168">
        <v>127386.82</v>
      </c>
      <c r="E4168" t="s">
        <v>16</v>
      </c>
      <c r="F4168">
        <v>42</v>
      </c>
      <c r="G4168" t="s">
        <v>20</v>
      </c>
      <c r="H4168" s="1">
        <v>45512</v>
      </c>
      <c r="I4168" s="1">
        <v>45554</v>
      </c>
      <c r="J4168" t="str">
        <f t="shared" si="65"/>
        <v>Aug-2024</v>
      </c>
    </row>
    <row r="4169" spans="1:10">
      <c r="A4169">
        <v>4168</v>
      </c>
      <c r="B4169">
        <v>18574</v>
      </c>
      <c r="C4169" t="s">
        <v>18</v>
      </c>
      <c r="D4169">
        <v>180663.21</v>
      </c>
      <c r="E4169" t="s">
        <v>19</v>
      </c>
      <c r="F4169">
        <v>14</v>
      </c>
      <c r="G4169" t="s">
        <v>20</v>
      </c>
      <c r="H4169" s="1">
        <v>45337</v>
      </c>
      <c r="I4169" s="1">
        <v>45351</v>
      </c>
      <c r="J4169" t="str">
        <f t="shared" si="65"/>
        <v>Feb-2024</v>
      </c>
    </row>
    <row r="4170" spans="1:10">
      <c r="A4170">
        <v>4169</v>
      </c>
      <c r="B4170">
        <v>15829</v>
      </c>
      <c r="C4170" t="s">
        <v>23</v>
      </c>
      <c r="D4170">
        <v>145080.24</v>
      </c>
      <c r="E4170" t="s">
        <v>16</v>
      </c>
      <c r="F4170">
        <v>25</v>
      </c>
      <c r="G4170" t="s">
        <v>21</v>
      </c>
      <c r="H4170" s="1">
        <v>45364</v>
      </c>
      <c r="I4170" s="1">
        <v>45389</v>
      </c>
      <c r="J4170" t="str">
        <f t="shared" si="65"/>
        <v>Mar-2024</v>
      </c>
    </row>
    <row r="4171" spans="1:10">
      <c r="A4171">
        <v>4170</v>
      </c>
      <c r="B4171">
        <v>11083</v>
      </c>
      <c r="C4171" t="s">
        <v>23</v>
      </c>
      <c r="D4171">
        <v>72966.600000000006</v>
      </c>
      <c r="E4171" t="s">
        <v>16</v>
      </c>
      <c r="F4171">
        <v>28</v>
      </c>
      <c r="G4171" t="s">
        <v>25</v>
      </c>
      <c r="H4171" s="1">
        <v>45345</v>
      </c>
      <c r="I4171" s="1">
        <v>45373</v>
      </c>
      <c r="J4171" t="str">
        <f t="shared" si="65"/>
        <v>Feb-2024</v>
      </c>
    </row>
    <row r="4172" spans="1:10">
      <c r="A4172">
        <v>4171</v>
      </c>
      <c r="B4172">
        <v>11949</v>
      </c>
      <c r="C4172" t="s">
        <v>23</v>
      </c>
      <c r="D4172">
        <v>119539.8</v>
      </c>
      <c r="E4172" t="s">
        <v>16</v>
      </c>
      <c r="F4172">
        <v>2</v>
      </c>
      <c r="G4172" t="s">
        <v>20</v>
      </c>
      <c r="H4172" s="1">
        <v>45618</v>
      </c>
      <c r="I4172" s="1">
        <v>45620</v>
      </c>
      <c r="J4172" t="str">
        <f t="shared" si="65"/>
        <v>Nov-2024</v>
      </c>
    </row>
    <row r="4173" spans="1:10">
      <c r="A4173">
        <v>4172</v>
      </c>
      <c r="B4173">
        <v>15530</v>
      </c>
      <c r="C4173" t="s">
        <v>15</v>
      </c>
      <c r="D4173">
        <v>65598.53</v>
      </c>
      <c r="E4173" t="s">
        <v>16</v>
      </c>
      <c r="F4173">
        <v>21</v>
      </c>
      <c r="G4173" t="s">
        <v>17</v>
      </c>
      <c r="H4173" s="1">
        <v>45512</v>
      </c>
      <c r="I4173" s="1">
        <v>45533</v>
      </c>
      <c r="J4173" t="str">
        <f t="shared" si="65"/>
        <v>Aug-2024</v>
      </c>
    </row>
    <row r="4174" spans="1:10">
      <c r="A4174">
        <v>4173</v>
      </c>
      <c r="B4174">
        <v>15202</v>
      </c>
      <c r="C4174" t="s">
        <v>23</v>
      </c>
      <c r="D4174">
        <v>199834.17</v>
      </c>
      <c r="E4174" t="s">
        <v>16</v>
      </c>
      <c r="F4174">
        <v>9</v>
      </c>
      <c r="G4174" t="s">
        <v>25</v>
      </c>
      <c r="H4174" s="1">
        <v>45628</v>
      </c>
      <c r="I4174" s="1">
        <v>45637</v>
      </c>
      <c r="J4174" t="str">
        <f t="shared" si="65"/>
        <v>Dec-2024</v>
      </c>
    </row>
    <row r="4175" spans="1:10">
      <c r="A4175">
        <v>4174</v>
      </c>
      <c r="B4175">
        <v>15430</v>
      </c>
      <c r="C4175" t="s">
        <v>23</v>
      </c>
      <c r="D4175">
        <v>151023.64000000001</v>
      </c>
      <c r="E4175" t="s">
        <v>24</v>
      </c>
      <c r="G4175" t="s">
        <v>17</v>
      </c>
      <c r="H4175" s="1">
        <v>45300</v>
      </c>
      <c r="J4175" t="str">
        <f t="shared" si="65"/>
        <v>Jan-2024</v>
      </c>
    </row>
    <row r="4176" spans="1:10">
      <c r="A4176">
        <v>4175</v>
      </c>
      <c r="B4176">
        <v>13497</v>
      </c>
      <c r="C4176" t="s">
        <v>23</v>
      </c>
      <c r="D4176">
        <v>124804.42</v>
      </c>
      <c r="E4176" t="s">
        <v>16</v>
      </c>
      <c r="F4176">
        <v>33</v>
      </c>
      <c r="G4176" t="s">
        <v>20</v>
      </c>
      <c r="H4176" s="1">
        <v>45617</v>
      </c>
      <c r="I4176" s="1">
        <v>45650</v>
      </c>
      <c r="J4176" t="str">
        <f t="shared" si="65"/>
        <v>Nov-2024</v>
      </c>
    </row>
    <row r="4177" spans="1:10">
      <c r="A4177">
        <v>4176</v>
      </c>
      <c r="B4177">
        <v>15496</v>
      </c>
      <c r="C4177" t="s">
        <v>15</v>
      </c>
      <c r="D4177">
        <v>87535.53</v>
      </c>
      <c r="E4177" t="s">
        <v>16</v>
      </c>
      <c r="F4177">
        <v>26</v>
      </c>
      <c r="G4177" t="s">
        <v>17</v>
      </c>
      <c r="H4177" s="1">
        <v>45463</v>
      </c>
      <c r="I4177" s="1">
        <v>45489</v>
      </c>
      <c r="J4177" t="str">
        <f t="shared" si="65"/>
        <v>Jun-2024</v>
      </c>
    </row>
    <row r="4178" spans="1:10">
      <c r="A4178">
        <v>4177</v>
      </c>
      <c r="B4178">
        <v>14930</v>
      </c>
      <c r="C4178" t="s">
        <v>18</v>
      </c>
      <c r="D4178">
        <v>125539.7</v>
      </c>
      <c r="E4178" t="s">
        <v>16</v>
      </c>
      <c r="F4178">
        <v>26</v>
      </c>
      <c r="G4178" t="s">
        <v>21</v>
      </c>
      <c r="H4178" s="1">
        <v>45375</v>
      </c>
      <c r="I4178" s="1">
        <v>45401</v>
      </c>
      <c r="J4178" t="str">
        <f t="shared" si="65"/>
        <v>Mar-2024</v>
      </c>
    </row>
    <row r="4179" spans="1:10">
      <c r="A4179">
        <v>4178</v>
      </c>
      <c r="B4179">
        <v>13394</v>
      </c>
      <c r="C4179" t="s">
        <v>23</v>
      </c>
      <c r="D4179">
        <v>71615.13</v>
      </c>
      <c r="E4179" t="s">
        <v>16</v>
      </c>
      <c r="F4179">
        <v>15</v>
      </c>
      <c r="G4179" t="s">
        <v>17</v>
      </c>
      <c r="H4179" s="1">
        <v>45621</v>
      </c>
      <c r="I4179" s="1">
        <v>45636</v>
      </c>
      <c r="J4179" t="str">
        <f t="shared" si="65"/>
        <v>Nov-2024</v>
      </c>
    </row>
    <row r="4180" spans="1:10">
      <c r="A4180">
        <v>4179</v>
      </c>
      <c r="B4180">
        <v>19395</v>
      </c>
      <c r="C4180" t="s">
        <v>18</v>
      </c>
      <c r="D4180">
        <v>10628.64</v>
      </c>
      <c r="E4180" t="s">
        <v>16</v>
      </c>
      <c r="F4180">
        <v>44</v>
      </c>
      <c r="G4180" t="s">
        <v>25</v>
      </c>
      <c r="H4180" s="1">
        <v>45620</v>
      </c>
      <c r="I4180" s="1">
        <v>45664</v>
      </c>
      <c r="J4180" t="str">
        <f t="shared" si="65"/>
        <v>Nov-2024</v>
      </c>
    </row>
    <row r="4181" spans="1:10">
      <c r="A4181">
        <v>4180</v>
      </c>
      <c r="B4181">
        <v>10773</v>
      </c>
      <c r="C4181" t="s">
        <v>18</v>
      </c>
      <c r="D4181">
        <v>82042.259999999995</v>
      </c>
      <c r="E4181" t="s">
        <v>16</v>
      </c>
      <c r="F4181">
        <v>28</v>
      </c>
      <c r="G4181" t="s">
        <v>17</v>
      </c>
      <c r="H4181" s="1">
        <v>45303</v>
      </c>
      <c r="I4181" s="1">
        <v>45331</v>
      </c>
      <c r="J4181" t="str">
        <f t="shared" si="65"/>
        <v>Jan-2024</v>
      </c>
    </row>
    <row r="4182" spans="1:10">
      <c r="A4182">
        <v>4181</v>
      </c>
      <c r="B4182">
        <v>17793</v>
      </c>
      <c r="C4182" t="s">
        <v>18</v>
      </c>
      <c r="D4182">
        <v>186443.76</v>
      </c>
      <c r="E4182" t="s">
        <v>16</v>
      </c>
      <c r="F4182">
        <v>33</v>
      </c>
      <c r="G4182" t="s">
        <v>17</v>
      </c>
      <c r="H4182" s="1">
        <v>45323</v>
      </c>
      <c r="I4182" s="1">
        <v>45356</v>
      </c>
      <c r="J4182" t="str">
        <f t="shared" si="65"/>
        <v>Feb-2024</v>
      </c>
    </row>
    <row r="4183" spans="1:10">
      <c r="A4183">
        <v>4182</v>
      </c>
      <c r="B4183">
        <v>12597</v>
      </c>
      <c r="C4183" t="s">
        <v>23</v>
      </c>
      <c r="D4183">
        <v>127128.71</v>
      </c>
      <c r="E4183" t="s">
        <v>16</v>
      </c>
      <c r="F4183">
        <v>28</v>
      </c>
      <c r="G4183" t="s">
        <v>21</v>
      </c>
      <c r="H4183" s="1">
        <v>45630</v>
      </c>
      <c r="I4183" s="1">
        <v>45658</v>
      </c>
      <c r="J4183" t="str">
        <f t="shared" si="65"/>
        <v>Dec-2024</v>
      </c>
    </row>
    <row r="4184" spans="1:10">
      <c r="A4184">
        <v>4183</v>
      </c>
      <c r="B4184">
        <v>19595</v>
      </c>
      <c r="C4184" t="s">
        <v>15</v>
      </c>
      <c r="D4184">
        <v>21371.360000000001</v>
      </c>
      <c r="E4184" t="s">
        <v>16</v>
      </c>
      <c r="F4184">
        <v>5</v>
      </c>
      <c r="G4184" t="s">
        <v>17</v>
      </c>
      <c r="H4184" s="1">
        <v>45580</v>
      </c>
      <c r="I4184" s="1">
        <v>45585</v>
      </c>
      <c r="J4184" t="str">
        <f t="shared" si="65"/>
        <v>Oct-2024</v>
      </c>
    </row>
    <row r="4185" spans="1:10">
      <c r="A4185">
        <v>4184</v>
      </c>
      <c r="B4185">
        <v>17981</v>
      </c>
      <c r="C4185" t="s">
        <v>23</v>
      </c>
      <c r="D4185">
        <v>177573.75</v>
      </c>
      <c r="E4185" t="s">
        <v>16</v>
      </c>
      <c r="F4185">
        <v>40</v>
      </c>
      <c r="G4185" t="s">
        <v>17</v>
      </c>
      <c r="H4185" s="1">
        <v>45611</v>
      </c>
      <c r="I4185" s="1">
        <v>45651</v>
      </c>
      <c r="J4185" t="str">
        <f t="shared" si="65"/>
        <v>Nov-2024</v>
      </c>
    </row>
    <row r="4186" spans="1:10">
      <c r="A4186">
        <v>4185</v>
      </c>
      <c r="B4186">
        <v>13061</v>
      </c>
      <c r="C4186" t="s">
        <v>18</v>
      </c>
      <c r="D4186">
        <v>57430.6</v>
      </c>
      <c r="E4186" t="s">
        <v>24</v>
      </c>
      <c r="G4186" t="s">
        <v>20</v>
      </c>
      <c r="H4186" s="1">
        <v>45595</v>
      </c>
      <c r="J4186" t="str">
        <f t="shared" si="65"/>
        <v>Oct-2024</v>
      </c>
    </row>
    <row r="4187" spans="1:10">
      <c r="A4187">
        <v>4186</v>
      </c>
      <c r="B4187">
        <v>13325</v>
      </c>
      <c r="C4187" t="s">
        <v>23</v>
      </c>
      <c r="D4187">
        <v>52535.05</v>
      </c>
      <c r="E4187" t="s">
        <v>16</v>
      </c>
      <c r="F4187">
        <v>4</v>
      </c>
      <c r="G4187" t="s">
        <v>20</v>
      </c>
      <c r="H4187" s="1">
        <v>45563</v>
      </c>
      <c r="I4187" s="1">
        <v>45567</v>
      </c>
      <c r="J4187" t="str">
        <f t="shared" si="65"/>
        <v>Sep-2024</v>
      </c>
    </row>
    <row r="4188" spans="1:10">
      <c r="A4188">
        <v>4187</v>
      </c>
      <c r="B4188">
        <v>11403</v>
      </c>
      <c r="C4188" t="s">
        <v>23</v>
      </c>
      <c r="D4188">
        <v>62932.74</v>
      </c>
      <c r="E4188" t="s">
        <v>16</v>
      </c>
      <c r="F4188">
        <v>26</v>
      </c>
      <c r="G4188" t="s">
        <v>25</v>
      </c>
      <c r="H4188" s="1">
        <v>45469</v>
      </c>
      <c r="I4188" s="1">
        <v>45495</v>
      </c>
      <c r="J4188" t="str">
        <f t="shared" si="65"/>
        <v>Jun-2024</v>
      </c>
    </row>
    <row r="4189" spans="1:10">
      <c r="A4189">
        <v>4188</v>
      </c>
      <c r="B4189">
        <v>13320</v>
      </c>
      <c r="C4189" t="s">
        <v>23</v>
      </c>
      <c r="D4189">
        <v>117554.44</v>
      </c>
      <c r="E4189" t="s">
        <v>19</v>
      </c>
      <c r="F4189">
        <v>25</v>
      </c>
      <c r="G4189" t="s">
        <v>20</v>
      </c>
      <c r="H4189" s="1">
        <v>45405</v>
      </c>
      <c r="I4189" s="1">
        <v>45430</v>
      </c>
      <c r="J4189" t="str">
        <f t="shared" si="65"/>
        <v>Apr-2024</v>
      </c>
    </row>
    <row r="4190" spans="1:10">
      <c r="A4190">
        <v>4189</v>
      </c>
      <c r="B4190">
        <v>17239</v>
      </c>
      <c r="C4190" t="s">
        <v>18</v>
      </c>
      <c r="D4190">
        <v>111214.18</v>
      </c>
      <c r="E4190" t="s">
        <v>16</v>
      </c>
      <c r="F4190">
        <v>10</v>
      </c>
      <c r="G4190" t="s">
        <v>20</v>
      </c>
      <c r="H4190" s="1">
        <v>45317</v>
      </c>
      <c r="I4190" s="1">
        <v>45327</v>
      </c>
      <c r="J4190" t="str">
        <f t="shared" si="65"/>
        <v>Jan-2024</v>
      </c>
    </row>
    <row r="4191" spans="1:10">
      <c r="A4191">
        <v>4190</v>
      </c>
      <c r="B4191">
        <v>16649</v>
      </c>
      <c r="C4191" t="s">
        <v>23</v>
      </c>
      <c r="D4191">
        <v>100825.68</v>
      </c>
      <c r="E4191" t="s">
        <v>16</v>
      </c>
      <c r="F4191">
        <v>9</v>
      </c>
      <c r="G4191" t="s">
        <v>20</v>
      </c>
      <c r="H4191" s="1">
        <v>45528</v>
      </c>
      <c r="I4191" s="1">
        <v>45537</v>
      </c>
      <c r="J4191" t="str">
        <f t="shared" si="65"/>
        <v>Aug-2024</v>
      </c>
    </row>
    <row r="4192" spans="1:10">
      <c r="A4192">
        <v>4191</v>
      </c>
      <c r="B4192">
        <v>17420</v>
      </c>
      <c r="C4192" t="s">
        <v>18</v>
      </c>
      <c r="D4192">
        <v>144919.69</v>
      </c>
      <c r="E4192" t="s">
        <v>16</v>
      </c>
      <c r="F4192">
        <v>40</v>
      </c>
      <c r="G4192" t="s">
        <v>20</v>
      </c>
      <c r="H4192" s="1">
        <v>45601</v>
      </c>
      <c r="I4192" s="1">
        <v>45641</v>
      </c>
      <c r="J4192" t="str">
        <f t="shared" si="65"/>
        <v>Nov-2024</v>
      </c>
    </row>
    <row r="4193" spans="1:10">
      <c r="A4193">
        <v>4192</v>
      </c>
      <c r="B4193">
        <v>17139</v>
      </c>
      <c r="C4193" t="s">
        <v>23</v>
      </c>
      <c r="D4193">
        <v>66724.86</v>
      </c>
      <c r="E4193" t="s">
        <v>16</v>
      </c>
      <c r="F4193">
        <v>32</v>
      </c>
      <c r="G4193" t="s">
        <v>21</v>
      </c>
      <c r="H4193" s="1">
        <v>45463</v>
      </c>
      <c r="I4193" s="1">
        <v>45495</v>
      </c>
      <c r="J4193" t="str">
        <f t="shared" si="65"/>
        <v>Jun-2024</v>
      </c>
    </row>
    <row r="4194" spans="1:10">
      <c r="A4194">
        <v>4193</v>
      </c>
      <c r="B4194">
        <v>10869</v>
      </c>
      <c r="C4194" t="s">
        <v>18</v>
      </c>
      <c r="D4194">
        <v>157502.57999999999</v>
      </c>
      <c r="E4194" t="s">
        <v>19</v>
      </c>
      <c r="F4194">
        <v>18</v>
      </c>
      <c r="G4194" t="s">
        <v>20</v>
      </c>
      <c r="H4194" s="1">
        <v>45524</v>
      </c>
      <c r="I4194" s="1">
        <v>45542</v>
      </c>
      <c r="J4194" t="str">
        <f t="shared" si="65"/>
        <v>Aug-2024</v>
      </c>
    </row>
    <row r="4195" spans="1:10">
      <c r="A4195">
        <v>4194</v>
      </c>
      <c r="B4195">
        <v>16442</v>
      </c>
      <c r="C4195" t="s">
        <v>15</v>
      </c>
      <c r="D4195">
        <v>39187.730000000003</v>
      </c>
      <c r="E4195" t="s">
        <v>24</v>
      </c>
      <c r="G4195" t="s">
        <v>21</v>
      </c>
      <c r="H4195" s="1">
        <v>45328</v>
      </c>
      <c r="J4195" t="str">
        <f t="shared" si="65"/>
        <v>Feb-2024</v>
      </c>
    </row>
    <row r="4196" spans="1:10">
      <c r="A4196">
        <v>4195</v>
      </c>
      <c r="B4196">
        <v>19275</v>
      </c>
      <c r="C4196" t="s">
        <v>18</v>
      </c>
      <c r="D4196">
        <v>157611.04999999999</v>
      </c>
      <c r="E4196" t="s">
        <v>16</v>
      </c>
      <c r="F4196">
        <v>32</v>
      </c>
      <c r="G4196" t="s">
        <v>21</v>
      </c>
      <c r="H4196" s="1">
        <v>45556</v>
      </c>
      <c r="I4196" s="1">
        <v>45588</v>
      </c>
      <c r="J4196" t="str">
        <f t="shared" si="65"/>
        <v>Sep-2024</v>
      </c>
    </row>
    <row r="4197" spans="1:10">
      <c r="A4197">
        <v>4196</v>
      </c>
      <c r="B4197">
        <v>10973</v>
      </c>
      <c r="C4197" t="s">
        <v>18</v>
      </c>
      <c r="D4197">
        <v>134442.97</v>
      </c>
      <c r="E4197" t="s">
        <v>16</v>
      </c>
      <c r="F4197">
        <v>5</v>
      </c>
      <c r="G4197" t="s">
        <v>20</v>
      </c>
      <c r="H4197" s="1">
        <v>45304</v>
      </c>
      <c r="I4197" s="1">
        <v>45309</v>
      </c>
      <c r="J4197" t="str">
        <f t="shared" si="65"/>
        <v>Jan-2024</v>
      </c>
    </row>
    <row r="4198" spans="1:10">
      <c r="A4198">
        <v>4197</v>
      </c>
      <c r="B4198">
        <v>19417</v>
      </c>
      <c r="C4198" t="s">
        <v>18</v>
      </c>
      <c r="D4198">
        <v>138225.62</v>
      </c>
      <c r="E4198" t="s">
        <v>16</v>
      </c>
      <c r="F4198">
        <v>5</v>
      </c>
      <c r="G4198" t="s">
        <v>17</v>
      </c>
      <c r="H4198" s="1">
        <v>45607</v>
      </c>
      <c r="I4198" s="1">
        <v>45612</v>
      </c>
      <c r="J4198" t="str">
        <f t="shared" si="65"/>
        <v>Nov-2024</v>
      </c>
    </row>
    <row r="4199" spans="1:10">
      <c r="A4199">
        <v>4198</v>
      </c>
      <c r="B4199">
        <v>19994</v>
      </c>
      <c r="C4199" t="s">
        <v>23</v>
      </c>
      <c r="D4199">
        <v>98902.91</v>
      </c>
      <c r="E4199" t="s">
        <v>24</v>
      </c>
      <c r="G4199" t="s">
        <v>21</v>
      </c>
      <c r="H4199" s="1">
        <v>45397</v>
      </c>
      <c r="J4199" t="str">
        <f t="shared" si="65"/>
        <v>Apr-2024</v>
      </c>
    </row>
    <row r="4200" spans="1:10">
      <c r="A4200">
        <v>4199</v>
      </c>
      <c r="B4200">
        <v>11188</v>
      </c>
      <c r="C4200" t="s">
        <v>15</v>
      </c>
      <c r="D4200">
        <v>135065.29999999999</v>
      </c>
      <c r="E4200" t="s">
        <v>24</v>
      </c>
      <c r="G4200" t="s">
        <v>17</v>
      </c>
      <c r="H4200" s="1">
        <v>45417</v>
      </c>
      <c r="J4200" t="str">
        <f t="shared" si="65"/>
        <v>May-2024</v>
      </c>
    </row>
    <row r="4201" spans="1:10">
      <c r="A4201">
        <v>4200</v>
      </c>
      <c r="B4201">
        <v>15147</v>
      </c>
      <c r="C4201" t="s">
        <v>23</v>
      </c>
      <c r="D4201">
        <v>20560.419999999998</v>
      </c>
      <c r="E4201" t="s">
        <v>16</v>
      </c>
      <c r="F4201">
        <v>43</v>
      </c>
      <c r="G4201" t="s">
        <v>17</v>
      </c>
      <c r="H4201" s="1">
        <v>45627</v>
      </c>
      <c r="I4201" s="1">
        <v>45670</v>
      </c>
      <c r="J4201" t="str">
        <f t="shared" si="65"/>
        <v>Dec-2024</v>
      </c>
    </row>
    <row r="4202" spans="1:10">
      <c r="A4202">
        <v>4201</v>
      </c>
      <c r="B4202">
        <v>13443</v>
      </c>
      <c r="C4202" t="s">
        <v>18</v>
      </c>
      <c r="D4202">
        <v>171052.47</v>
      </c>
      <c r="E4202" t="s">
        <v>16</v>
      </c>
      <c r="F4202">
        <v>7</v>
      </c>
      <c r="G4202" t="s">
        <v>20</v>
      </c>
      <c r="H4202" s="1">
        <v>45421</v>
      </c>
      <c r="I4202" s="1">
        <v>45428</v>
      </c>
      <c r="J4202" t="str">
        <f t="shared" si="65"/>
        <v>May-2024</v>
      </c>
    </row>
    <row r="4203" spans="1:10">
      <c r="A4203">
        <v>4202</v>
      </c>
      <c r="B4203">
        <v>15684</v>
      </c>
      <c r="C4203" t="s">
        <v>18</v>
      </c>
      <c r="D4203">
        <v>15831.71</v>
      </c>
      <c r="E4203" t="s">
        <v>16</v>
      </c>
      <c r="F4203">
        <v>10</v>
      </c>
      <c r="G4203" t="s">
        <v>25</v>
      </c>
      <c r="H4203" s="1">
        <v>45607</v>
      </c>
      <c r="I4203" s="1">
        <v>45617</v>
      </c>
      <c r="J4203" t="str">
        <f t="shared" si="65"/>
        <v>Nov-2024</v>
      </c>
    </row>
    <row r="4204" spans="1:10">
      <c r="A4204">
        <v>4203</v>
      </c>
      <c r="B4204">
        <v>11321</v>
      </c>
      <c r="C4204" t="s">
        <v>23</v>
      </c>
      <c r="D4204">
        <v>34004.589999999997</v>
      </c>
      <c r="E4204" t="s">
        <v>16</v>
      </c>
      <c r="F4204">
        <v>43</v>
      </c>
      <c r="G4204" t="s">
        <v>20</v>
      </c>
      <c r="H4204" s="1">
        <v>45547</v>
      </c>
      <c r="I4204" s="1">
        <v>45590</v>
      </c>
      <c r="J4204" t="str">
        <f t="shared" si="65"/>
        <v>Sep-2024</v>
      </c>
    </row>
    <row r="4205" spans="1:10">
      <c r="A4205">
        <v>4204</v>
      </c>
      <c r="B4205">
        <v>12023</v>
      </c>
      <c r="C4205" t="s">
        <v>23</v>
      </c>
      <c r="D4205">
        <v>117473.99</v>
      </c>
      <c r="E4205" t="s">
        <v>16</v>
      </c>
      <c r="F4205">
        <v>9</v>
      </c>
      <c r="G4205" t="s">
        <v>25</v>
      </c>
      <c r="H4205" s="1">
        <v>45406</v>
      </c>
      <c r="I4205" s="1">
        <v>45415</v>
      </c>
      <c r="J4205" t="str">
        <f t="shared" si="65"/>
        <v>Apr-2024</v>
      </c>
    </row>
    <row r="4206" spans="1:10">
      <c r="A4206">
        <v>4205</v>
      </c>
      <c r="B4206">
        <v>16740</v>
      </c>
      <c r="C4206" t="s">
        <v>23</v>
      </c>
      <c r="D4206">
        <v>149185.23000000001</v>
      </c>
      <c r="E4206" t="s">
        <v>16</v>
      </c>
      <c r="F4206">
        <v>33</v>
      </c>
      <c r="G4206" t="s">
        <v>25</v>
      </c>
      <c r="H4206" s="1">
        <v>45590</v>
      </c>
      <c r="I4206" s="1">
        <v>45623</v>
      </c>
      <c r="J4206" t="str">
        <f t="shared" si="65"/>
        <v>Oct-2024</v>
      </c>
    </row>
    <row r="4207" spans="1:10">
      <c r="A4207">
        <v>4206</v>
      </c>
      <c r="B4207">
        <v>15468</v>
      </c>
      <c r="C4207" t="s">
        <v>15</v>
      </c>
      <c r="D4207">
        <v>19869.060000000001</v>
      </c>
      <c r="E4207" t="s">
        <v>16</v>
      </c>
      <c r="F4207">
        <v>16</v>
      </c>
      <c r="G4207" t="s">
        <v>20</v>
      </c>
      <c r="H4207" s="1">
        <v>45415</v>
      </c>
      <c r="I4207" s="1">
        <v>45431</v>
      </c>
      <c r="J4207" t="str">
        <f t="shared" si="65"/>
        <v>May-2024</v>
      </c>
    </row>
    <row r="4208" spans="1:10">
      <c r="A4208">
        <v>4207</v>
      </c>
      <c r="B4208">
        <v>10438</v>
      </c>
      <c r="C4208" t="s">
        <v>22</v>
      </c>
      <c r="D4208">
        <v>184549.14</v>
      </c>
      <c r="E4208" t="s">
        <v>24</v>
      </c>
      <c r="G4208" t="s">
        <v>20</v>
      </c>
      <c r="H4208" s="1">
        <v>45547</v>
      </c>
      <c r="J4208" t="str">
        <f t="shared" si="65"/>
        <v>Sep-2024</v>
      </c>
    </row>
    <row r="4209" spans="1:10">
      <c r="A4209">
        <v>4208</v>
      </c>
      <c r="B4209">
        <v>10164</v>
      </c>
      <c r="C4209" t="s">
        <v>18</v>
      </c>
      <c r="D4209">
        <v>194853.49</v>
      </c>
      <c r="E4209" t="s">
        <v>24</v>
      </c>
      <c r="G4209" t="s">
        <v>25</v>
      </c>
      <c r="H4209" s="1">
        <v>45430</v>
      </c>
      <c r="J4209" t="str">
        <f t="shared" si="65"/>
        <v>May-2024</v>
      </c>
    </row>
    <row r="4210" spans="1:10">
      <c r="A4210">
        <v>4209</v>
      </c>
      <c r="B4210">
        <v>15678</v>
      </c>
      <c r="C4210" t="s">
        <v>18</v>
      </c>
      <c r="D4210">
        <v>123160.28</v>
      </c>
      <c r="E4210" t="s">
        <v>16</v>
      </c>
      <c r="F4210">
        <v>6</v>
      </c>
      <c r="G4210" t="s">
        <v>20</v>
      </c>
      <c r="H4210" s="1">
        <v>45497</v>
      </c>
      <c r="I4210" s="1">
        <v>45503</v>
      </c>
      <c r="J4210" t="str">
        <f t="shared" si="65"/>
        <v>Jul-2024</v>
      </c>
    </row>
    <row r="4211" spans="1:10">
      <c r="A4211">
        <v>4210</v>
      </c>
      <c r="B4211">
        <v>17835</v>
      </c>
      <c r="C4211" t="s">
        <v>22</v>
      </c>
      <c r="D4211">
        <v>98842.47</v>
      </c>
      <c r="E4211" t="s">
        <v>16</v>
      </c>
      <c r="F4211">
        <v>28</v>
      </c>
      <c r="G4211" t="s">
        <v>25</v>
      </c>
      <c r="H4211" s="1">
        <v>45338</v>
      </c>
      <c r="I4211" s="1">
        <v>45366</v>
      </c>
      <c r="J4211" t="str">
        <f t="shared" si="65"/>
        <v>Feb-2024</v>
      </c>
    </row>
    <row r="4212" spans="1:10">
      <c r="A4212">
        <v>4211</v>
      </c>
      <c r="B4212">
        <v>13337</v>
      </c>
      <c r="C4212" t="s">
        <v>23</v>
      </c>
      <c r="D4212">
        <v>149572.01999999999</v>
      </c>
      <c r="E4212" t="s">
        <v>19</v>
      </c>
      <c r="F4212">
        <v>34</v>
      </c>
      <c r="G4212" t="s">
        <v>17</v>
      </c>
      <c r="H4212" s="1">
        <v>45508</v>
      </c>
      <c r="I4212" s="1">
        <v>45542</v>
      </c>
      <c r="J4212" t="str">
        <f t="shared" si="65"/>
        <v>Aug-2024</v>
      </c>
    </row>
    <row r="4213" spans="1:10">
      <c r="A4213">
        <v>4212</v>
      </c>
      <c r="B4213">
        <v>13350</v>
      </c>
      <c r="C4213" t="s">
        <v>23</v>
      </c>
      <c r="D4213">
        <v>69029.679999999993</v>
      </c>
      <c r="E4213" t="s">
        <v>16</v>
      </c>
      <c r="F4213">
        <v>3</v>
      </c>
      <c r="G4213" t="s">
        <v>20</v>
      </c>
      <c r="H4213" s="1">
        <v>45610</v>
      </c>
      <c r="I4213" s="1">
        <v>45613</v>
      </c>
      <c r="J4213" t="str">
        <f t="shared" si="65"/>
        <v>Nov-2024</v>
      </c>
    </row>
    <row r="4214" spans="1:10">
      <c r="A4214">
        <v>4213</v>
      </c>
      <c r="B4214">
        <v>10987</v>
      </c>
      <c r="C4214" t="s">
        <v>18</v>
      </c>
      <c r="D4214">
        <v>101186.56</v>
      </c>
      <c r="E4214" t="s">
        <v>16</v>
      </c>
      <c r="F4214">
        <v>43</v>
      </c>
      <c r="G4214" t="s">
        <v>17</v>
      </c>
      <c r="H4214" s="1">
        <v>45641</v>
      </c>
      <c r="I4214" s="1">
        <v>45684</v>
      </c>
      <c r="J4214" t="str">
        <f t="shared" si="65"/>
        <v>Dec-2024</v>
      </c>
    </row>
    <row r="4215" spans="1:10">
      <c r="A4215">
        <v>4214</v>
      </c>
      <c r="B4215">
        <v>12529</v>
      </c>
      <c r="C4215" t="s">
        <v>15</v>
      </c>
      <c r="D4215">
        <v>183649.45</v>
      </c>
      <c r="E4215" t="s">
        <v>16</v>
      </c>
      <c r="F4215">
        <v>39</v>
      </c>
      <c r="G4215" t="s">
        <v>21</v>
      </c>
      <c r="H4215" s="1">
        <v>45414</v>
      </c>
      <c r="I4215" s="1">
        <v>45453</v>
      </c>
      <c r="J4215" t="str">
        <f t="shared" si="65"/>
        <v>May-2024</v>
      </c>
    </row>
    <row r="4216" spans="1:10">
      <c r="A4216">
        <v>4215</v>
      </c>
      <c r="B4216">
        <v>14612</v>
      </c>
      <c r="C4216" t="s">
        <v>15</v>
      </c>
      <c r="D4216">
        <v>191352.81</v>
      </c>
      <c r="E4216" t="s">
        <v>16</v>
      </c>
      <c r="F4216">
        <v>29</v>
      </c>
      <c r="G4216" t="s">
        <v>17</v>
      </c>
      <c r="H4216" s="1">
        <v>45322</v>
      </c>
      <c r="I4216" s="1">
        <v>45351</v>
      </c>
      <c r="J4216" t="str">
        <f t="shared" si="65"/>
        <v>Jan-2024</v>
      </c>
    </row>
    <row r="4217" spans="1:10">
      <c r="A4217">
        <v>4216</v>
      </c>
      <c r="B4217">
        <v>13845</v>
      </c>
      <c r="C4217" t="s">
        <v>23</v>
      </c>
      <c r="D4217">
        <v>185778.48</v>
      </c>
      <c r="E4217" t="s">
        <v>16</v>
      </c>
      <c r="F4217">
        <v>25</v>
      </c>
      <c r="G4217" t="s">
        <v>17</v>
      </c>
      <c r="H4217" s="1">
        <v>45346</v>
      </c>
      <c r="I4217" s="1">
        <v>45371</v>
      </c>
      <c r="J4217" t="str">
        <f t="shared" si="65"/>
        <v>Feb-2024</v>
      </c>
    </row>
    <row r="4218" spans="1:10">
      <c r="A4218">
        <v>4217</v>
      </c>
      <c r="B4218">
        <v>15756</v>
      </c>
      <c r="C4218" t="s">
        <v>23</v>
      </c>
      <c r="D4218">
        <v>56177.37</v>
      </c>
      <c r="E4218" t="s">
        <v>16</v>
      </c>
      <c r="F4218">
        <v>22</v>
      </c>
      <c r="G4218" t="s">
        <v>25</v>
      </c>
      <c r="H4218" s="1">
        <v>45444</v>
      </c>
      <c r="I4218" s="1">
        <v>45466</v>
      </c>
      <c r="J4218" t="str">
        <f t="shared" si="65"/>
        <v>Jun-2024</v>
      </c>
    </row>
    <row r="4219" spans="1:10">
      <c r="A4219">
        <v>4218</v>
      </c>
      <c r="B4219">
        <v>18105</v>
      </c>
      <c r="C4219" t="s">
        <v>23</v>
      </c>
      <c r="D4219">
        <v>50331.46</v>
      </c>
      <c r="E4219" t="s">
        <v>16</v>
      </c>
      <c r="F4219">
        <v>32</v>
      </c>
      <c r="G4219" t="s">
        <v>17</v>
      </c>
      <c r="H4219" s="1">
        <v>45577</v>
      </c>
      <c r="I4219" s="1">
        <v>45609</v>
      </c>
      <c r="J4219" t="str">
        <f t="shared" si="65"/>
        <v>Oct-2024</v>
      </c>
    </row>
    <row r="4220" spans="1:10">
      <c r="A4220">
        <v>4219</v>
      </c>
      <c r="B4220">
        <v>11326</v>
      </c>
      <c r="C4220" t="s">
        <v>23</v>
      </c>
      <c r="D4220">
        <v>63044.58</v>
      </c>
      <c r="E4220" t="s">
        <v>16</v>
      </c>
      <c r="F4220">
        <v>12</v>
      </c>
      <c r="G4220" t="s">
        <v>20</v>
      </c>
      <c r="H4220" s="1">
        <v>45327</v>
      </c>
      <c r="I4220" s="1">
        <v>45339</v>
      </c>
      <c r="J4220" t="str">
        <f t="shared" si="65"/>
        <v>Feb-2024</v>
      </c>
    </row>
    <row r="4221" spans="1:10">
      <c r="A4221">
        <v>4220</v>
      </c>
      <c r="B4221">
        <v>18219</v>
      </c>
      <c r="C4221" t="s">
        <v>23</v>
      </c>
      <c r="D4221">
        <v>91055.67</v>
      </c>
      <c r="E4221" t="s">
        <v>16</v>
      </c>
      <c r="F4221">
        <v>29</v>
      </c>
      <c r="G4221" t="s">
        <v>25</v>
      </c>
      <c r="H4221" s="1">
        <v>45597</v>
      </c>
      <c r="I4221" s="1">
        <v>45626</v>
      </c>
      <c r="J4221" t="str">
        <f t="shared" si="65"/>
        <v>Nov-2024</v>
      </c>
    </row>
    <row r="4222" spans="1:10">
      <c r="A4222">
        <v>4221</v>
      </c>
      <c r="B4222">
        <v>16924</v>
      </c>
      <c r="C4222" t="s">
        <v>18</v>
      </c>
      <c r="D4222">
        <v>66262.649999999994</v>
      </c>
      <c r="E4222" t="s">
        <v>16</v>
      </c>
      <c r="F4222">
        <v>41</v>
      </c>
      <c r="G4222" t="s">
        <v>21</v>
      </c>
      <c r="H4222" s="1">
        <v>45576</v>
      </c>
      <c r="I4222" s="1">
        <v>45617</v>
      </c>
      <c r="J4222" t="str">
        <f t="shared" si="65"/>
        <v>Oct-2024</v>
      </c>
    </row>
    <row r="4223" spans="1:10">
      <c r="A4223">
        <v>4222</v>
      </c>
      <c r="B4223">
        <v>14593</v>
      </c>
      <c r="C4223" t="s">
        <v>23</v>
      </c>
      <c r="D4223">
        <v>77971.5</v>
      </c>
      <c r="E4223" t="s">
        <v>19</v>
      </c>
      <c r="F4223">
        <v>5</v>
      </c>
      <c r="G4223" t="s">
        <v>20</v>
      </c>
      <c r="H4223" s="1">
        <v>45547</v>
      </c>
      <c r="I4223" s="1">
        <v>45552</v>
      </c>
      <c r="J4223" t="str">
        <f t="shared" si="65"/>
        <v>Sep-2024</v>
      </c>
    </row>
    <row r="4224" spans="1:10">
      <c r="A4224">
        <v>4223</v>
      </c>
      <c r="B4224">
        <v>16662</v>
      </c>
      <c r="C4224" t="s">
        <v>15</v>
      </c>
      <c r="D4224">
        <v>126024.21</v>
      </c>
      <c r="E4224" t="s">
        <v>16</v>
      </c>
      <c r="F4224">
        <v>44</v>
      </c>
      <c r="G4224" t="s">
        <v>21</v>
      </c>
      <c r="H4224" s="1">
        <v>45469</v>
      </c>
      <c r="I4224" s="1">
        <v>45513</v>
      </c>
      <c r="J4224" t="str">
        <f t="shared" si="65"/>
        <v>Jun-2024</v>
      </c>
    </row>
    <row r="4225" spans="1:10">
      <c r="A4225">
        <v>4224</v>
      </c>
      <c r="B4225">
        <v>10193</v>
      </c>
      <c r="C4225" t="s">
        <v>23</v>
      </c>
      <c r="D4225">
        <v>153692.51</v>
      </c>
      <c r="E4225" t="s">
        <v>16</v>
      </c>
      <c r="F4225">
        <v>43</v>
      </c>
      <c r="G4225" t="s">
        <v>17</v>
      </c>
      <c r="H4225" s="1">
        <v>45327</v>
      </c>
      <c r="I4225" s="1">
        <v>45370</v>
      </c>
      <c r="J4225" t="str">
        <f t="shared" si="65"/>
        <v>Feb-2024</v>
      </c>
    </row>
    <row r="4226" spans="1:10">
      <c r="A4226">
        <v>4225</v>
      </c>
      <c r="B4226">
        <v>18783</v>
      </c>
      <c r="C4226" t="s">
        <v>18</v>
      </c>
      <c r="D4226">
        <v>148433.85</v>
      </c>
      <c r="E4226" t="s">
        <v>16</v>
      </c>
      <c r="F4226">
        <v>17</v>
      </c>
      <c r="G4226" t="s">
        <v>20</v>
      </c>
      <c r="H4226" s="1">
        <v>45545</v>
      </c>
      <c r="I4226" s="1">
        <v>45562</v>
      </c>
      <c r="J4226" t="str">
        <f t="shared" si="65"/>
        <v>Sep-2024</v>
      </c>
    </row>
    <row r="4227" spans="1:10">
      <c r="A4227">
        <v>4226</v>
      </c>
      <c r="B4227">
        <v>12489</v>
      </c>
      <c r="C4227" t="s">
        <v>23</v>
      </c>
      <c r="D4227">
        <v>163812.6</v>
      </c>
      <c r="E4227" t="s">
        <v>16</v>
      </c>
      <c r="F4227">
        <v>13</v>
      </c>
      <c r="G4227" t="s">
        <v>20</v>
      </c>
      <c r="H4227" s="1">
        <v>45453</v>
      </c>
      <c r="I4227" s="1">
        <v>45466</v>
      </c>
      <c r="J4227" t="str">
        <f t="shared" ref="J4227:J4290" si="66">TEXT(H4227,"mmm-yyyy")</f>
        <v>Jun-2024</v>
      </c>
    </row>
    <row r="4228" spans="1:10">
      <c r="A4228">
        <v>4227</v>
      </c>
      <c r="B4228">
        <v>16401</v>
      </c>
      <c r="C4228" t="s">
        <v>23</v>
      </c>
      <c r="D4228">
        <v>11275.96</v>
      </c>
      <c r="E4228" t="s">
        <v>16</v>
      </c>
      <c r="F4228">
        <v>23</v>
      </c>
      <c r="G4228" t="s">
        <v>21</v>
      </c>
      <c r="H4228" s="1">
        <v>45312</v>
      </c>
      <c r="I4228" s="1">
        <v>45335</v>
      </c>
      <c r="J4228" t="str">
        <f t="shared" si="66"/>
        <v>Jan-2024</v>
      </c>
    </row>
    <row r="4229" spans="1:10">
      <c r="A4229">
        <v>4228</v>
      </c>
      <c r="B4229">
        <v>18304</v>
      </c>
      <c r="C4229" t="s">
        <v>23</v>
      </c>
      <c r="D4229">
        <v>14308.09</v>
      </c>
      <c r="E4229" t="s">
        <v>19</v>
      </c>
      <c r="F4229">
        <v>36</v>
      </c>
      <c r="G4229" t="s">
        <v>20</v>
      </c>
      <c r="H4229" s="1">
        <v>45585</v>
      </c>
      <c r="I4229" s="1">
        <v>45621</v>
      </c>
      <c r="J4229" t="str">
        <f t="shared" si="66"/>
        <v>Oct-2024</v>
      </c>
    </row>
    <row r="4230" spans="1:10">
      <c r="A4230">
        <v>4229</v>
      </c>
      <c r="B4230">
        <v>19509</v>
      </c>
      <c r="C4230" t="s">
        <v>22</v>
      </c>
      <c r="D4230">
        <v>158929.68</v>
      </c>
      <c r="E4230" t="s">
        <v>16</v>
      </c>
      <c r="F4230">
        <v>44</v>
      </c>
      <c r="G4230" t="s">
        <v>20</v>
      </c>
      <c r="H4230" s="1">
        <v>45366</v>
      </c>
      <c r="I4230" s="1">
        <v>45410</v>
      </c>
      <c r="J4230" t="str">
        <f t="shared" si="66"/>
        <v>Mar-2024</v>
      </c>
    </row>
    <row r="4231" spans="1:10">
      <c r="A4231">
        <v>4230</v>
      </c>
      <c r="B4231">
        <v>11737</v>
      </c>
      <c r="C4231" t="s">
        <v>15</v>
      </c>
      <c r="D4231">
        <v>108950.37</v>
      </c>
      <c r="E4231" t="s">
        <v>16</v>
      </c>
      <c r="F4231">
        <v>17</v>
      </c>
      <c r="G4231" t="s">
        <v>20</v>
      </c>
      <c r="H4231" s="1">
        <v>45498</v>
      </c>
      <c r="I4231" s="1">
        <v>45515</v>
      </c>
      <c r="J4231" t="str">
        <f t="shared" si="66"/>
        <v>Jul-2024</v>
      </c>
    </row>
    <row r="4232" spans="1:10">
      <c r="A4232">
        <v>4231</v>
      </c>
      <c r="B4232">
        <v>12061</v>
      </c>
      <c r="C4232" t="s">
        <v>23</v>
      </c>
      <c r="D4232">
        <v>117737.43</v>
      </c>
      <c r="E4232" t="s">
        <v>19</v>
      </c>
      <c r="F4232">
        <v>25</v>
      </c>
      <c r="G4232" t="s">
        <v>17</v>
      </c>
      <c r="H4232" s="1">
        <v>45469</v>
      </c>
      <c r="I4232" s="1">
        <v>45494</v>
      </c>
      <c r="J4232" t="str">
        <f t="shared" si="66"/>
        <v>Jun-2024</v>
      </c>
    </row>
    <row r="4233" spans="1:10">
      <c r="A4233">
        <v>4232</v>
      </c>
      <c r="B4233">
        <v>19882</v>
      </c>
      <c r="C4233" t="s">
        <v>23</v>
      </c>
      <c r="D4233">
        <v>15254.44</v>
      </c>
      <c r="E4233" t="s">
        <v>16</v>
      </c>
      <c r="F4233">
        <v>36</v>
      </c>
      <c r="G4233" t="s">
        <v>21</v>
      </c>
      <c r="H4233" s="1">
        <v>45328</v>
      </c>
      <c r="I4233" s="1">
        <v>45364</v>
      </c>
      <c r="J4233" t="str">
        <f t="shared" si="66"/>
        <v>Feb-2024</v>
      </c>
    </row>
    <row r="4234" spans="1:10">
      <c r="A4234">
        <v>4233</v>
      </c>
      <c r="B4234">
        <v>16283</v>
      </c>
      <c r="C4234" t="s">
        <v>22</v>
      </c>
      <c r="D4234">
        <v>54786.19</v>
      </c>
      <c r="E4234" t="s">
        <v>16</v>
      </c>
      <c r="F4234">
        <v>29</v>
      </c>
      <c r="G4234" t="s">
        <v>20</v>
      </c>
      <c r="H4234" s="1">
        <v>45411</v>
      </c>
      <c r="I4234" s="1">
        <v>45440</v>
      </c>
      <c r="J4234" t="str">
        <f t="shared" si="66"/>
        <v>Apr-2024</v>
      </c>
    </row>
    <row r="4235" spans="1:10">
      <c r="A4235">
        <v>4234</v>
      </c>
      <c r="B4235">
        <v>19586</v>
      </c>
      <c r="C4235" t="s">
        <v>23</v>
      </c>
      <c r="D4235">
        <v>129479.09</v>
      </c>
      <c r="E4235" t="s">
        <v>16</v>
      </c>
      <c r="F4235">
        <v>43</v>
      </c>
      <c r="G4235" t="s">
        <v>25</v>
      </c>
      <c r="H4235" s="1">
        <v>45409</v>
      </c>
      <c r="I4235" s="1">
        <v>45452</v>
      </c>
      <c r="J4235" t="str">
        <f t="shared" si="66"/>
        <v>Apr-2024</v>
      </c>
    </row>
    <row r="4236" spans="1:10">
      <c r="A4236">
        <v>4235</v>
      </c>
      <c r="B4236">
        <v>16840</v>
      </c>
      <c r="C4236" t="s">
        <v>23</v>
      </c>
      <c r="D4236">
        <v>172540.47</v>
      </c>
      <c r="E4236" t="s">
        <v>16</v>
      </c>
      <c r="F4236">
        <v>30</v>
      </c>
      <c r="G4236" t="s">
        <v>25</v>
      </c>
      <c r="H4236" s="1">
        <v>45292</v>
      </c>
      <c r="I4236" s="1">
        <v>45322</v>
      </c>
      <c r="J4236" t="str">
        <f t="shared" si="66"/>
        <v>Jan-2024</v>
      </c>
    </row>
    <row r="4237" spans="1:10">
      <c r="A4237">
        <v>4236</v>
      </c>
      <c r="B4237">
        <v>13559</v>
      </c>
      <c r="C4237" t="s">
        <v>18</v>
      </c>
      <c r="D4237">
        <v>183811.76</v>
      </c>
      <c r="E4237" t="s">
        <v>19</v>
      </c>
      <c r="F4237">
        <v>22</v>
      </c>
      <c r="G4237" t="s">
        <v>25</v>
      </c>
      <c r="H4237" s="1">
        <v>45500</v>
      </c>
      <c r="I4237" s="1">
        <v>45522</v>
      </c>
      <c r="J4237" t="str">
        <f t="shared" si="66"/>
        <v>Jul-2024</v>
      </c>
    </row>
    <row r="4238" spans="1:10">
      <c r="A4238">
        <v>4237</v>
      </c>
      <c r="B4238">
        <v>15461</v>
      </c>
      <c r="C4238" t="s">
        <v>22</v>
      </c>
      <c r="D4238">
        <v>102581.8</v>
      </c>
      <c r="E4238" t="s">
        <v>16</v>
      </c>
      <c r="F4238">
        <v>26</v>
      </c>
      <c r="G4238" t="s">
        <v>25</v>
      </c>
      <c r="H4238" s="1">
        <v>45602</v>
      </c>
      <c r="I4238" s="1">
        <v>45628</v>
      </c>
      <c r="J4238" t="str">
        <f t="shared" si="66"/>
        <v>Nov-2024</v>
      </c>
    </row>
    <row r="4239" spans="1:10">
      <c r="A4239">
        <v>4238</v>
      </c>
      <c r="B4239">
        <v>17599</v>
      </c>
      <c r="C4239" t="s">
        <v>23</v>
      </c>
      <c r="D4239">
        <v>111367.48</v>
      </c>
      <c r="E4239" t="s">
        <v>16</v>
      </c>
      <c r="F4239">
        <v>40</v>
      </c>
      <c r="G4239" t="s">
        <v>17</v>
      </c>
      <c r="H4239" s="1">
        <v>45499</v>
      </c>
      <c r="I4239" s="1">
        <v>45539</v>
      </c>
      <c r="J4239" t="str">
        <f t="shared" si="66"/>
        <v>Jul-2024</v>
      </c>
    </row>
    <row r="4240" spans="1:10">
      <c r="A4240">
        <v>4239</v>
      </c>
      <c r="B4240">
        <v>13883</v>
      </c>
      <c r="C4240" t="s">
        <v>23</v>
      </c>
      <c r="D4240">
        <v>167444.68</v>
      </c>
      <c r="E4240" t="s">
        <v>19</v>
      </c>
      <c r="F4240">
        <v>32</v>
      </c>
      <c r="G4240" t="s">
        <v>20</v>
      </c>
      <c r="H4240" s="1">
        <v>45445</v>
      </c>
      <c r="I4240" s="1">
        <v>45477</v>
      </c>
      <c r="J4240" t="str">
        <f t="shared" si="66"/>
        <v>Jun-2024</v>
      </c>
    </row>
    <row r="4241" spans="1:10">
      <c r="A4241">
        <v>4240</v>
      </c>
      <c r="B4241">
        <v>13251</v>
      </c>
      <c r="C4241" t="s">
        <v>22</v>
      </c>
      <c r="D4241">
        <v>109836.8</v>
      </c>
      <c r="E4241" t="s">
        <v>16</v>
      </c>
      <c r="F4241">
        <v>16</v>
      </c>
      <c r="G4241" t="s">
        <v>21</v>
      </c>
      <c r="H4241" s="1">
        <v>45541</v>
      </c>
      <c r="I4241" s="1">
        <v>45557</v>
      </c>
      <c r="J4241" t="str">
        <f t="shared" si="66"/>
        <v>Sep-2024</v>
      </c>
    </row>
    <row r="4242" spans="1:10">
      <c r="A4242">
        <v>4241</v>
      </c>
      <c r="B4242">
        <v>15053</v>
      </c>
      <c r="C4242" t="s">
        <v>23</v>
      </c>
      <c r="D4242">
        <v>105787.41</v>
      </c>
      <c r="E4242" t="s">
        <v>16</v>
      </c>
      <c r="F4242">
        <v>43</v>
      </c>
      <c r="G4242" t="s">
        <v>20</v>
      </c>
      <c r="H4242" s="1">
        <v>45462</v>
      </c>
      <c r="I4242" s="1">
        <v>45505</v>
      </c>
      <c r="J4242" t="str">
        <f t="shared" si="66"/>
        <v>Jun-2024</v>
      </c>
    </row>
    <row r="4243" spans="1:10">
      <c r="A4243">
        <v>4242</v>
      </c>
      <c r="B4243">
        <v>13014</v>
      </c>
      <c r="C4243" t="s">
        <v>23</v>
      </c>
      <c r="D4243">
        <v>181491.39</v>
      </c>
      <c r="E4243" t="s">
        <v>16</v>
      </c>
      <c r="F4243">
        <v>36</v>
      </c>
      <c r="G4243" t="s">
        <v>17</v>
      </c>
      <c r="H4243" s="1">
        <v>45606</v>
      </c>
      <c r="I4243" s="1">
        <v>45642</v>
      </c>
      <c r="J4243" t="str">
        <f t="shared" si="66"/>
        <v>Nov-2024</v>
      </c>
    </row>
    <row r="4244" spans="1:10">
      <c r="A4244">
        <v>4243</v>
      </c>
      <c r="B4244">
        <v>11128</v>
      </c>
      <c r="C4244" t="s">
        <v>18</v>
      </c>
      <c r="D4244">
        <v>159036.88</v>
      </c>
      <c r="E4244" t="s">
        <v>16</v>
      </c>
      <c r="F4244">
        <v>39</v>
      </c>
      <c r="G4244" t="s">
        <v>25</v>
      </c>
      <c r="H4244" s="1">
        <v>45598</v>
      </c>
      <c r="I4244" s="1">
        <v>45637</v>
      </c>
      <c r="J4244" t="str">
        <f t="shared" si="66"/>
        <v>Nov-2024</v>
      </c>
    </row>
    <row r="4245" spans="1:10">
      <c r="A4245">
        <v>4244</v>
      </c>
      <c r="B4245">
        <v>16865</v>
      </c>
      <c r="C4245" t="s">
        <v>15</v>
      </c>
      <c r="D4245">
        <v>182269.14</v>
      </c>
      <c r="E4245" t="s">
        <v>24</v>
      </c>
      <c r="G4245" t="s">
        <v>17</v>
      </c>
      <c r="H4245" s="1">
        <v>45398</v>
      </c>
      <c r="J4245" t="str">
        <f t="shared" si="66"/>
        <v>Apr-2024</v>
      </c>
    </row>
    <row r="4246" spans="1:10">
      <c r="A4246">
        <v>4245</v>
      </c>
      <c r="B4246">
        <v>16472</v>
      </c>
      <c r="C4246" t="s">
        <v>23</v>
      </c>
      <c r="D4246">
        <v>47558.18</v>
      </c>
      <c r="E4246" t="s">
        <v>19</v>
      </c>
      <c r="F4246">
        <v>6</v>
      </c>
      <c r="G4246" t="s">
        <v>20</v>
      </c>
      <c r="H4246" s="1">
        <v>45434</v>
      </c>
      <c r="I4246" s="1">
        <v>45440</v>
      </c>
      <c r="J4246" t="str">
        <f t="shared" si="66"/>
        <v>May-2024</v>
      </c>
    </row>
    <row r="4247" spans="1:10">
      <c r="A4247">
        <v>4246</v>
      </c>
      <c r="B4247">
        <v>17416</v>
      </c>
      <c r="C4247" t="s">
        <v>22</v>
      </c>
      <c r="D4247">
        <v>107253.22</v>
      </c>
      <c r="E4247" t="s">
        <v>16</v>
      </c>
      <c r="F4247">
        <v>14</v>
      </c>
      <c r="G4247" t="s">
        <v>21</v>
      </c>
      <c r="H4247" s="1">
        <v>45299</v>
      </c>
      <c r="I4247" s="1">
        <v>45313</v>
      </c>
      <c r="J4247" t="str">
        <f t="shared" si="66"/>
        <v>Jan-2024</v>
      </c>
    </row>
    <row r="4248" spans="1:10">
      <c r="A4248">
        <v>4247</v>
      </c>
      <c r="B4248">
        <v>11696</v>
      </c>
      <c r="C4248" t="s">
        <v>18</v>
      </c>
      <c r="D4248">
        <v>169282.07</v>
      </c>
      <c r="E4248" t="s">
        <v>16</v>
      </c>
      <c r="F4248">
        <v>33</v>
      </c>
      <c r="G4248" t="s">
        <v>17</v>
      </c>
      <c r="H4248" s="1">
        <v>45385</v>
      </c>
      <c r="I4248" s="1">
        <v>45418</v>
      </c>
      <c r="J4248" t="str">
        <f t="shared" si="66"/>
        <v>Apr-2024</v>
      </c>
    </row>
    <row r="4249" spans="1:10">
      <c r="A4249">
        <v>4248</v>
      </c>
      <c r="B4249">
        <v>18324</v>
      </c>
      <c r="C4249" t="s">
        <v>23</v>
      </c>
      <c r="D4249">
        <v>26673.83</v>
      </c>
      <c r="E4249" t="s">
        <v>16</v>
      </c>
      <c r="F4249">
        <v>4</v>
      </c>
      <c r="G4249" t="s">
        <v>21</v>
      </c>
      <c r="H4249" s="1">
        <v>45388</v>
      </c>
      <c r="I4249" s="1">
        <v>45392</v>
      </c>
      <c r="J4249" t="str">
        <f t="shared" si="66"/>
        <v>Apr-2024</v>
      </c>
    </row>
    <row r="4250" spans="1:10">
      <c r="A4250">
        <v>4249</v>
      </c>
      <c r="B4250">
        <v>17407</v>
      </c>
      <c r="C4250" t="s">
        <v>22</v>
      </c>
      <c r="D4250">
        <v>159959.12</v>
      </c>
      <c r="E4250" t="s">
        <v>16</v>
      </c>
      <c r="F4250">
        <v>16</v>
      </c>
      <c r="G4250" t="s">
        <v>17</v>
      </c>
      <c r="H4250" s="1">
        <v>45298</v>
      </c>
      <c r="I4250" s="1">
        <v>45314</v>
      </c>
      <c r="J4250" t="str">
        <f t="shared" si="66"/>
        <v>Jan-2024</v>
      </c>
    </row>
    <row r="4251" spans="1:10">
      <c r="A4251">
        <v>4250</v>
      </c>
      <c r="B4251">
        <v>17245</v>
      </c>
      <c r="C4251" t="s">
        <v>23</v>
      </c>
      <c r="D4251">
        <v>40679.81</v>
      </c>
      <c r="E4251" t="s">
        <v>16</v>
      </c>
      <c r="F4251">
        <v>28</v>
      </c>
      <c r="G4251" t="s">
        <v>21</v>
      </c>
      <c r="H4251" s="1">
        <v>45565</v>
      </c>
      <c r="I4251" s="1">
        <v>45593</v>
      </c>
      <c r="J4251" t="str">
        <f t="shared" si="66"/>
        <v>Sep-2024</v>
      </c>
    </row>
    <row r="4252" spans="1:10">
      <c r="A4252">
        <v>4251</v>
      </c>
      <c r="B4252">
        <v>14665</v>
      </c>
      <c r="C4252" t="s">
        <v>23</v>
      </c>
      <c r="D4252">
        <v>162583.16</v>
      </c>
      <c r="E4252" t="s">
        <v>16</v>
      </c>
      <c r="F4252">
        <v>28</v>
      </c>
      <c r="G4252" t="s">
        <v>21</v>
      </c>
      <c r="H4252" s="1">
        <v>45303</v>
      </c>
      <c r="I4252" s="1">
        <v>45331</v>
      </c>
      <c r="J4252" t="str">
        <f t="shared" si="66"/>
        <v>Jan-2024</v>
      </c>
    </row>
    <row r="4253" spans="1:10">
      <c r="A4253">
        <v>4252</v>
      </c>
      <c r="B4253">
        <v>14220</v>
      </c>
      <c r="C4253" t="s">
        <v>18</v>
      </c>
      <c r="D4253">
        <v>124340.18</v>
      </c>
      <c r="E4253" t="s">
        <v>19</v>
      </c>
      <c r="F4253">
        <v>31</v>
      </c>
      <c r="G4253" t="s">
        <v>25</v>
      </c>
      <c r="H4253" s="1">
        <v>45293</v>
      </c>
      <c r="I4253" s="1">
        <v>45324</v>
      </c>
      <c r="J4253" t="str">
        <f t="shared" si="66"/>
        <v>Jan-2024</v>
      </c>
    </row>
    <row r="4254" spans="1:10">
      <c r="A4254">
        <v>4253</v>
      </c>
      <c r="B4254">
        <v>17574</v>
      </c>
      <c r="C4254" t="s">
        <v>23</v>
      </c>
      <c r="D4254">
        <v>42681.02</v>
      </c>
      <c r="E4254" t="s">
        <v>19</v>
      </c>
      <c r="F4254">
        <v>7</v>
      </c>
      <c r="G4254" t="s">
        <v>21</v>
      </c>
      <c r="H4254" s="1">
        <v>45640</v>
      </c>
      <c r="I4254" s="1">
        <v>45647</v>
      </c>
      <c r="J4254" t="str">
        <f t="shared" si="66"/>
        <v>Dec-2024</v>
      </c>
    </row>
    <row r="4255" spans="1:10">
      <c r="A4255">
        <v>4254</v>
      </c>
      <c r="B4255">
        <v>16170</v>
      </c>
      <c r="C4255" t="s">
        <v>23</v>
      </c>
      <c r="D4255">
        <v>97304.06</v>
      </c>
      <c r="E4255" t="s">
        <v>16</v>
      </c>
      <c r="F4255">
        <v>26</v>
      </c>
      <c r="G4255" t="s">
        <v>25</v>
      </c>
      <c r="H4255" s="1">
        <v>45298</v>
      </c>
      <c r="I4255" s="1">
        <v>45324</v>
      </c>
      <c r="J4255" t="str">
        <f t="shared" si="66"/>
        <v>Jan-2024</v>
      </c>
    </row>
    <row r="4256" spans="1:10">
      <c r="A4256">
        <v>4255</v>
      </c>
      <c r="B4256">
        <v>10311</v>
      </c>
      <c r="C4256" t="s">
        <v>23</v>
      </c>
      <c r="D4256">
        <v>137971.51</v>
      </c>
      <c r="E4256" t="s">
        <v>16</v>
      </c>
      <c r="F4256">
        <v>29</v>
      </c>
      <c r="G4256" t="s">
        <v>20</v>
      </c>
      <c r="H4256" s="1">
        <v>45303</v>
      </c>
      <c r="I4256" s="1">
        <v>45332</v>
      </c>
      <c r="J4256" t="str">
        <f t="shared" si="66"/>
        <v>Jan-2024</v>
      </c>
    </row>
    <row r="4257" spans="1:10">
      <c r="A4257">
        <v>4256</v>
      </c>
      <c r="B4257">
        <v>19977</v>
      </c>
      <c r="C4257" t="s">
        <v>23</v>
      </c>
      <c r="D4257">
        <v>128601.32</v>
      </c>
      <c r="E4257" t="s">
        <v>16</v>
      </c>
      <c r="F4257">
        <v>23</v>
      </c>
      <c r="G4257" t="s">
        <v>20</v>
      </c>
      <c r="H4257" s="1">
        <v>45631</v>
      </c>
      <c r="I4257" s="1">
        <v>45654</v>
      </c>
      <c r="J4257" t="str">
        <f t="shared" si="66"/>
        <v>Dec-2024</v>
      </c>
    </row>
    <row r="4258" spans="1:10">
      <c r="A4258">
        <v>4257</v>
      </c>
      <c r="B4258">
        <v>15434</v>
      </c>
      <c r="C4258" t="s">
        <v>15</v>
      </c>
      <c r="D4258">
        <v>88313.2</v>
      </c>
      <c r="E4258" t="s">
        <v>19</v>
      </c>
      <c r="F4258">
        <v>5</v>
      </c>
      <c r="G4258" t="s">
        <v>25</v>
      </c>
      <c r="H4258" s="1">
        <v>45348</v>
      </c>
      <c r="I4258" s="1">
        <v>45353</v>
      </c>
      <c r="J4258" t="str">
        <f t="shared" si="66"/>
        <v>Feb-2024</v>
      </c>
    </row>
    <row r="4259" spans="1:10">
      <c r="A4259">
        <v>4258</v>
      </c>
      <c r="B4259">
        <v>10401</v>
      </c>
      <c r="C4259" t="s">
        <v>18</v>
      </c>
      <c r="D4259">
        <v>180376.47</v>
      </c>
      <c r="E4259" t="s">
        <v>19</v>
      </c>
      <c r="F4259">
        <v>16</v>
      </c>
      <c r="G4259" t="s">
        <v>25</v>
      </c>
      <c r="H4259" s="1">
        <v>45369</v>
      </c>
      <c r="I4259" s="1">
        <v>45385</v>
      </c>
      <c r="J4259" t="str">
        <f t="shared" si="66"/>
        <v>Mar-2024</v>
      </c>
    </row>
    <row r="4260" spans="1:10">
      <c r="A4260">
        <v>4259</v>
      </c>
      <c r="B4260">
        <v>15554</v>
      </c>
      <c r="C4260" t="s">
        <v>22</v>
      </c>
      <c r="D4260">
        <v>106256.37</v>
      </c>
      <c r="E4260" t="s">
        <v>24</v>
      </c>
      <c r="G4260" t="s">
        <v>17</v>
      </c>
      <c r="H4260" s="1">
        <v>45365</v>
      </c>
      <c r="J4260" t="str">
        <f t="shared" si="66"/>
        <v>Mar-2024</v>
      </c>
    </row>
    <row r="4261" spans="1:10">
      <c r="A4261">
        <v>4260</v>
      </c>
      <c r="B4261">
        <v>11596</v>
      </c>
      <c r="C4261" t="s">
        <v>23</v>
      </c>
      <c r="D4261">
        <v>103644.12</v>
      </c>
      <c r="E4261" t="s">
        <v>16</v>
      </c>
      <c r="F4261">
        <v>19</v>
      </c>
      <c r="G4261" t="s">
        <v>17</v>
      </c>
      <c r="H4261" s="1">
        <v>45524</v>
      </c>
      <c r="I4261" s="1">
        <v>45543</v>
      </c>
      <c r="J4261" t="str">
        <f t="shared" si="66"/>
        <v>Aug-2024</v>
      </c>
    </row>
    <row r="4262" spans="1:10">
      <c r="A4262">
        <v>4261</v>
      </c>
      <c r="B4262">
        <v>10121</v>
      </c>
      <c r="C4262" t="s">
        <v>23</v>
      </c>
      <c r="D4262">
        <v>17138.87</v>
      </c>
      <c r="E4262" t="s">
        <v>16</v>
      </c>
      <c r="F4262">
        <v>10</v>
      </c>
      <c r="G4262" t="s">
        <v>17</v>
      </c>
      <c r="H4262" s="1">
        <v>45570</v>
      </c>
      <c r="I4262" s="1">
        <v>45580</v>
      </c>
      <c r="J4262" t="str">
        <f t="shared" si="66"/>
        <v>Oct-2024</v>
      </c>
    </row>
    <row r="4263" spans="1:10">
      <c r="A4263">
        <v>4262</v>
      </c>
      <c r="B4263">
        <v>10750</v>
      </c>
      <c r="C4263" t="s">
        <v>23</v>
      </c>
      <c r="D4263">
        <v>184813.48</v>
      </c>
      <c r="E4263" t="s">
        <v>16</v>
      </c>
      <c r="F4263">
        <v>5</v>
      </c>
      <c r="G4263" t="s">
        <v>20</v>
      </c>
      <c r="H4263" s="1">
        <v>45321</v>
      </c>
      <c r="I4263" s="1">
        <v>45326</v>
      </c>
      <c r="J4263" t="str">
        <f t="shared" si="66"/>
        <v>Jan-2024</v>
      </c>
    </row>
    <row r="4264" spans="1:10">
      <c r="A4264">
        <v>4263</v>
      </c>
      <c r="B4264">
        <v>10105</v>
      </c>
      <c r="C4264" t="s">
        <v>23</v>
      </c>
      <c r="D4264">
        <v>39537.730000000003</v>
      </c>
      <c r="E4264" t="s">
        <v>16</v>
      </c>
      <c r="F4264">
        <v>6</v>
      </c>
      <c r="G4264" t="s">
        <v>17</v>
      </c>
      <c r="H4264" s="1">
        <v>45605</v>
      </c>
      <c r="I4264" s="1">
        <v>45611</v>
      </c>
      <c r="J4264" t="str">
        <f t="shared" si="66"/>
        <v>Nov-2024</v>
      </c>
    </row>
    <row r="4265" spans="1:10">
      <c r="A4265">
        <v>4264</v>
      </c>
      <c r="B4265">
        <v>16934</v>
      </c>
      <c r="C4265" t="s">
        <v>23</v>
      </c>
      <c r="D4265">
        <v>108027.22</v>
      </c>
      <c r="E4265" t="s">
        <v>16</v>
      </c>
      <c r="F4265">
        <v>7</v>
      </c>
      <c r="G4265" t="s">
        <v>21</v>
      </c>
      <c r="H4265" s="1">
        <v>45386</v>
      </c>
      <c r="I4265" s="1">
        <v>45393</v>
      </c>
      <c r="J4265" t="str">
        <f t="shared" si="66"/>
        <v>Apr-2024</v>
      </c>
    </row>
    <row r="4266" spans="1:10">
      <c r="A4266">
        <v>4265</v>
      </c>
      <c r="B4266">
        <v>19251</v>
      </c>
      <c r="C4266" t="s">
        <v>18</v>
      </c>
      <c r="D4266">
        <v>161695.67999999999</v>
      </c>
      <c r="E4266" t="s">
        <v>16</v>
      </c>
      <c r="F4266">
        <v>13</v>
      </c>
      <c r="G4266" t="s">
        <v>21</v>
      </c>
      <c r="H4266" s="1">
        <v>45599</v>
      </c>
      <c r="I4266" s="1">
        <v>45612</v>
      </c>
      <c r="J4266" t="str">
        <f t="shared" si="66"/>
        <v>Nov-2024</v>
      </c>
    </row>
    <row r="4267" spans="1:10">
      <c r="A4267">
        <v>4266</v>
      </c>
      <c r="B4267">
        <v>13238</v>
      </c>
      <c r="C4267" t="s">
        <v>22</v>
      </c>
      <c r="D4267">
        <v>47013.39</v>
      </c>
      <c r="E4267" t="s">
        <v>16</v>
      </c>
      <c r="F4267">
        <v>32</v>
      </c>
      <c r="G4267" t="s">
        <v>17</v>
      </c>
      <c r="H4267" s="1">
        <v>45347</v>
      </c>
      <c r="I4267" s="1">
        <v>45379</v>
      </c>
      <c r="J4267" t="str">
        <f t="shared" si="66"/>
        <v>Feb-2024</v>
      </c>
    </row>
    <row r="4268" spans="1:10">
      <c r="A4268">
        <v>4267</v>
      </c>
      <c r="B4268">
        <v>11244</v>
      </c>
      <c r="C4268" t="s">
        <v>22</v>
      </c>
      <c r="D4268">
        <v>107837.79</v>
      </c>
      <c r="E4268" t="s">
        <v>16</v>
      </c>
      <c r="F4268">
        <v>10</v>
      </c>
      <c r="G4268" t="s">
        <v>21</v>
      </c>
      <c r="H4268" s="1">
        <v>45301</v>
      </c>
      <c r="I4268" s="1">
        <v>45311</v>
      </c>
      <c r="J4268" t="str">
        <f t="shared" si="66"/>
        <v>Jan-2024</v>
      </c>
    </row>
    <row r="4269" spans="1:10">
      <c r="A4269">
        <v>4268</v>
      </c>
      <c r="B4269">
        <v>18267</v>
      </c>
      <c r="C4269" t="s">
        <v>23</v>
      </c>
      <c r="D4269">
        <v>51933.56</v>
      </c>
      <c r="E4269" t="s">
        <v>16</v>
      </c>
      <c r="F4269">
        <v>8</v>
      </c>
      <c r="G4269" t="s">
        <v>20</v>
      </c>
      <c r="H4269" s="1">
        <v>45438</v>
      </c>
      <c r="I4269" s="1">
        <v>45446</v>
      </c>
      <c r="J4269" t="str">
        <f t="shared" si="66"/>
        <v>May-2024</v>
      </c>
    </row>
    <row r="4270" spans="1:10">
      <c r="A4270">
        <v>4269</v>
      </c>
      <c r="B4270">
        <v>16865</v>
      </c>
      <c r="C4270" t="s">
        <v>15</v>
      </c>
      <c r="D4270">
        <v>153140.51999999999</v>
      </c>
      <c r="E4270" t="s">
        <v>16</v>
      </c>
      <c r="F4270">
        <v>30</v>
      </c>
      <c r="G4270" t="s">
        <v>21</v>
      </c>
      <c r="H4270" s="1">
        <v>45655</v>
      </c>
      <c r="I4270" s="1">
        <v>45685</v>
      </c>
      <c r="J4270" t="str">
        <f t="shared" si="66"/>
        <v>Dec-2024</v>
      </c>
    </row>
    <row r="4271" spans="1:10">
      <c r="A4271">
        <v>4270</v>
      </c>
      <c r="B4271">
        <v>19201</v>
      </c>
      <c r="C4271" t="s">
        <v>23</v>
      </c>
      <c r="D4271">
        <v>115046.53</v>
      </c>
      <c r="E4271" t="s">
        <v>16</v>
      </c>
      <c r="F4271">
        <v>15</v>
      </c>
      <c r="G4271" t="s">
        <v>20</v>
      </c>
      <c r="H4271" s="1">
        <v>45378</v>
      </c>
      <c r="I4271" s="1">
        <v>45393</v>
      </c>
      <c r="J4271" t="str">
        <f t="shared" si="66"/>
        <v>Mar-2024</v>
      </c>
    </row>
    <row r="4272" spans="1:10">
      <c r="A4272">
        <v>4271</v>
      </c>
      <c r="B4272">
        <v>13282</v>
      </c>
      <c r="C4272" t="s">
        <v>23</v>
      </c>
      <c r="D4272">
        <v>171915.29</v>
      </c>
      <c r="E4272" t="s">
        <v>16</v>
      </c>
      <c r="F4272">
        <v>21</v>
      </c>
      <c r="G4272" t="s">
        <v>25</v>
      </c>
      <c r="H4272" s="1">
        <v>45544</v>
      </c>
      <c r="I4272" s="1">
        <v>45565</v>
      </c>
      <c r="J4272" t="str">
        <f t="shared" si="66"/>
        <v>Sep-2024</v>
      </c>
    </row>
    <row r="4273" spans="1:10">
      <c r="A4273">
        <v>4272</v>
      </c>
      <c r="B4273">
        <v>12275</v>
      </c>
      <c r="C4273" t="s">
        <v>15</v>
      </c>
      <c r="D4273">
        <v>179438.81</v>
      </c>
      <c r="E4273" t="s">
        <v>16</v>
      </c>
      <c r="F4273">
        <v>33</v>
      </c>
      <c r="G4273" t="s">
        <v>25</v>
      </c>
      <c r="H4273" s="1">
        <v>45478</v>
      </c>
      <c r="I4273" s="1">
        <v>45511</v>
      </c>
      <c r="J4273" t="str">
        <f t="shared" si="66"/>
        <v>Jul-2024</v>
      </c>
    </row>
    <row r="4274" spans="1:10">
      <c r="A4274">
        <v>4273</v>
      </c>
      <c r="B4274">
        <v>13808</v>
      </c>
      <c r="C4274" t="s">
        <v>18</v>
      </c>
      <c r="D4274">
        <v>131503.03</v>
      </c>
      <c r="E4274" t="s">
        <v>16</v>
      </c>
      <c r="F4274">
        <v>23</v>
      </c>
      <c r="G4274" t="s">
        <v>25</v>
      </c>
      <c r="H4274" s="1">
        <v>45524</v>
      </c>
      <c r="I4274" s="1">
        <v>45547</v>
      </c>
      <c r="J4274" t="str">
        <f t="shared" si="66"/>
        <v>Aug-2024</v>
      </c>
    </row>
    <row r="4275" spans="1:10">
      <c r="A4275">
        <v>4274</v>
      </c>
      <c r="B4275">
        <v>18644</v>
      </c>
      <c r="C4275" t="s">
        <v>23</v>
      </c>
      <c r="D4275">
        <v>146451.29</v>
      </c>
      <c r="E4275" t="s">
        <v>16</v>
      </c>
      <c r="F4275">
        <v>37</v>
      </c>
      <c r="G4275" t="s">
        <v>25</v>
      </c>
      <c r="H4275" s="1">
        <v>45544</v>
      </c>
      <c r="I4275" s="1">
        <v>45581</v>
      </c>
      <c r="J4275" t="str">
        <f t="shared" si="66"/>
        <v>Sep-2024</v>
      </c>
    </row>
    <row r="4276" spans="1:10">
      <c r="A4276">
        <v>4275</v>
      </c>
      <c r="B4276">
        <v>10765</v>
      </c>
      <c r="C4276" t="s">
        <v>23</v>
      </c>
      <c r="D4276">
        <v>112097.92</v>
      </c>
      <c r="E4276" t="s">
        <v>24</v>
      </c>
      <c r="G4276" t="s">
        <v>21</v>
      </c>
      <c r="H4276" s="1">
        <v>45515</v>
      </c>
      <c r="J4276" t="str">
        <f t="shared" si="66"/>
        <v>Aug-2024</v>
      </c>
    </row>
    <row r="4277" spans="1:10">
      <c r="A4277">
        <v>4276</v>
      </c>
      <c r="B4277">
        <v>14582</v>
      </c>
      <c r="C4277" t="s">
        <v>23</v>
      </c>
      <c r="D4277">
        <v>79963.600000000006</v>
      </c>
      <c r="E4277" t="s">
        <v>16</v>
      </c>
      <c r="F4277">
        <v>41</v>
      </c>
      <c r="G4277" t="s">
        <v>17</v>
      </c>
      <c r="H4277" s="1">
        <v>45631</v>
      </c>
      <c r="I4277" s="1">
        <v>45672</v>
      </c>
      <c r="J4277" t="str">
        <f t="shared" si="66"/>
        <v>Dec-2024</v>
      </c>
    </row>
    <row r="4278" spans="1:10">
      <c r="A4278">
        <v>4277</v>
      </c>
      <c r="B4278">
        <v>12715</v>
      </c>
      <c r="C4278" t="s">
        <v>18</v>
      </c>
      <c r="D4278">
        <v>131382.99</v>
      </c>
      <c r="E4278" t="s">
        <v>16</v>
      </c>
      <c r="F4278">
        <v>26</v>
      </c>
      <c r="G4278" t="s">
        <v>21</v>
      </c>
      <c r="H4278" s="1">
        <v>45295</v>
      </c>
      <c r="I4278" s="1">
        <v>45321</v>
      </c>
      <c r="J4278" t="str">
        <f t="shared" si="66"/>
        <v>Jan-2024</v>
      </c>
    </row>
    <row r="4279" spans="1:10">
      <c r="A4279">
        <v>4278</v>
      </c>
      <c r="B4279">
        <v>11497</v>
      </c>
      <c r="C4279" t="s">
        <v>23</v>
      </c>
      <c r="D4279">
        <v>182116.28</v>
      </c>
      <c r="E4279" t="s">
        <v>16</v>
      </c>
      <c r="F4279">
        <v>32</v>
      </c>
      <c r="G4279" t="s">
        <v>20</v>
      </c>
      <c r="H4279" s="1">
        <v>45644</v>
      </c>
      <c r="I4279" s="1">
        <v>45676</v>
      </c>
      <c r="J4279" t="str">
        <f t="shared" si="66"/>
        <v>Dec-2024</v>
      </c>
    </row>
    <row r="4280" spans="1:10">
      <c r="A4280">
        <v>4279</v>
      </c>
      <c r="B4280">
        <v>12838</v>
      </c>
      <c r="C4280" t="s">
        <v>22</v>
      </c>
      <c r="D4280">
        <v>86252.67</v>
      </c>
      <c r="E4280" t="s">
        <v>19</v>
      </c>
      <c r="F4280">
        <v>36</v>
      </c>
      <c r="G4280" t="s">
        <v>21</v>
      </c>
      <c r="H4280" s="1">
        <v>45403</v>
      </c>
      <c r="I4280" s="1">
        <v>45439</v>
      </c>
      <c r="J4280" t="str">
        <f t="shared" si="66"/>
        <v>Apr-2024</v>
      </c>
    </row>
    <row r="4281" spans="1:10">
      <c r="A4281">
        <v>4280</v>
      </c>
      <c r="B4281">
        <v>16036</v>
      </c>
      <c r="C4281" t="s">
        <v>23</v>
      </c>
      <c r="D4281">
        <v>66309.960000000006</v>
      </c>
      <c r="E4281" t="s">
        <v>16</v>
      </c>
      <c r="F4281">
        <v>27</v>
      </c>
      <c r="G4281" t="s">
        <v>21</v>
      </c>
      <c r="H4281" s="1">
        <v>45484</v>
      </c>
      <c r="I4281" s="1">
        <v>45511</v>
      </c>
      <c r="J4281" t="str">
        <f t="shared" si="66"/>
        <v>Jul-2024</v>
      </c>
    </row>
    <row r="4282" spans="1:10">
      <c r="A4282">
        <v>4281</v>
      </c>
      <c r="B4282">
        <v>15066</v>
      </c>
      <c r="C4282" t="s">
        <v>23</v>
      </c>
      <c r="D4282">
        <v>80745.2</v>
      </c>
      <c r="E4282" t="s">
        <v>16</v>
      </c>
      <c r="F4282">
        <v>5</v>
      </c>
      <c r="G4282" t="s">
        <v>20</v>
      </c>
      <c r="H4282" s="1">
        <v>45432</v>
      </c>
      <c r="I4282" s="1">
        <v>45437</v>
      </c>
      <c r="J4282" t="str">
        <f t="shared" si="66"/>
        <v>May-2024</v>
      </c>
    </row>
    <row r="4283" spans="1:10">
      <c r="A4283">
        <v>4282</v>
      </c>
      <c r="B4283">
        <v>10489</v>
      </c>
      <c r="C4283" t="s">
        <v>23</v>
      </c>
      <c r="D4283">
        <v>89902.54</v>
      </c>
      <c r="E4283" t="s">
        <v>16</v>
      </c>
      <c r="F4283">
        <v>43</v>
      </c>
      <c r="G4283" t="s">
        <v>25</v>
      </c>
      <c r="H4283" s="1">
        <v>45614</v>
      </c>
      <c r="I4283" s="1">
        <v>45657</v>
      </c>
      <c r="J4283" t="str">
        <f t="shared" si="66"/>
        <v>Nov-2024</v>
      </c>
    </row>
    <row r="4284" spans="1:10">
      <c r="A4284">
        <v>4283</v>
      </c>
      <c r="B4284">
        <v>16374</v>
      </c>
      <c r="C4284" t="s">
        <v>18</v>
      </c>
      <c r="D4284">
        <v>19344.400000000001</v>
      </c>
      <c r="E4284" t="s">
        <v>19</v>
      </c>
      <c r="F4284">
        <v>21</v>
      </c>
      <c r="G4284" t="s">
        <v>25</v>
      </c>
      <c r="H4284" s="1">
        <v>45431</v>
      </c>
      <c r="I4284" s="1">
        <v>45452</v>
      </c>
      <c r="J4284" t="str">
        <f t="shared" si="66"/>
        <v>May-2024</v>
      </c>
    </row>
    <row r="4285" spans="1:10">
      <c r="A4285">
        <v>4284</v>
      </c>
      <c r="B4285">
        <v>11935</v>
      </c>
      <c r="C4285" t="s">
        <v>23</v>
      </c>
      <c r="D4285">
        <v>102196.16</v>
      </c>
      <c r="E4285" t="s">
        <v>19</v>
      </c>
      <c r="F4285">
        <v>35</v>
      </c>
      <c r="G4285" t="s">
        <v>25</v>
      </c>
      <c r="H4285" s="1">
        <v>45640</v>
      </c>
      <c r="I4285" s="1">
        <v>45675</v>
      </c>
      <c r="J4285" t="str">
        <f t="shared" si="66"/>
        <v>Dec-2024</v>
      </c>
    </row>
    <row r="4286" spans="1:10">
      <c r="A4286">
        <v>4285</v>
      </c>
      <c r="B4286">
        <v>12749</v>
      </c>
      <c r="C4286" t="s">
        <v>18</v>
      </c>
      <c r="D4286">
        <v>101391.28</v>
      </c>
      <c r="E4286" t="s">
        <v>16</v>
      </c>
      <c r="F4286">
        <v>13</v>
      </c>
      <c r="G4286" t="s">
        <v>17</v>
      </c>
      <c r="H4286" s="1">
        <v>45386</v>
      </c>
      <c r="I4286" s="1">
        <v>45399</v>
      </c>
      <c r="J4286" t="str">
        <f t="shared" si="66"/>
        <v>Apr-2024</v>
      </c>
    </row>
    <row r="4287" spans="1:10">
      <c r="A4287">
        <v>4286</v>
      </c>
      <c r="B4287">
        <v>19295</v>
      </c>
      <c r="C4287" t="s">
        <v>15</v>
      </c>
      <c r="D4287">
        <v>119746.55</v>
      </c>
      <c r="E4287" t="s">
        <v>19</v>
      </c>
      <c r="F4287">
        <v>17</v>
      </c>
      <c r="G4287" t="s">
        <v>20</v>
      </c>
      <c r="H4287" s="1">
        <v>45332</v>
      </c>
      <c r="I4287" s="1">
        <v>45349</v>
      </c>
      <c r="J4287" t="str">
        <f t="shared" si="66"/>
        <v>Feb-2024</v>
      </c>
    </row>
    <row r="4288" spans="1:10">
      <c r="A4288">
        <v>4287</v>
      </c>
      <c r="B4288">
        <v>17812</v>
      </c>
      <c r="C4288" t="s">
        <v>22</v>
      </c>
      <c r="D4288">
        <v>75749.91</v>
      </c>
      <c r="E4288" t="s">
        <v>19</v>
      </c>
      <c r="F4288">
        <v>43</v>
      </c>
      <c r="G4288" t="s">
        <v>20</v>
      </c>
      <c r="H4288" s="1">
        <v>45293</v>
      </c>
      <c r="I4288" s="1">
        <v>45336</v>
      </c>
      <c r="J4288" t="str">
        <f t="shared" si="66"/>
        <v>Jan-2024</v>
      </c>
    </row>
    <row r="4289" spans="1:10">
      <c r="A4289">
        <v>4288</v>
      </c>
      <c r="B4289">
        <v>19791</v>
      </c>
      <c r="C4289" t="s">
        <v>15</v>
      </c>
      <c r="D4289">
        <v>124555.98</v>
      </c>
      <c r="E4289" t="s">
        <v>16</v>
      </c>
      <c r="F4289">
        <v>6</v>
      </c>
      <c r="G4289" t="s">
        <v>21</v>
      </c>
      <c r="H4289" s="1">
        <v>45569</v>
      </c>
      <c r="I4289" s="1">
        <v>45575</v>
      </c>
      <c r="J4289" t="str">
        <f t="shared" si="66"/>
        <v>Oct-2024</v>
      </c>
    </row>
    <row r="4290" spans="1:10">
      <c r="A4290">
        <v>4289</v>
      </c>
      <c r="B4290">
        <v>17464</v>
      </c>
      <c r="C4290" t="s">
        <v>15</v>
      </c>
      <c r="D4290">
        <v>176252.18</v>
      </c>
      <c r="E4290" t="s">
        <v>16</v>
      </c>
      <c r="F4290">
        <v>36</v>
      </c>
      <c r="G4290" t="s">
        <v>17</v>
      </c>
      <c r="H4290" s="1">
        <v>45441</v>
      </c>
      <c r="I4290" s="1">
        <v>45477</v>
      </c>
      <c r="J4290" t="str">
        <f t="shared" si="66"/>
        <v>May-2024</v>
      </c>
    </row>
    <row r="4291" spans="1:10">
      <c r="A4291">
        <v>4290</v>
      </c>
      <c r="B4291">
        <v>17777</v>
      </c>
      <c r="C4291" t="s">
        <v>18</v>
      </c>
      <c r="D4291">
        <v>191316.84</v>
      </c>
      <c r="E4291" t="s">
        <v>16</v>
      </c>
      <c r="F4291">
        <v>28</v>
      </c>
      <c r="G4291" t="s">
        <v>25</v>
      </c>
      <c r="H4291" s="1">
        <v>45332</v>
      </c>
      <c r="I4291" s="1">
        <v>45360</v>
      </c>
      <c r="J4291" t="str">
        <f t="shared" ref="J4291:J4354" si="67">TEXT(H4291,"mmm-yyyy")</f>
        <v>Feb-2024</v>
      </c>
    </row>
    <row r="4292" spans="1:10">
      <c r="A4292">
        <v>4291</v>
      </c>
      <c r="B4292">
        <v>18417</v>
      </c>
      <c r="C4292" t="s">
        <v>15</v>
      </c>
      <c r="D4292">
        <v>118804.38</v>
      </c>
      <c r="E4292" t="s">
        <v>19</v>
      </c>
      <c r="F4292">
        <v>2</v>
      </c>
      <c r="G4292" t="s">
        <v>17</v>
      </c>
      <c r="H4292" s="1">
        <v>45642</v>
      </c>
      <c r="I4292" s="1">
        <v>45644</v>
      </c>
      <c r="J4292" t="str">
        <f t="shared" si="67"/>
        <v>Dec-2024</v>
      </c>
    </row>
    <row r="4293" spans="1:10">
      <c r="A4293">
        <v>4292</v>
      </c>
      <c r="B4293">
        <v>16286</v>
      </c>
      <c r="C4293" t="s">
        <v>23</v>
      </c>
      <c r="D4293">
        <v>13305.24</v>
      </c>
      <c r="E4293" t="s">
        <v>16</v>
      </c>
      <c r="F4293">
        <v>35</v>
      </c>
      <c r="G4293" t="s">
        <v>20</v>
      </c>
      <c r="H4293" s="1">
        <v>45407</v>
      </c>
      <c r="I4293" s="1">
        <v>45442</v>
      </c>
      <c r="J4293" t="str">
        <f t="shared" si="67"/>
        <v>Apr-2024</v>
      </c>
    </row>
    <row r="4294" spans="1:10">
      <c r="A4294">
        <v>4293</v>
      </c>
      <c r="B4294">
        <v>19906</v>
      </c>
      <c r="C4294" t="s">
        <v>23</v>
      </c>
      <c r="D4294">
        <v>194001.02</v>
      </c>
      <c r="E4294" t="s">
        <v>24</v>
      </c>
      <c r="G4294" t="s">
        <v>20</v>
      </c>
      <c r="H4294" s="1">
        <v>45411</v>
      </c>
      <c r="J4294" t="str">
        <f t="shared" si="67"/>
        <v>Apr-2024</v>
      </c>
    </row>
    <row r="4295" spans="1:10">
      <c r="A4295">
        <v>4294</v>
      </c>
      <c r="B4295">
        <v>14149</v>
      </c>
      <c r="C4295" t="s">
        <v>23</v>
      </c>
      <c r="D4295">
        <v>142643.1</v>
      </c>
      <c r="E4295" t="s">
        <v>16</v>
      </c>
      <c r="F4295">
        <v>33</v>
      </c>
      <c r="G4295" t="s">
        <v>21</v>
      </c>
      <c r="H4295" s="1">
        <v>45528</v>
      </c>
      <c r="I4295" s="1">
        <v>45561</v>
      </c>
      <c r="J4295" t="str">
        <f t="shared" si="67"/>
        <v>Aug-2024</v>
      </c>
    </row>
    <row r="4296" spans="1:10">
      <c r="A4296">
        <v>4295</v>
      </c>
      <c r="B4296">
        <v>15848</v>
      </c>
      <c r="C4296" t="s">
        <v>23</v>
      </c>
      <c r="D4296">
        <v>70512.91</v>
      </c>
      <c r="E4296" t="s">
        <v>16</v>
      </c>
      <c r="F4296">
        <v>40</v>
      </c>
      <c r="G4296" t="s">
        <v>21</v>
      </c>
      <c r="H4296" s="1">
        <v>45561</v>
      </c>
      <c r="I4296" s="1">
        <v>45601</v>
      </c>
      <c r="J4296" t="str">
        <f t="shared" si="67"/>
        <v>Sep-2024</v>
      </c>
    </row>
    <row r="4297" spans="1:10">
      <c r="A4297">
        <v>4296</v>
      </c>
      <c r="B4297">
        <v>17656</v>
      </c>
      <c r="C4297" t="s">
        <v>23</v>
      </c>
      <c r="D4297">
        <v>33695.75</v>
      </c>
      <c r="E4297" t="s">
        <v>19</v>
      </c>
      <c r="F4297">
        <v>34</v>
      </c>
      <c r="G4297" t="s">
        <v>20</v>
      </c>
      <c r="H4297" s="1">
        <v>45640</v>
      </c>
      <c r="I4297" s="1">
        <v>45674</v>
      </c>
      <c r="J4297" t="str">
        <f t="shared" si="67"/>
        <v>Dec-2024</v>
      </c>
    </row>
    <row r="4298" spans="1:10">
      <c r="A4298">
        <v>4297</v>
      </c>
      <c r="B4298">
        <v>12345</v>
      </c>
      <c r="C4298" t="s">
        <v>22</v>
      </c>
      <c r="D4298">
        <v>32966.629999999997</v>
      </c>
      <c r="E4298" t="s">
        <v>16</v>
      </c>
      <c r="F4298">
        <v>32</v>
      </c>
      <c r="G4298" t="s">
        <v>25</v>
      </c>
      <c r="H4298" s="1">
        <v>45582</v>
      </c>
      <c r="I4298" s="1">
        <v>45614</v>
      </c>
      <c r="J4298" t="str">
        <f t="shared" si="67"/>
        <v>Oct-2024</v>
      </c>
    </row>
    <row r="4299" spans="1:10">
      <c r="A4299">
        <v>4298</v>
      </c>
      <c r="B4299">
        <v>15549</v>
      </c>
      <c r="C4299" t="s">
        <v>23</v>
      </c>
      <c r="D4299">
        <v>37710.160000000003</v>
      </c>
      <c r="E4299" t="s">
        <v>16</v>
      </c>
      <c r="F4299">
        <v>14</v>
      </c>
      <c r="G4299" t="s">
        <v>25</v>
      </c>
      <c r="H4299" s="1">
        <v>45300</v>
      </c>
      <c r="I4299" s="1">
        <v>45314</v>
      </c>
      <c r="J4299" t="str">
        <f t="shared" si="67"/>
        <v>Jan-2024</v>
      </c>
    </row>
    <row r="4300" spans="1:10">
      <c r="A4300">
        <v>4299</v>
      </c>
      <c r="B4300">
        <v>16680</v>
      </c>
      <c r="C4300" t="s">
        <v>23</v>
      </c>
      <c r="D4300">
        <v>13886.64</v>
      </c>
      <c r="E4300" t="s">
        <v>16</v>
      </c>
      <c r="F4300">
        <v>3</v>
      </c>
      <c r="G4300" t="s">
        <v>17</v>
      </c>
      <c r="H4300" s="1">
        <v>45530</v>
      </c>
      <c r="I4300" s="1">
        <v>45533</v>
      </c>
      <c r="J4300" t="str">
        <f t="shared" si="67"/>
        <v>Aug-2024</v>
      </c>
    </row>
    <row r="4301" spans="1:10">
      <c r="A4301">
        <v>4300</v>
      </c>
      <c r="B4301">
        <v>18770</v>
      </c>
      <c r="C4301" t="s">
        <v>18</v>
      </c>
      <c r="D4301">
        <v>180920.07</v>
      </c>
      <c r="E4301" t="s">
        <v>16</v>
      </c>
      <c r="F4301">
        <v>31</v>
      </c>
      <c r="G4301" t="s">
        <v>20</v>
      </c>
      <c r="H4301" s="1">
        <v>45409</v>
      </c>
      <c r="I4301" s="1">
        <v>45440</v>
      </c>
      <c r="J4301" t="str">
        <f t="shared" si="67"/>
        <v>Apr-2024</v>
      </c>
    </row>
    <row r="4302" spans="1:10">
      <c r="A4302">
        <v>4301</v>
      </c>
      <c r="B4302">
        <v>11698</v>
      </c>
      <c r="C4302" t="s">
        <v>23</v>
      </c>
      <c r="D4302">
        <v>110449.81</v>
      </c>
      <c r="E4302" t="s">
        <v>16</v>
      </c>
      <c r="F4302">
        <v>11</v>
      </c>
      <c r="G4302" t="s">
        <v>20</v>
      </c>
      <c r="H4302" s="1">
        <v>45643</v>
      </c>
      <c r="I4302" s="1">
        <v>45654</v>
      </c>
      <c r="J4302" t="str">
        <f t="shared" si="67"/>
        <v>Dec-2024</v>
      </c>
    </row>
    <row r="4303" spans="1:10">
      <c r="A4303">
        <v>4302</v>
      </c>
      <c r="B4303">
        <v>16984</v>
      </c>
      <c r="C4303" t="s">
        <v>23</v>
      </c>
      <c r="D4303">
        <v>141492.09</v>
      </c>
      <c r="E4303" t="s">
        <v>16</v>
      </c>
      <c r="F4303">
        <v>24</v>
      </c>
      <c r="G4303" t="s">
        <v>25</v>
      </c>
      <c r="H4303" s="1">
        <v>45606</v>
      </c>
      <c r="I4303" s="1">
        <v>45630</v>
      </c>
      <c r="J4303" t="str">
        <f t="shared" si="67"/>
        <v>Nov-2024</v>
      </c>
    </row>
    <row r="4304" spans="1:10">
      <c r="A4304">
        <v>4303</v>
      </c>
      <c r="B4304">
        <v>16037</v>
      </c>
      <c r="C4304" t="s">
        <v>23</v>
      </c>
      <c r="D4304">
        <v>166481.16</v>
      </c>
      <c r="E4304" t="s">
        <v>16</v>
      </c>
      <c r="F4304">
        <v>34</v>
      </c>
      <c r="G4304" t="s">
        <v>25</v>
      </c>
      <c r="H4304" s="1">
        <v>45603</v>
      </c>
      <c r="I4304" s="1">
        <v>45637</v>
      </c>
      <c r="J4304" t="str">
        <f t="shared" si="67"/>
        <v>Nov-2024</v>
      </c>
    </row>
    <row r="4305" spans="1:10">
      <c r="A4305">
        <v>4304</v>
      </c>
      <c r="B4305">
        <v>15256</v>
      </c>
      <c r="C4305" t="s">
        <v>23</v>
      </c>
      <c r="D4305">
        <v>159350.5</v>
      </c>
      <c r="E4305" t="s">
        <v>24</v>
      </c>
      <c r="G4305" t="s">
        <v>20</v>
      </c>
      <c r="H4305" s="1">
        <v>45301</v>
      </c>
      <c r="J4305" t="str">
        <f t="shared" si="67"/>
        <v>Jan-2024</v>
      </c>
    </row>
    <row r="4306" spans="1:10">
      <c r="A4306">
        <v>4305</v>
      </c>
      <c r="B4306">
        <v>16551</v>
      </c>
      <c r="C4306" t="s">
        <v>23</v>
      </c>
      <c r="D4306">
        <v>177108.1</v>
      </c>
      <c r="E4306" t="s">
        <v>24</v>
      </c>
      <c r="G4306" t="s">
        <v>21</v>
      </c>
      <c r="H4306" s="1">
        <v>45316</v>
      </c>
      <c r="J4306" t="str">
        <f t="shared" si="67"/>
        <v>Jan-2024</v>
      </c>
    </row>
    <row r="4307" spans="1:10">
      <c r="A4307">
        <v>4306</v>
      </c>
      <c r="B4307">
        <v>10278</v>
      </c>
      <c r="C4307" t="s">
        <v>18</v>
      </c>
      <c r="D4307">
        <v>193614.65</v>
      </c>
      <c r="E4307" t="s">
        <v>16</v>
      </c>
      <c r="F4307">
        <v>31</v>
      </c>
      <c r="G4307" t="s">
        <v>20</v>
      </c>
      <c r="H4307" s="1">
        <v>45464</v>
      </c>
      <c r="I4307" s="1">
        <v>45495</v>
      </c>
      <c r="J4307" t="str">
        <f t="shared" si="67"/>
        <v>Jun-2024</v>
      </c>
    </row>
    <row r="4308" spans="1:10">
      <c r="A4308">
        <v>4307</v>
      </c>
      <c r="B4308">
        <v>11468</v>
      </c>
      <c r="C4308" t="s">
        <v>18</v>
      </c>
      <c r="D4308">
        <v>90618.77</v>
      </c>
      <c r="E4308" t="s">
        <v>19</v>
      </c>
      <c r="F4308">
        <v>35</v>
      </c>
      <c r="G4308" t="s">
        <v>20</v>
      </c>
      <c r="H4308" s="1">
        <v>45516</v>
      </c>
      <c r="I4308" s="1">
        <v>45551</v>
      </c>
      <c r="J4308" t="str">
        <f t="shared" si="67"/>
        <v>Aug-2024</v>
      </c>
    </row>
    <row r="4309" spans="1:10">
      <c r="A4309">
        <v>4308</v>
      </c>
      <c r="B4309">
        <v>19132</v>
      </c>
      <c r="C4309" t="s">
        <v>23</v>
      </c>
      <c r="D4309">
        <v>190315.42</v>
      </c>
      <c r="E4309" t="s">
        <v>16</v>
      </c>
      <c r="F4309">
        <v>40</v>
      </c>
      <c r="G4309" t="s">
        <v>25</v>
      </c>
      <c r="H4309" s="1">
        <v>45302</v>
      </c>
      <c r="I4309" s="1">
        <v>45342</v>
      </c>
      <c r="J4309" t="str">
        <f t="shared" si="67"/>
        <v>Jan-2024</v>
      </c>
    </row>
    <row r="4310" spans="1:10">
      <c r="A4310">
        <v>4309</v>
      </c>
      <c r="B4310">
        <v>12318</v>
      </c>
      <c r="C4310" t="s">
        <v>23</v>
      </c>
      <c r="D4310">
        <v>146041.54</v>
      </c>
      <c r="E4310" t="s">
        <v>16</v>
      </c>
      <c r="F4310">
        <v>18</v>
      </c>
      <c r="G4310" t="s">
        <v>25</v>
      </c>
      <c r="H4310" s="1">
        <v>45392</v>
      </c>
      <c r="I4310" s="1">
        <v>45410</v>
      </c>
      <c r="J4310" t="str">
        <f t="shared" si="67"/>
        <v>Apr-2024</v>
      </c>
    </row>
    <row r="4311" spans="1:10">
      <c r="A4311">
        <v>4310</v>
      </c>
      <c r="B4311">
        <v>14536</v>
      </c>
      <c r="C4311" t="s">
        <v>23</v>
      </c>
      <c r="D4311">
        <v>18780.3</v>
      </c>
      <c r="E4311" t="s">
        <v>16</v>
      </c>
      <c r="F4311">
        <v>23</v>
      </c>
      <c r="G4311" t="s">
        <v>21</v>
      </c>
      <c r="H4311" s="1">
        <v>45556</v>
      </c>
      <c r="I4311" s="1">
        <v>45579</v>
      </c>
      <c r="J4311" t="str">
        <f t="shared" si="67"/>
        <v>Sep-2024</v>
      </c>
    </row>
    <row r="4312" spans="1:10">
      <c r="A4312">
        <v>4311</v>
      </c>
      <c r="B4312">
        <v>15347</v>
      </c>
      <c r="C4312" t="s">
        <v>18</v>
      </c>
      <c r="D4312">
        <v>137947.71</v>
      </c>
      <c r="E4312" t="s">
        <v>24</v>
      </c>
      <c r="G4312" t="s">
        <v>21</v>
      </c>
      <c r="H4312" s="1">
        <v>45618</v>
      </c>
      <c r="J4312" t="str">
        <f t="shared" si="67"/>
        <v>Nov-2024</v>
      </c>
    </row>
    <row r="4313" spans="1:10">
      <c r="A4313">
        <v>4312</v>
      </c>
      <c r="B4313">
        <v>15939</v>
      </c>
      <c r="C4313" t="s">
        <v>23</v>
      </c>
      <c r="D4313">
        <v>138909.75</v>
      </c>
      <c r="E4313" t="s">
        <v>24</v>
      </c>
      <c r="G4313" t="s">
        <v>17</v>
      </c>
      <c r="H4313" s="1">
        <v>45374</v>
      </c>
      <c r="J4313" t="str">
        <f t="shared" si="67"/>
        <v>Mar-2024</v>
      </c>
    </row>
    <row r="4314" spans="1:10">
      <c r="A4314">
        <v>4313</v>
      </c>
      <c r="B4314">
        <v>11783</v>
      </c>
      <c r="C4314" t="s">
        <v>23</v>
      </c>
      <c r="D4314">
        <v>181642.81</v>
      </c>
      <c r="E4314" t="s">
        <v>16</v>
      </c>
      <c r="F4314">
        <v>23</v>
      </c>
      <c r="G4314" t="s">
        <v>20</v>
      </c>
      <c r="H4314" s="1">
        <v>45567</v>
      </c>
      <c r="I4314" s="1">
        <v>45590</v>
      </c>
      <c r="J4314" t="str">
        <f t="shared" si="67"/>
        <v>Oct-2024</v>
      </c>
    </row>
    <row r="4315" spans="1:10">
      <c r="A4315">
        <v>4314</v>
      </c>
      <c r="B4315">
        <v>16630</v>
      </c>
      <c r="C4315" t="s">
        <v>18</v>
      </c>
      <c r="D4315">
        <v>77721.77</v>
      </c>
      <c r="E4315" t="s">
        <v>16</v>
      </c>
      <c r="F4315">
        <v>33</v>
      </c>
      <c r="G4315" t="s">
        <v>25</v>
      </c>
      <c r="H4315" s="1">
        <v>45636</v>
      </c>
      <c r="I4315" s="1">
        <v>45669</v>
      </c>
      <c r="J4315" t="str">
        <f t="shared" si="67"/>
        <v>Dec-2024</v>
      </c>
    </row>
    <row r="4316" spans="1:10">
      <c r="A4316">
        <v>4315</v>
      </c>
      <c r="B4316">
        <v>13226</v>
      </c>
      <c r="C4316" t="s">
        <v>23</v>
      </c>
      <c r="D4316">
        <v>119057.74</v>
      </c>
      <c r="E4316" t="s">
        <v>16</v>
      </c>
      <c r="F4316">
        <v>25</v>
      </c>
      <c r="G4316" t="s">
        <v>21</v>
      </c>
      <c r="H4316" s="1">
        <v>45552</v>
      </c>
      <c r="I4316" s="1">
        <v>45577</v>
      </c>
      <c r="J4316" t="str">
        <f t="shared" si="67"/>
        <v>Sep-2024</v>
      </c>
    </row>
    <row r="4317" spans="1:10">
      <c r="A4317">
        <v>4316</v>
      </c>
      <c r="B4317">
        <v>19177</v>
      </c>
      <c r="C4317" t="s">
        <v>23</v>
      </c>
      <c r="D4317">
        <v>7376.57</v>
      </c>
      <c r="E4317" t="s">
        <v>16</v>
      </c>
      <c r="F4317">
        <v>12</v>
      </c>
      <c r="G4317" t="s">
        <v>17</v>
      </c>
      <c r="H4317" s="1">
        <v>45512</v>
      </c>
      <c r="I4317" s="1">
        <v>45524</v>
      </c>
      <c r="J4317" t="str">
        <f t="shared" si="67"/>
        <v>Aug-2024</v>
      </c>
    </row>
    <row r="4318" spans="1:10">
      <c r="A4318">
        <v>4317</v>
      </c>
      <c r="B4318">
        <v>12819</v>
      </c>
      <c r="C4318" t="s">
        <v>23</v>
      </c>
      <c r="D4318">
        <v>69754.67</v>
      </c>
      <c r="E4318" t="s">
        <v>16</v>
      </c>
      <c r="F4318">
        <v>12</v>
      </c>
      <c r="G4318" t="s">
        <v>17</v>
      </c>
      <c r="H4318" s="1">
        <v>45602</v>
      </c>
      <c r="I4318" s="1">
        <v>45614</v>
      </c>
      <c r="J4318" t="str">
        <f t="shared" si="67"/>
        <v>Nov-2024</v>
      </c>
    </row>
    <row r="4319" spans="1:10">
      <c r="A4319">
        <v>4318</v>
      </c>
      <c r="B4319">
        <v>13970</v>
      </c>
      <c r="C4319" t="s">
        <v>22</v>
      </c>
      <c r="D4319">
        <v>17137.53</v>
      </c>
      <c r="E4319" t="s">
        <v>16</v>
      </c>
      <c r="F4319">
        <v>18</v>
      </c>
      <c r="G4319" t="s">
        <v>25</v>
      </c>
      <c r="H4319" s="1">
        <v>45510</v>
      </c>
      <c r="I4319" s="1">
        <v>45528</v>
      </c>
      <c r="J4319" t="str">
        <f t="shared" si="67"/>
        <v>Aug-2024</v>
      </c>
    </row>
    <row r="4320" spans="1:10">
      <c r="A4320">
        <v>4319</v>
      </c>
      <c r="B4320">
        <v>10424</v>
      </c>
      <c r="C4320" t="s">
        <v>15</v>
      </c>
      <c r="D4320">
        <v>106765.23</v>
      </c>
      <c r="E4320" t="s">
        <v>19</v>
      </c>
      <c r="F4320">
        <v>33</v>
      </c>
      <c r="G4320" t="s">
        <v>25</v>
      </c>
      <c r="H4320" s="1">
        <v>45380</v>
      </c>
      <c r="I4320" s="1">
        <v>45413</v>
      </c>
      <c r="J4320" t="str">
        <f t="shared" si="67"/>
        <v>Mar-2024</v>
      </c>
    </row>
    <row r="4321" spans="1:10">
      <c r="A4321">
        <v>4320</v>
      </c>
      <c r="B4321">
        <v>12105</v>
      </c>
      <c r="C4321" t="s">
        <v>18</v>
      </c>
      <c r="D4321">
        <v>164402.29</v>
      </c>
      <c r="E4321" t="s">
        <v>16</v>
      </c>
      <c r="F4321">
        <v>20</v>
      </c>
      <c r="G4321" t="s">
        <v>17</v>
      </c>
      <c r="H4321" s="1">
        <v>45306</v>
      </c>
      <c r="I4321" s="1">
        <v>45326</v>
      </c>
      <c r="J4321" t="str">
        <f t="shared" si="67"/>
        <v>Jan-2024</v>
      </c>
    </row>
    <row r="4322" spans="1:10">
      <c r="A4322">
        <v>4321</v>
      </c>
      <c r="B4322">
        <v>12470</v>
      </c>
      <c r="C4322" t="s">
        <v>23</v>
      </c>
      <c r="D4322">
        <v>45256.32</v>
      </c>
      <c r="E4322" t="s">
        <v>24</v>
      </c>
      <c r="G4322" t="s">
        <v>21</v>
      </c>
      <c r="H4322" s="1">
        <v>45537</v>
      </c>
      <c r="J4322" t="str">
        <f t="shared" si="67"/>
        <v>Sep-2024</v>
      </c>
    </row>
    <row r="4323" spans="1:10">
      <c r="A4323">
        <v>4322</v>
      </c>
      <c r="B4323">
        <v>15894</v>
      </c>
      <c r="C4323" t="s">
        <v>18</v>
      </c>
      <c r="D4323">
        <v>107851</v>
      </c>
      <c r="E4323" t="s">
        <v>16</v>
      </c>
      <c r="F4323">
        <v>33</v>
      </c>
      <c r="G4323" t="s">
        <v>17</v>
      </c>
      <c r="H4323" s="1">
        <v>45467</v>
      </c>
      <c r="I4323" s="1">
        <v>45500</v>
      </c>
      <c r="J4323" t="str">
        <f t="shared" si="67"/>
        <v>Jun-2024</v>
      </c>
    </row>
    <row r="4324" spans="1:10">
      <c r="A4324">
        <v>4323</v>
      </c>
      <c r="B4324">
        <v>13794</v>
      </c>
      <c r="C4324" t="s">
        <v>22</v>
      </c>
      <c r="D4324">
        <v>44781.68</v>
      </c>
      <c r="E4324" t="s">
        <v>16</v>
      </c>
      <c r="F4324">
        <v>26</v>
      </c>
      <c r="G4324" t="s">
        <v>20</v>
      </c>
      <c r="H4324" s="1">
        <v>45295</v>
      </c>
      <c r="I4324" s="1">
        <v>45321</v>
      </c>
      <c r="J4324" t="str">
        <f t="shared" si="67"/>
        <v>Jan-2024</v>
      </c>
    </row>
    <row r="4325" spans="1:10">
      <c r="A4325">
        <v>4324</v>
      </c>
      <c r="B4325">
        <v>12891</v>
      </c>
      <c r="C4325" t="s">
        <v>22</v>
      </c>
      <c r="D4325">
        <v>28534.25</v>
      </c>
      <c r="E4325" t="s">
        <v>19</v>
      </c>
      <c r="F4325">
        <v>29</v>
      </c>
      <c r="G4325" t="s">
        <v>20</v>
      </c>
      <c r="H4325" s="1">
        <v>45625</v>
      </c>
      <c r="I4325" s="1">
        <v>45654</v>
      </c>
      <c r="J4325" t="str">
        <f t="shared" si="67"/>
        <v>Nov-2024</v>
      </c>
    </row>
    <row r="4326" spans="1:10">
      <c r="A4326">
        <v>4325</v>
      </c>
      <c r="B4326">
        <v>19875</v>
      </c>
      <c r="C4326" t="s">
        <v>23</v>
      </c>
      <c r="D4326">
        <v>104644.37</v>
      </c>
      <c r="E4326" t="s">
        <v>19</v>
      </c>
      <c r="F4326">
        <v>41</v>
      </c>
      <c r="G4326" t="s">
        <v>25</v>
      </c>
      <c r="H4326" s="1">
        <v>45312</v>
      </c>
      <c r="I4326" s="1">
        <v>45353</v>
      </c>
      <c r="J4326" t="str">
        <f t="shared" si="67"/>
        <v>Jan-2024</v>
      </c>
    </row>
    <row r="4327" spans="1:10">
      <c r="A4327">
        <v>4326</v>
      </c>
      <c r="B4327">
        <v>13147</v>
      </c>
      <c r="C4327" t="s">
        <v>15</v>
      </c>
      <c r="D4327">
        <v>20433.98</v>
      </c>
      <c r="E4327" t="s">
        <v>16</v>
      </c>
      <c r="F4327">
        <v>28</v>
      </c>
      <c r="G4327" t="s">
        <v>21</v>
      </c>
      <c r="H4327" s="1">
        <v>45499</v>
      </c>
      <c r="I4327" s="1">
        <v>45527</v>
      </c>
      <c r="J4327" t="str">
        <f t="shared" si="67"/>
        <v>Jul-2024</v>
      </c>
    </row>
    <row r="4328" spans="1:10">
      <c r="A4328">
        <v>4327</v>
      </c>
      <c r="B4328">
        <v>14051</v>
      </c>
      <c r="C4328" t="s">
        <v>23</v>
      </c>
      <c r="D4328">
        <v>119534.15</v>
      </c>
      <c r="E4328" t="s">
        <v>16</v>
      </c>
      <c r="F4328">
        <v>15</v>
      </c>
      <c r="G4328" t="s">
        <v>21</v>
      </c>
      <c r="H4328" s="1">
        <v>45428</v>
      </c>
      <c r="I4328" s="1">
        <v>45443</v>
      </c>
      <c r="J4328" t="str">
        <f t="shared" si="67"/>
        <v>May-2024</v>
      </c>
    </row>
    <row r="4329" spans="1:10">
      <c r="A4329">
        <v>4328</v>
      </c>
      <c r="B4329">
        <v>13651</v>
      </c>
      <c r="C4329" t="s">
        <v>23</v>
      </c>
      <c r="D4329">
        <v>11110.8</v>
      </c>
      <c r="E4329" t="s">
        <v>24</v>
      </c>
      <c r="G4329" t="s">
        <v>20</v>
      </c>
      <c r="H4329" s="1">
        <v>45613</v>
      </c>
      <c r="J4329" t="str">
        <f t="shared" si="67"/>
        <v>Nov-2024</v>
      </c>
    </row>
    <row r="4330" spans="1:10">
      <c r="A4330">
        <v>4329</v>
      </c>
      <c r="B4330">
        <v>17901</v>
      </c>
      <c r="C4330" t="s">
        <v>18</v>
      </c>
      <c r="D4330">
        <v>25809.42</v>
      </c>
      <c r="E4330" t="s">
        <v>16</v>
      </c>
      <c r="F4330">
        <v>40</v>
      </c>
      <c r="G4330" t="s">
        <v>17</v>
      </c>
      <c r="H4330" s="1">
        <v>45654</v>
      </c>
      <c r="I4330" s="1">
        <v>45694</v>
      </c>
      <c r="J4330" t="str">
        <f t="shared" si="67"/>
        <v>Dec-2024</v>
      </c>
    </row>
    <row r="4331" spans="1:10">
      <c r="A4331">
        <v>4330</v>
      </c>
      <c r="B4331">
        <v>11174</v>
      </c>
      <c r="C4331" t="s">
        <v>23</v>
      </c>
      <c r="D4331">
        <v>112249.51</v>
      </c>
      <c r="E4331" t="s">
        <v>16</v>
      </c>
      <c r="F4331">
        <v>3</v>
      </c>
      <c r="G4331" t="s">
        <v>25</v>
      </c>
      <c r="H4331" s="1">
        <v>45507</v>
      </c>
      <c r="I4331" s="1">
        <v>45510</v>
      </c>
      <c r="J4331" t="str">
        <f t="shared" si="67"/>
        <v>Aug-2024</v>
      </c>
    </row>
    <row r="4332" spans="1:10">
      <c r="A4332">
        <v>4331</v>
      </c>
      <c r="B4332">
        <v>12949</v>
      </c>
      <c r="C4332" t="s">
        <v>22</v>
      </c>
      <c r="D4332">
        <v>120324.45</v>
      </c>
      <c r="E4332" t="s">
        <v>16</v>
      </c>
      <c r="F4332">
        <v>18</v>
      </c>
      <c r="G4332" t="s">
        <v>17</v>
      </c>
      <c r="H4332" s="1">
        <v>45408</v>
      </c>
      <c r="I4332" s="1">
        <v>45426</v>
      </c>
      <c r="J4332" t="str">
        <f t="shared" si="67"/>
        <v>Apr-2024</v>
      </c>
    </row>
    <row r="4333" spans="1:10">
      <c r="A4333">
        <v>4332</v>
      </c>
      <c r="B4333">
        <v>18628</v>
      </c>
      <c r="C4333" t="s">
        <v>23</v>
      </c>
      <c r="D4333">
        <v>10652.45</v>
      </c>
      <c r="E4333" t="s">
        <v>19</v>
      </c>
      <c r="F4333">
        <v>2</v>
      </c>
      <c r="G4333" t="s">
        <v>17</v>
      </c>
      <c r="H4333" s="1">
        <v>45470</v>
      </c>
      <c r="I4333" s="1">
        <v>45472</v>
      </c>
      <c r="J4333" t="str">
        <f t="shared" si="67"/>
        <v>Jun-2024</v>
      </c>
    </row>
    <row r="4334" spans="1:10">
      <c r="A4334">
        <v>4333</v>
      </c>
      <c r="B4334">
        <v>16116</v>
      </c>
      <c r="C4334" t="s">
        <v>18</v>
      </c>
      <c r="D4334">
        <v>116808.47</v>
      </c>
      <c r="E4334" t="s">
        <v>19</v>
      </c>
      <c r="F4334">
        <v>33</v>
      </c>
      <c r="G4334" t="s">
        <v>17</v>
      </c>
      <c r="H4334" s="1">
        <v>45537</v>
      </c>
      <c r="I4334" s="1">
        <v>45570</v>
      </c>
      <c r="J4334" t="str">
        <f t="shared" si="67"/>
        <v>Sep-2024</v>
      </c>
    </row>
    <row r="4335" spans="1:10">
      <c r="A4335">
        <v>4334</v>
      </c>
      <c r="B4335">
        <v>10234</v>
      </c>
      <c r="C4335" t="s">
        <v>22</v>
      </c>
      <c r="D4335">
        <v>168507.99</v>
      </c>
      <c r="E4335" t="s">
        <v>24</v>
      </c>
      <c r="G4335" t="s">
        <v>21</v>
      </c>
      <c r="H4335" s="1">
        <v>45419</v>
      </c>
      <c r="J4335" t="str">
        <f t="shared" si="67"/>
        <v>May-2024</v>
      </c>
    </row>
    <row r="4336" spans="1:10">
      <c r="A4336">
        <v>4335</v>
      </c>
      <c r="B4336">
        <v>17912</v>
      </c>
      <c r="C4336" t="s">
        <v>22</v>
      </c>
      <c r="D4336">
        <v>145851.65</v>
      </c>
      <c r="E4336" t="s">
        <v>16</v>
      </c>
      <c r="F4336">
        <v>15</v>
      </c>
      <c r="G4336" t="s">
        <v>20</v>
      </c>
      <c r="H4336" s="1">
        <v>45649</v>
      </c>
      <c r="I4336" s="1">
        <v>45664</v>
      </c>
      <c r="J4336" t="str">
        <f t="shared" si="67"/>
        <v>Dec-2024</v>
      </c>
    </row>
    <row r="4337" spans="1:10">
      <c r="A4337">
        <v>4336</v>
      </c>
      <c r="B4337">
        <v>14770</v>
      </c>
      <c r="C4337" t="s">
        <v>23</v>
      </c>
      <c r="D4337">
        <v>30581.1</v>
      </c>
      <c r="E4337" t="s">
        <v>16</v>
      </c>
      <c r="F4337">
        <v>32</v>
      </c>
      <c r="G4337" t="s">
        <v>21</v>
      </c>
      <c r="H4337" s="1">
        <v>45369</v>
      </c>
      <c r="I4337" s="1">
        <v>45401</v>
      </c>
      <c r="J4337" t="str">
        <f t="shared" si="67"/>
        <v>Mar-2024</v>
      </c>
    </row>
    <row r="4338" spans="1:10">
      <c r="A4338">
        <v>4337</v>
      </c>
      <c r="B4338">
        <v>15128</v>
      </c>
      <c r="C4338" t="s">
        <v>23</v>
      </c>
      <c r="D4338">
        <v>120532.56</v>
      </c>
      <c r="E4338" t="s">
        <v>16</v>
      </c>
      <c r="F4338">
        <v>19</v>
      </c>
      <c r="G4338" t="s">
        <v>20</v>
      </c>
      <c r="H4338" s="1">
        <v>45520</v>
      </c>
      <c r="I4338" s="1">
        <v>45539</v>
      </c>
      <c r="J4338" t="str">
        <f t="shared" si="67"/>
        <v>Aug-2024</v>
      </c>
    </row>
    <row r="4339" spans="1:10">
      <c r="A4339">
        <v>4338</v>
      </c>
      <c r="B4339">
        <v>14856</v>
      </c>
      <c r="C4339" t="s">
        <v>18</v>
      </c>
      <c r="D4339">
        <v>136089.24</v>
      </c>
      <c r="E4339" t="s">
        <v>19</v>
      </c>
      <c r="F4339">
        <v>15</v>
      </c>
      <c r="G4339" t="s">
        <v>25</v>
      </c>
      <c r="H4339" s="1">
        <v>45584</v>
      </c>
      <c r="I4339" s="1">
        <v>45599</v>
      </c>
      <c r="J4339" t="str">
        <f t="shared" si="67"/>
        <v>Oct-2024</v>
      </c>
    </row>
    <row r="4340" spans="1:10">
      <c r="A4340">
        <v>4339</v>
      </c>
      <c r="B4340">
        <v>18159</v>
      </c>
      <c r="C4340" t="s">
        <v>23</v>
      </c>
      <c r="D4340">
        <v>12260.08</v>
      </c>
      <c r="E4340" t="s">
        <v>16</v>
      </c>
      <c r="F4340">
        <v>15</v>
      </c>
      <c r="G4340" t="s">
        <v>25</v>
      </c>
      <c r="H4340" s="1">
        <v>45553</v>
      </c>
      <c r="I4340" s="1">
        <v>45568</v>
      </c>
      <c r="J4340" t="str">
        <f t="shared" si="67"/>
        <v>Sep-2024</v>
      </c>
    </row>
    <row r="4341" spans="1:10">
      <c r="A4341">
        <v>4340</v>
      </c>
      <c r="B4341">
        <v>12474</v>
      </c>
      <c r="C4341" t="s">
        <v>22</v>
      </c>
      <c r="D4341">
        <v>171792.8</v>
      </c>
      <c r="E4341" t="s">
        <v>16</v>
      </c>
      <c r="F4341">
        <v>25</v>
      </c>
      <c r="G4341" t="s">
        <v>17</v>
      </c>
      <c r="H4341" s="1">
        <v>45373</v>
      </c>
      <c r="I4341" s="1">
        <v>45398</v>
      </c>
      <c r="J4341" t="str">
        <f t="shared" si="67"/>
        <v>Mar-2024</v>
      </c>
    </row>
    <row r="4342" spans="1:10">
      <c r="A4342">
        <v>4341</v>
      </c>
      <c r="B4342">
        <v>10226</v>
      </c>
      <c r="C4342" t="s">
        <v>22</v>
      </c>
      <c r="D4342">
        <v>181722.14</v>
      </c>
      <c r="E4342" t="s">
        <v>16</v>
      </c>
      <c r="F4342">
        <v>6</v>
      </c>
      <c r="G4342" t="s">
        <v>20</v>
      </c>
      <c r="H4342" s="1">
        <v>45633</v>
      </c>
      <c r="I4342" s="1">
        <v>45639</v>
      </c>
      <c r="J4342" t="str">
        <f t="shared" si="67"/>
        <v>Dec-2024</v>
      </c>
    </row>
    <row r="4343" spans="1:10">
      <c r="A4343">
        <v>4342</v>
      </c>
      <c r="B4343">
        <v>16160</v>
      </c>
      <c r="C4343" t="s">
        <v>23</v>
      </c>
      <c r="D4343">
        <v>170838.19</v>
      </c>
      <c r="E4343" t="s">
        <v>16</v>
      </c>
      <c r="F4343">
        <v>17</v>
      </c>
      <c r="G4343" t="s">
        <v>20</v>
      </c>
      <c r="H4343" s="1">
        <v>45629</v>
      </c>
      <c r="I4343" s="1">
        <v>45646</v>
      </c>
      <c r="J4343" t="str">
        <f t="shared" si="67"/>
        <v>Dec-2024</v>
      </c>
    </row>
    <row r="4344" spans="1:10">
      <c r="A4344">
        <v>4343</v>
      </c>
      <c r="B4344">
        <v>14801</v>
      </c>
      <c r="C4344" t="s">
        <v>23</v>
      </c>
      <c r="D4344">
        <v>165803.14000000001</v>
      </c>
      <c r="E4344" t="s">
        <v>19</v>
      </c>
      <c r="F4344">
        <v>6</v>
      </c>
      <c r="G4344" t="s">
        <v>20</v>
      </c>
      <c r="H4344" s="1">
        <v>45598</v>
      </c>
      <c r="I4344" s="1">
        <v>45604</v>
      </c>
      <c r="J4344" t="str">
        <f t="shared" si="67"/>
        <v>Nov-2024</v>
      </c>
    </row>
    <row r="4345" spans="1:10">
      <c r="A4345">
        <v>4344</v>
      </c>
      <c r="B4345">
        <v>15357</v>
      </c>
      <c r="C4345" t="s">
        <v>23</v>
      </c>
      <c r="D4345">
        <v>150268.21</v>
      </c>
      <c r="E4345" t="s">
        <v>16</v>
      </c>
      <c r="F4345">
        <v>14</v>
      </c>
      <c r="G4345" t="s">
        <v>17</v>
      </c>
      <c r="H4345" s="1">
        <v>45357</v>
      </c>
      <c r="I4345" s="1">
        <v>45371</v>
      </c>
      <c r="J4345" t="str">
        <f t="shared" si="67"/>
        <v>Mar-2024</v>
      </c>
    </row>
    <row r="4346" spans="1:10">
      <c r="A4346">
        <v>4345</v>
      </c>
      <c r="B4346">
        <v>17548</v>
      </c>
      <c r="C4346" t="s">
        <v>22</v>
      </c>
      <c r="D4346">
        <v>128519.25</v>
      </c>
      <c r="E4346" t="s">
        <v>24</v>
      </c>
      <c r="G4346" t="s">
        <v>17</v>
      </c>
      <c r="H4346" s="1">
        <v>45387</v>
      </c>
      <c r="J4346" t="str">
        <f t="shared" si="67"/>
        <v>Apr-2024</v>
      </c>
    </row>
    <row r="4347" spans="1:10">
      <c r="A4347">
        <v>4346</v>
      </c>
      <c r="B4347">
        <v>13995</v>
      </c>
      <c r="C4347" t="s">
        <v>23</v>
      </c>
      <c r="D4347">
        <v>137332.26999999999</v>
      </c>
      <c r="E4347" t="s">
        <v>16</v>
      </c>
      <c r="F4347">
        <v>16</v>
      </c>
      <c r="G4347" t="s">
        <v>25</v>
      </c>
      <c r="H4347" s="1">
        <v>45436</v>
      </c>
      <c r="I4347" s="1">
        <v>45452</v>
      </c>
      <c r="J4347" t="str">
        <f t="shared" si="67"/>
        <v>May-2024</v>
      </c>
    </row>
    <row r="4348" spans="1:10">
      <c r="A4348">
        <v>4347</v>
      </c>
      <c r="B4348">
        <v>11410</v>
      </c>
      <c r="C4348" t="s">
        <v>23</v>
      </c>
      <c r="D4348">
        <v>162247.07999999999</v>
      </c>
      <c r="E4348" t="s">
        <v>24</v>
      </c>
      <c r="G4348" t="s">
        <v>21</v>
      </c>
      <c r="H4348" s="1">
        <v>45356</v>
      </c>
      <c r="J4348" t="str">
        <f t="shared" si="67"/>
        <v>Mar-2024</v>
      </c>
    </row>
    <row r="4349" spans="1:10">
      <c r="A4349">
        <v>4348</v>
      </c>
      <c r="B4349">
        <v>14764</v>
      </c>
      <c r="C4349" t="s">
        <v>23</v>
      </c>
      <c r="D4349">
        <v>134187.20000000001</v>
      </c>
      <c r="E4349" t="s">
        <v>19</v>
      </c>
      <c r="F4349">
        <v>6</v>
      </c>
      <c r="G4349" t="s">
        <v>20</v>
      </c>
      <c r="H4349" s="1">
        <v>45300</v>
      </c>
      <c r="I4349" s="1">
        <v>45306</v>
      </c>
      <c r="J4349" t="str">
        <f t="shared" si="67"/>
        <v>Jan-2024</v>
      </c>
    </row>
    <row r="4350" spans="1:10">
      <c r="A4350">
        <v>4349</v>
      </c>
      <c r="B4350">
        <v>11337</v>
      </c>
      <c r="C4350" t="s">
        <v>18</v>
      </c>
      <c r="D4350">
        <v>68906.759999999995</v>
      </c>
      <c r="E4350" t="s">
        <v>16</v>
      </c>
      <c r="F4350">
        <v>22</v>
      </c>
      <c r="G4350" t="s">
        <v>20</v>
      </c>
      <c r="H4350" s="1">
        <v>45648</v>
      </c>
      <c r="I4350" s="1">
        <v>45670</v>
      </c>
      <c r="J4350" t="str">
        <f t="shared" si="67"/>
        <v>Dec-2024</v>
      </c>
    </row>
    <row r="4351" spans="1:10">
      <c r="A4351">
        <v>4350</v>
      </c>
      <c r="B4351">
        <v>15420</v>
      </c>
      <c r="C4351" t="s">
        <v>23</v>
      </c>
      <c r="D4351">
        <v>78312.41</v>
      </c>
      <c r="E4351" t="s">
        <v>24</v>
      </c>
      <c r="G4351" t="s">
        <v>21</v>
      </c>
      <c r="H4351" s="1">
        <v>45477</v>
      </c>
      <c r="J4351" t="str">
        <f t="shared" si="67"/>
        <v>Jul-2024</v>
      </c>
    </row>
    <row r="4352" spans="1:10">
      <c r="A4352">
        <v>4351</v>
      </c>
      <c r="B4352">
        <v>10117</v>
      </c>
      <c r="C4352" t="s">
        <v>23</v>
      </c>
      <c r="D4352">
        <v>179926.21</v>
      </c>
      <c r="E4352" t="s">
        <v>16</v>
      </c>
      <c r="F4352">
        <v>24</v>
      </c>
      <c r="G4352" t="s">
        <v>20</v>
      </c>
      <c r="H4352" s="1">
        <v>45449</v>
      </c>
      <c r="I4352" s="1">
        <v>45473</v>
      </c>
      <c r="J4352" t="str">
        <f t="shared" si="67"/>
        <v>Jun-2024</v>
      </c>
    </row>
    <row r="4353" spans="1:10">
      <c r="A4353">
        <v>4352</v>
      </c>
      <c r="B4353">
        <v>11868</v>
      </c>
      <c r="C4353" t="s">
        <v>22</v>
      </c>
      <c r="D4353">
        <v>8338.81</v>
      </c>
      <c r="E4353" t="s">
        <v>19</v>
      </c>
      <c r="F4353">
        <v>39</v>
      </c>
      <c r="G4353" t="s">
        <v>17</v>
      </c>
      <c r="H4353" s="1">
        <v>45322</v>
      </c>
      <c r="I4353" s="1">
        <v>45361</v>
      </c>
      <c r="J4353" t="str">
        <f t="shared" si="67"/>
        <v>Jan-2024</v>
      </c>
    </row>
    <row r="4354" spans="1:10">
      <c r="A4354">
        <v>4353</v>
      </c>
      <c r="B4354">
        <v>12097</v>
      </c>
      <c r="C4354" t="s">
        <v>22</v>
      </c>
      <c r="D4354">
        <v>141270.01</v>
      </c>
      <c r="E4354" t="s">
        <v>19</v>
      </c>
      <c r="F4354">
        <v>30</v>
      </c>
      <c r="G4354" t="s">
        <v>17</v>
      </c>
      <c r="H4354" s="1">
        <v>45442</v>
      </c>
      <c r="I4354" s="1">
        <v>45472</v>
      </c>
      <c r="J4354" t="str">
        <f t="shared" si="67"/>
        <v>May-2024</v>
      </c>
    </row>
    <row r="4355" spans="1:10">
      <c r="A4355">
        <v>4354</v>
      </c>
      <c r="B4355">
        <v>11813</v>
      </c>
      <c r="C4355" t="s">
        <v>18</v>
      </c>
      <c r="D4355">
        <v>191181.62</v>
      </c>
      <c r="E4355" t="s">
        <v>19</v>
      </c>
      <c r="F4355">
        <v>14</v>
      </c>
      <c r="G4355" t="s">
        <v>20</v>
      </c>
      <c r="H4355" s="1">
        <v>45610</v>
      </c>
      <c r="I4355" s="1">
        <v>45624</v>
      </c>
      <c r="J4355" t="str">
        <f t="shared" ref="J4355:J4418" si="68">TEXT(H4355,"mmm-yyyy")</f>
        <v>Nov-2024</v>
      </c>
    </row>
    <row r="4356" spans="1:10">
      <c r="A4356">
        <v>4355</v>
      </c>
      <c r="B4356">
        <v>19779</v>
      </c>
      <c r="C4356" t="s">
        <v>23</v>
      </c>
      <c r="D4356">
        <v>142714.49</v>
      </c>
      <c r="E4356" t="s">
        <v>16</v>
      </c>
      <c r="F4356">
        <v>33</v>
      </c>
      <c r="G4356" t="s">
        <v>17</v>
      </c>
      <c r="H4356" s="1">
        <v>45533</v>
      </c>
      <c r="I4356" s="1">
        <v>45566</v>
      </c>
      <c r="J4356" t="str">
        <f t="shared" si="68"/>
        <v>Aug-2024</v>
      </c>
    </row>
    <row r="4357" spans="1:10">
      <c r="A4357">
        <v>4356</v>
      </c>
      <c r="B4357">
        <v>18734</v>
      </c>
      <c r="C4357" t="s">
        <v>23</v>
      </c>
      <c r="D4357">
        <v>198812.84</v>
      </c>
      <c r="E4357" t="s">
        <v>16</v>
      </c>
      <c r="F4357">
        <v>43</v>
      </c>
      <c r="G4357" t="s">
        <v>17</v>
      </c>
      <c r="H4357" s="1">
        <v>45447</v>
      </c>
      <c r="I4357" s="1">
        <v>45490</v>
      </c>
      <c r="J4357" t="str">
        <f t="shared" si="68"/>
        <v>Jun-2024</v>
      </c>
    </row>
    <row r="4358" spans="1:10">
      <c r="A4358">
        <v>4357</v>
      </c>
      <c r="B4358">
        <v>12374</v>
      </c>
      <c r="C4358" t="s">
        <v>18</v>
      </c>
      <c r="D4358">
        <v>139071.26</v>
      </c>
      <c r="E4358" t="s">
        <v>16</v>
      </c>
      <c r="F4358">
        <v>28</v>
      </c>
      <c r="G4358" t="s">
        <v>20</v>
      </c>
      <c r="H4358" s="1">
        <v>45350</v>
      </c>
      <c r="I4358" s="1">
        <v>45378</v>
      </c>
      <c r="J4358" t="str">
        <f t="shared" si="68"/>
        <v>Feb-2024</v>
      </c>
    </row>
    <row r="4359" spans="1:10">
      <c r="A4359">
        <v>4358</v>
      </c>
      <c r="B4359">
        <v>11526</v>
      </c>
      <c r="C4359" t="s">
        <v>23</v>
      </c>
      <c r="D4359">
        <v>11700.79</v>
      </c>
      <c r="E4359" t="s">
        <v>16</v>
      </c>
      <c r="F4359">
        <v>35</v>
      </c>
      <c r="G4359" t="s">
        <v>25</v>
      </c>
      <c r="H4359" s="1">
        <v>45301</v>
      </c>
      <c r="I4359" s="1">
        <v>45336</v>
      </c>
      <c r="J4359" t="str">
        <f t="shared" si="68"/>
        <v>Jan-2024</v>
      </c>
    </row>
    <row r="4360" spans="1:10">
      <c r="A4360">
        <v>4359</v>
      </c>
      <c r="B4360">
        <v>17087</v>
      </c>
      <c r="C4360" t="s">
        <v>22</v>
      </c>
      <c r="D4360">
        <v>166266.93</v>
      </c>
      <c r="E4360" t="s">
        <v>19</v>
      </c>
      <c r="F4360">
        <v>34</v>
      </c>
      <c r="G4360" t="s">
        <v>21</v>
      </c>
      <c r="H4360" s="1">
        <v>45636</v>
      </c>
      <c r="I4360" s="1">
        <v>45670</v>
      </c>
      <c r="J4360" t="str">
        <f t="shared" si="68"/>
        <v>Dec-2024</v>
      </c>
    </row>
    <row r="4361" spans="1:10">
      <c r="A4361">
        <v>4360</v>
      </c>
      <c r="B4361">
        <v>19461</v>
      </c>
      <c r="C4361" t="s">
        <v>18</v>
      </c>
      <c r="D4361">
        <v>60502.83</v>
      </c>
      <c r="E4361" t="s">
        <v>19</v>
      </c>
      <c r="F4361">
        <v>5</v>
      </c>
      <c r="G4361" t="s">
        <v>17</v>
      </c>
      <c r="H4361" s="1">
        <v>45415</v>
      </c>
      <c r="I4361" s="1">
        <v>45420</v>
      </c>
      <c r="J4361" t="str">
        <f t="shared" si="68"/>
        <v>May-2024</v>
      </c>
    </row>
    <row r="4362" spans="1:10">
      <c r="A4362">
        <v>4361</v>
      </c>
      <c r="B4362">
        <v>18793</v>
      </c>
      <c r="C4362" t="s">
        <v>23</v>
      </c>
      <c r="D4362">
        <v>91981.16</v>
      </c>
      <c r="E4362" t="s">
        <v>24</v>
      </c>
      <c r="G4362" t="s">
        <v>25</v>
      </c>
      <c r="H4362" s="1">
        <v>45647</v>
      </c>
      <c r="J4362" t="str">
        <f t="shared" si="68"/>
        <v>Dec-2024</v>
      </c>
    </row>
    <row r="4363" spans="1:10">
      <c r="A4363">
        <v>4362</v>
      </c>
      <c r="B4363">
        <v>13614</v>
      </c>
      <c r="C4363" t="s">
        <v>22</v>
      </c>
      <c r="D4363">
        <v>65857.919999999998</v>
      </c>
      <c r="E4363" t="s">
        <v>16</v>
      </c>
      <c r="F4363">
        <v>7</v>
      </c>
      <c r="G4363" t="s">
        <v>17</v>
      </c>
      <c r="H4363" s="1">
        <v>45637</v>
      </c>
      <c r="I4363" s="1">
        <v>45644</v>
      </c>
      <c r="J4363" t="str">
        <f t="shared" si="68"/>
        <v>Dec-2024</v>
      </c>
    </row>
    <row r="4364" spans="1:10">
      <c r="A4364">
        <v>4363</v>
      </c>
      <c r="B4364">
        <v>12149</v>
      </c>
      <c r="C4364" t="s">
        <v>22</v>
      </c>
      <c r="D4364">
        <v>57368.05</v>
      </c>
      <c r="E4364" t="s">
        <v>19</v>
      </c>
      <c r="F4364">
        <v>29</v>
      </c>
      <c r="G4364" t="s">
        <v>17</v>
      </c>
      <c r="H4364" s="1">
        <v>45573</v>
      </c>
      <c r="I4364" s="1">
        <v>45602</v>
      </c>
      <c r="J4364" t="str">
        <f t="shared" si="68"/>
        <v>Oct-2024</v>
      </c>
    </row>
    <row r="4365" spans="1:10">
      <c r="A4365">
        <v>4364</v>
      </c>
      <c r="B4365">
        <v>13301</v>
      </c>
      <c r="C4365" t="s">
        <v>23</v>
      </c>
      <c r="D4365">
        <v>89124.11</v>
      </c>
      <c r="E4365" t="s">
        <v>24</v>
      </c>
      <c r="G4365" t="s">
        <v>21</v>
      </c>
      <c r="H4365" s="1">
        <v>45528</v>
      </c>
      <c r="J4365" t="str">
        <f t="shared" si="68"/>
        <v>Aug-2024</v>
      </c>
    </row>
    <row r="4366" spans="1:10">
      <c r="A4366">
        <v>4365</v>
      </c>
      <c r="B4366">
        <v>18579</v>
      </c>
      <c r="C4366" t="s">
        <v>18</v>
      </c>
      <c r="D4366">
        <v>78856.53</v>
      </c>
      <c r="E4366" t="s">
        <v>19</v>
      </c>
      <c r="F4366">
        <v>27</v>
      </c>
      <c r="G4366" t="s">
        <v>17</v>
      </c>
      <c r="H4366" s="1">
        <v>45624</v>
      </c>
      <c r="I4366" s="1">
        <v>45651</v>
      </c>
      <c r="J4366" t="str">
        <f t="shared" si="68"/>
        <v>Nov-2024</v>
      </c>
    </row>
    <row r="4367" spans="1:10">
      <c r="A4367">
        <v>4366</v>
      </c>
      <c r="B4367">
        <v>13680</v>
      </c>
      <c r="C4367" t="s">
        <v>23</v>
      </c>
      <c r="D4367">
        <v>128501.02</v>
      </c>
      <c r="E4367" t="s">
        <v>16</v>
      </c>
      <c r="F4367">
        <v>21</v>
      </c>
      <c r="G4367" t="s">
        <v>21</v>
      </c>
      <c r="H4367" s="1">
        <v>45308</v>
      </c>
      <c r="I4367" s="1">
        <v>45329</v>
      </c>
      <c r="J4367" t="str">
        <f t="shared" si="68"/>
        <v>Jan-2024</v>
      </c>
    </row>
    <row r="4368" spans="1:10">
      <c r="A4368">
        <v>4367</v>
      </c>
      <c r="B4368">
        <v>19794</v>
      </c>
      <c r="C4368" t="s">
        <v>23</v>
      </c>
      <c r="D4368">
        <v>163564.48000000001</v>
      </c>
      <c r="E4368" t="s">
        <v>16</v>
      </c>
      <c r="F4368">
        <v>14</v>
      </c>
      <c r="G4368" t="s">
        <v>21</v>
      </c>
      <c r="H4368" s="1">
        <v>45615</v>
      </c>
      <c r="I4368" s="1">
        <v>45629</v>
      </c>
      <c r="J4368" t="str">
        <f t="shared" si="68"/>
        <v>Nov-2024</v>
      </c>
    </row>
    <row r="4369" spans="1:10">
      <c r="A4369">
        <v>4368</v>
      </c>
      <c r="B4369">
        <v>13282</v>
      </c>
      <c r="C4369" t="s">
        <v>23</v>
      </c>
      <c r="D4369">
        <v>62932.29</v>
      </c>
      <c r="E4369" t="s">
        <v>16</v>
      </c>
      <c r="F4369">
        <v>29</v>
      </c>
      <c r="G4369" t="s">
        <v>21</v>
      </c>
      <c r="H4369" s="1">
        <v>45314</v>
      </c>
      <c r="I4369" s="1">
        <v>45343</v>
      </c>
      <c r="J4369" t="str">
        <f t="shared" si="68"/>
        <v>Jan-2024</v>
      </c>
    </row>
    <row r="4370" spans="1:10">
      <c r="A4370">
        <v>4369</v>
      </c>
      <c r="B4370">
        <v>12696</v>
      </c>
      <c r="C4370" t="s">
        <v>18</v>
      </c>
      <c r="D4370">
        <v>46675.62</v>
      </c>
      <c r="E4370" t="s">
        <v>16</v>
      </c>
      <c r="F4370">
        <v>35</v>
      </c>
      <c r="G4370" t="s">
        <v>25</v>
      </c>
      <c r="H4370" s="1">
        <v>45300</v>
      </c>
      <c r="I4370" s="1">
        <v>45335</v>
      </c>
      <c r="J4370" t="str">
        <f t="shared" si="68"/>
        <v>Jan-2024</v>
      </c>
    </row>
    <row r="4371" spans="1:10">
      <c r="A4371">
        <v>4370</v>
      </c>
      <c r="B4371">
        <v>14151</v>
      </c>
      <c r="C4371" t="s">
        <v>22</v>
      </c>
      <c r="D4371">
        <v>135044.57999999999</v>
      </c>
      <c r="E4371" t="s">
        <v>16</v>
      </c>
      <c r="F4371">
        <v>24</v>
      </c>
      <c r="G4371" t="s">
        <v>20</v>
      </c>
      <c r="H4371" s="1">
        <v>45498</v>
      </c>
      <c r="I4371" s="1">
        <v>45522</v>
      </c>
      <c r="J4371" t="str">
        <f t="shared" si="68"/>
        <v>Jul-2024</v>
      </c>
    </row>
    <row r="4372" spans="1:10">
      <c r="A4372">
        <v>4371</v>
      </c>
      <c r="B4372">
        <v>11305</v>
      </c>
      <c r="C4372" t="s">
        <v>18</v>
      </c>
      <c r="D4372">
        <v>135712.41</v>
      </c>
      <c r="E4372" t="s">
        <v>24</v>
      </c>
      <c r="G4372" t="s">
        <v>25</v>
      </c>
      <c r="H4372" s="1">
        <v>45336</v>
      </c>
      <c r="J4372" t="str">
        <f t="shared" si="68"/>
        <v>Feb-2024</v>
      </c>
    </row>
    <row r="4373" spans="1:10">
      <c r="A4373">
        <v>4372</v>
      </c>
      <c r="B4373">
        <v>10716</v>
      </c>
      <c r="C4373" t="s">
        <v>23</v>
      </c>
      <c r="D4373">
        <v>180720.59</v>
      </c>
      <c r="E4373" t="s">
        <v>16</v>
      </c>
      <c r="F4373">
        <v>31</v>
      </c>
      <c r="G4373" t="s">
        <v>20</v>
      </c>
      <c r="H4373" s="1">
        <v>45622</v>
      </c>
      <c r="I4373" s="1">
        <v>45653</v>
      </c>
      <c r="J4373" t="str">
        <f t="shared" si="68"/>
        <v>Nov-2024</v>
      </c>
    </row>
    <row r="4374" spans="1:10">
      <c r="A4374">
        <v>4373</v>
      </c>
      <c r="B4374">
        <v>15845</v>
      </c>
      <c r="C4374" t="s">
        <v>18</v>
      </c>
      <c r="D4374">
        <v>8109.41</v>
      </c>
      <c r="E4374" t="s">
        <v>16</v>
      </c>
      <c r="F4374">
        <v>23</v>
      </c>
      <c r="G4374" t="s">
        <v>20</v>
      </c>
      <c r="H4374" s="1">
        <v>45318</v>
      </c>
      <c r="I4374" s="1">
        <v>45341</v>
      </c>
      <c r="J4374" t="str">
        <f t="shared" si="68"/>
        <v>Jan-2024</v>
      </c>
    </row>
    <row r="4375" spans="1:10">
      <c r="A4375">
        <v>4374</v>
      </c>
      <c r="B4375">
        <v>15758</v>
      </c>
      <c r="C4375" t="s">
        <v>23</v>
      </c>
      <c r="D4375">
        <v>171342.93</v>
      </c>
      <c r="E4375" t="s">
        <v>16</v>
      </c>
      <c r="F4375">
        <v>6</v>
      </c>
      <c r="G4375" t="s">
        <v>21</v>
      </c>
      <c r="H4375" s="1">
        <v>45479</v>
      </c>
      <c r="I4375" s="1">
        <v>45485</v>
      </c>
      <c r="J4375" t="str">
        <f t="shared" si="68"/>
        <v>Jul-2024</v>
      </c>
    </row>
    <row r="4376" spans="1:10">
      <c r="A4376">
        <v>4375</v>
      </c>
      <c r="B4376">
        <v>13655</v>
      </c>
      <c r="C4376" t="s">
        <v>15</v>
      </c>
      <c r="D4376">
        <v>106595.42</v>
      </c>
      <c r="E4376" t="s">
        <v>19</v>
      </c>
      <c r="F4376">
        <v>10</v>
      </c>
      <c r="G4376" t="s">
        <v>17</v>
      </c>
      <c r="H4376" s="1">
        <v>45431</v>
      </c>
      <c r="I4376" s="1">
        <v>45441</v>
      </c>
      <c r="J4376" t="str">
        <f t="shared" si="68"/>
        <v>May-2024</v>
      </c>
    </row>
    <row r="4377" spans="1:10">
      <c r="A4377">
        <v>4376</v>
      </c>
      <c r="B4377">
        <v>16359</v>
      </c>
      <c r="C4377" t="s">
        <v>23</v>
      </c>
      <c r="D4377">
        <v>126153.91</v>
      </c>
      <c r="E4377" t="s">
        <v>24</v>
      </c>
      <c r="G4377" t="s">
        <v>21</v>
      </c>
      <c r="H4377" s="1">
        <v>45300</v>
      </c>
      <c r="J4377" t="str">
        <f t="shared" si="68"/>
        <v>Jan-2024</v>
      </c>
    </row>
    <row r="4378" spans="1:10">
      <c r="A4378">
        <v>4377</v>
      </c>
      <c r="B4378">
        <v>18505</v>
      </c>
      <c r="C4378" t="s">
        <v>23</v>
      </c>
      <c r="D4378">
        <v>22817.43</v>
      </c>
      <c r="E4378" t="s">
        <v>19</v>
      </c>
      <c r="F4378">
        <v>5</v>
      </c>
      <c r="G4378" t="s">
        <v>17</v>
      </c>
      <c r="H4378" s="1">
        <v>45525</v>
      </c>
      <c r="I4378" s="1">
        <v>45530</v>
      </c>
      <c r="J4378" t="str">
        <f t="shared" si="68"/>
        <v>Aug-2024</v>
      </c>
    </row>
    <row r="4379" spans="1:10">
      <c r="A4379">
        <v>4378</v>
      </c>
      <c r="B4379">
        <v>12280</v>
      </c>
      <c r="C4379" t="s">
        <v>23</v>
      </c>
      <c r="D4379">
        <v>89359.91</v>
      </c>
      <c r="E4379" t="s">
        <v>16</v>
      </c>
      <c r="F4379">
        <v>43</v>
      </c>
      <c r="G4379" t="s">
        <v>20</v>
      </c>
      <c r="H4379" s="1">
        <v>45383</v>
      </c>
      <c r="I4379" s="1">
        <v>45426</v>
      </c>
      <c r="J4379" t="str">
        <f t="shared" si="68"/>
        <v>Apr-2024</v>
      </c>
    </row>
    <row r="4380" spans="1:10">
      <c r="A4380">
        <v>4379</v>
      </c>
      <c r="B4380">
        <v>12622</v>
      </c>
      <c r="C4380" t="s">
        <v>18</v>
      </c>
      <c r="D4380">
        <v>49323.97</v>
      </c>
      <c r="E4380" t="s">
        <v>16</v>
      </c>
      <c r="F4380">
        <v>2</v>
      </c>
      <c r="G4380" t="s">
        <v>21</v>
      </c>
      <c r="H4380" s="1">
        <v>45368</v>
      </c>
      <c r="I4380" s="1">
        <v>45370</v>
      </c>
      <c r="J4380" t="str">
        <f t="shared" si="68"/>
        <v>Mar-2024</v>
      </c>
    </row>
    <row r="4381" spans="1:10">
      <c r="A4381">
        <v>4380</v>
      </c>
      <c r="B4381">
        <v>19079</v>
      </c>
      <c r="C4381" t="s">
        <v>23</v>
      </c>
      <c r="D4381">
        <v>54573.88</v>
      </c>
      <c r="E4381" t="s">
        <v>19</v>
      </c>
      <c r="F4381">
        <v>35</v>
      </c>
      <c r="G4381" t="s">
        <v>17</v>
      </c>
      <c r="H4381" s="1">
        <v>45631</v>
      </c>
      <c r="I4381" s="1">
        <v>45666</v>
      </c>
      <c r="J4381" t="str">
        <f t="shared" si="68"/>
        <v>Dec-2024</v>
      </c>
    </row>
    <row r="4382" spans="1:10">
      <c r="A4382">
        <v>4381</v>
      </c>
      <c r="B4382">
        <v>14342</v>
      </c>
      <c r="C4382" t="s">
        <v>18</v>
      </c>
      <c r="D4382">
        <v>103298.55</v>
      </c>
      <c r="E4382" t="s">
        <v>16</v>
      </c>
      <c r="F4382">
        <v>42</v>
      </c>
      <c r="G4382" t="s">
        <v>25</v>
      </c>
      <c r="H4382" s="1">
        <v>45535</v>
      </c>
      <c r="I4382" s="1">
        <v>45577</v>
      </c>
      <c r="J4382" t="str">
        <f t="shared" si="68"/>
        <v>Aug-2024</v>
      </c>
    </row>
    <row r="4383" spans="1:10">
      <c r="A4383">
        <v>4382</v>
      </c>
      <c r="B4383">
        <v>12489</v>
      </c>
      <c r="C4383" t="s">
        <v>23</v>
      </c>
      <c r="D4383">
        <v>163428.91</v>
      </c>
      <c r="E4383" t="s">
        <v>16</v>
      </c>
      <c r="F4383">
        <v>27</v>
      </c>
      <c r="G4383" t="s">
        <v>17</v>
      </c>
      <c r="H4383" s="1">
        <v>45624</v>
      </c>
      <c r="I4383" s="1">
        <v>45651</v>
      </c>
      <c r="J4383" t="str">
        <f t="shared" si="68"/>
        <v>Nov-2024</v>
      </c>
    </row>
    <row r="4384" spans="1:10">
      <c r="A4384">
        <v>4383</v>
      </c>
      <c r="B4384">
        <v>11922</v>
      </c>
      <c r="C4384" t="s">
        <v>23</v>
      </c>
      <c r="D4384">
        <v>150037.28</v>
      </c>
      <c r="E4384" t="s">
        <v>16</v>
      </c>
      <c r="F4384">
        <v>19</v>
      </c>
      <c r="G4384" t="s">
        <v>21</v>
      </c>
      <c r="H4384" s="1">
        <v>45446</v>
      </c>
      <c r="I4384" s="1">
        <v>45465</v>
      </c>
      <c r="J4384" t="str">
        <f t="shared" si="68"/>
        <v>Jun-2024</v>
      </c>
    </row>
    <row r="4385" spans="1:10">
      <c r="A4385">
        <v>4384</v>
      </c>
      <c r="B4385">
        <v>16278</v>
      </c>
      <c r="C4385" t="s">
        <v>23</v>
      </c>
      <c r="D4385">
        <v>120244.99</v>
      </c>
      <c r="E4385" t="s">
        <v>16</v>
      </c>
      <c r="F4385">
        <v>17</v>
      </c>
      <c r="G4385" t="s">
        <v>25</v>
      </c>
      <c r="H4385" s="1">
        <v>45509</v>
      </c>
      <c r="I4385" s="1">
        <v>45526</v>
      </c>
      <c r="J4385" t="str">
        <f t="shared" si="68"/>
        <v>Aug-2024</v>
      </c>
    </row>
    <row r="4386" spans="1:10">
      <c r="A4386">
        <v>4385</v>
      </c>
      <c r="B4386">
        <v>18115</v>
      </c>
      <c r="C4386" t="s">
        <v>22</v>
      </c>
      <c r="D4386">
        <v>110186.55</v>
      </c>
      <c r="E4386" t="s">
        <v>19</v>
      </c>
      <c r="F4386">
        <v>24</v>
      </c>
      <c r="G4386" t="s">
        <v>17</v>
      </c>
      <c r="H4386" s="1">
        <v>45576</v>
      </c>
      <c r="I4386" s="1">
        <v>45600</v>
      </c>
      <c r="J4386" t="str">
        <f t="shared" si="68"/>
        <v>Oct-2024</v>
      </c>
    </row>
    <row r="4387" spans="1:10">
      <c r="A4387">
        <v>4386</v>
      </c>
      <c r="B4387">
        <v>18049</v>
      </c>
      <c r="C4387" t="s">
        <v>22</v>
      </c>
      <c r="D4387">
        <v>88324.68</v>
      </c>
      <c r="E4387" t="s">
        <v>16</v>
      </c>
      <c r="F4387">
        <v>37</v>
      </c>
      <c r="G4387" t="s">
        <v>17</v>
      </c>
      <c r="H4387" s="1">
        <v>45441</v>
      </c>
      <c r="I4387" s="1">
        <v>45478</v>
      </c>
      <c r="J4387" t="str">
        <f t="shared" si="68"/>
        <v>May-2024</v>
      </c>
    </row>
    <row r="4388" spans="1:10">
      <c r="A4388">
        <v>4387</v>
      </c>
      <c r="B4388">
        <v>14029</v>
      </c>
      <c r="C4388" t="s">
        <v>23</v>
      </c>
      <c r="D4388">
        <v>194678.44</v>
      </c>
      <c r="E4388" t="s">
        <v>16</v>
      </c>
      <c r="F4388">
        <v>27</v>
      </c>
      <c r="G4388" t="s">
        <v>17</v>
      </c>
      <c r="H4388" s="1">
        <v>45620</v>
      </c>
      <c r="I4388" s="1">
        <v>45647</v>
      </c>
      <c r="J4388" t="str">
        <f t="shared" si="68"/>
        <v>Nov-2024</v>
      </c>
    </row>
    <row r="4389" spans="1:10">
      <c r="A4389">
        <v>4388</v>
      </c>
      <c r="B4389">
        <v>13063</v>
      </c>
      <c r="C4389" t="s">
        <v>23</v>
      </c>
      <c r="D4389">
        <v>114237.55</v>
      </c>
      <c r="E4389" t="s">
        <v>16</v>
      </c>
      <c r="F4389">
        <v>3</v>
      </c>
      <c r="G4389" t="s">
        <v>17</v>
      </c>
      <c r="H4389" s="1">
        <v>45379</v>
      </c>
      <c r="I4389" s="1">
        <v>45382</v>
      </c>
      <c r="J4389" t="str">
        <f t="shared" si="68"/>
        <v>Mar-2024</v>
      </c>
    </row>
    <row r="4390" spans="1:10">
      <c r="A4390">
        <v>4389</v>
      </c>
      <c r="B4390">
        <v>18352</v>
      </c>
      <c r="C4390" t="s">
        <v>23</v>
      </c>
      <c r="D4390">
        <v>54523.45</v>
      </c>
      <c r="E4390" t="s">
        <v>16</v>
      </c>
      <c r="F4390">
        <v>6</v>
      </c>
      <c r="G4390" t="s">
        <v>17</v>
      </c>
      <c r="H4390" s="1">
        <v>45397</v>
      </c>
      <c r="I4390" s="1">
        <v>45403</v>
      </c>
      <c r="J4390" t="str">
        <f t="shared" si="68"/>
        <v>Apr-2024</v>
      </c>
    </row>
    <row r="4391" spans="1:10">
      <c r="A4391">
        <v>4390</v>
      </c>
      <c r="B4391">
        <v>19675</v>
      </c>
      <c r="C4391" t="s">
        <v>18</v>
      </c>
      <c r="D4391">
        <v>49867.7</v>
      </c>
      <c r="E4391" t="s">
        <v>16</v>
      </c>
      <c r="F4391">
        <v>30</v>
      </c>
      <c r="G4391" t="s">
        <v>25</v>
      </c>
      <c r="H4391" s="1">
        <v>45585</v>
      </c>
      <c r="I4391" s="1">
        <v>45615</v>
      </c>
      <c r="J4391" t="str">
        <f t="shared" si="68"/>
        <v>Oct-2024</v>
      </c>
    </row>
    <row r="4392" spans="1:10">
      <c r="A4392">
        <v>4391</v>
      </c>
      <c r="B4392">
        <v>13892</v>
      </c>
      <c r="C4392" t="s">
        <v>23</v>
      </c>
      <c r="D4392">
        <v>124213.84</v>
      </c>
      <c r="E4392" t="s">
        <v>16</v>
      </c>
      <c r="F4392">
        <v>5</v>
      </c>
      <c r="G4392" t="s">
        <v>20</v>
      </c>
      <c r="H4392" s="1">
        <v>45386</v>
      </c>
      <c r="I4392" s="1">
        <v>45391</v>
      </c>
      <c r="J4392" t="str">
        <f t="shared" si="68"/>
        <v>Apr-2024</v>
      </c>
    </row>
    <row r="4393" spans="1:10">
      <c r="A4393">
        <v>4392</v>
      </c>
      <c r="B4393">
        <v>11737</v>
      </c>
      <c r="C4393" t="s">
        <v>22</v>
      </c>
      <c r="D4393">
        <v>106951.37</v>
      </c>
      <c r="E4393" t="s">
        <v>16</v>
      </c>
      <c r="F4393">
        <v>36</v>
      </c>
      <c r="G4393" t="s">
        <v>25</v>
      </c>
      <c r="H4393" s="1">
        <v>45544</v>
      </c>
      <c r="I4393" s="1">
        <v>45580</v>
      </c>
      <c r="J4393" t="str">
        <f t="shared" si="68"/>
        <v>Sep-2024</v>
      </c>
    </row>
    <row r="4394" spans="1:10">
      <c r="A4394">
        <v>4393</v>
      </c>
      <c r="B4394">
        <v>14220</v>
      </c>
      <c r="C4394" t="s">
        <v>22</v>
      </c>
      <c r="D4394">
        <v>6501.07</v>
      </c>
      <c r="E4394" t="s">
        <v>16</v>
      </c>
      <c r="F4394">
        <v>23</v>
      </c>
      <c r="G4394" t="s">
        <v>25</v>
      </c>
      <c r="H4394" s="1">
        <v>45330</v>
      </c>
      <c r="I4394" s="1">
        <v>45353</v>
      </c>
      <c r="J4394" t="str">
        <f t="shared" si="68"/>
        <v>Feb-2024</v>
      </c>
    </row>
    <row r="4395" spans="1:10">
      <c r="A4395">
        <v>4394</v>
      </c>
      <c r="B4395">
        <v>17080</v>
      </c>
      <c r="C4395" t="s">
        <v>23</v>
      </c>
      <c r="D4395">
        <v>166862.75</v>
      </c>
      <c r="E4395" t="s">
        <v>16</v>
      </c>
      <c r="F4395">
        <v>9</v>
      </c>
      <c r="G4395" t="s">
        <v>25</v>
      </c>
      <c r="H4395" s="1">
        <v>45546</v>
      </c>
      <c r="I4395" s="1">
        <v>45555</v>
      </c>
      <c r="J4395" t="str">
        <f t="shared" si="68"/>
        <v>Sep-2024</v>
      </c>
    </row>
    <row r="4396" spans="1:10">
      <c r="A4396">
        <v>4395</v>
      </c>
      <c r="B4396">
        <v>19562</v>
      </c>
      <c r="C4396" t="s">
        <v>23</v>
      </c>
      <c r="D4396">
        <v>142303.85999999999</v>
      </c>
      <c r="E4396" t="s">
        <v>16</v>
      </c>
      <c r="F4396">
        <v>22</v>
      </c>
      <c r="G4396" t="s">
        <v>20</v>
      </c>
      <c r="H4396" s="1">
        <v>45345</v>
      </c>
      <c r="I4396" s="1">
        <v>45367</v>
      </c>
      <c r="J4396" t="str">
        <f t="shared" si="68"/>
        <v>Feb-2024</v>
      </c>
    </row>
    <row r="4397" spans="1:10">
      <c r="A4397">
        <v>4396</v>
      </c>
      <c r="B4397">
        <v>13395</v>
      </c>
      <c r="C4397" t="s">
        <v>15</v>
      </c>
      <c r="D4397">
        <v>134056.71</v>
      </c>
      <c r="E4397" t="s">
        <v>16</v>
      </c>
      <c r="F4397">
        <v>9</v>
      </c>
      <c r="G4397" t="s">
        <v>21</v>
      </c>
      <c r="H4397" s="1">
        <v>45534</v>
      </c>
      <c r="I4397" s="1">
        <v>45543</v>
      </c>
      <c r="J4397" t="str">
        <f t="shared" si="68"/>
        <v>Aug-2024</v>
      </c>
    </row>
    <row r="4398" spans="1:10">
      <c r="A4398">
        <v>4397</v>
      </c>
      <c r="B4398">
        <v>12454</v>
      </c>
      <c r="C4398" t="s">
        <v>15</v>
      </c>
      <c r="D4398">
        <v>18412.23</v>
      </c>
      <c r="E4398" t="s">
        <v>16</v>
      </c>
      <c r="F4398">
        <v>6</v>
      </c>
      <c r="G4398" t="s">
        <v>20</v>
      </c>
      <c r="H4398" s="1">
        <v>45401</v>
      </c>
      <c r="I4398" s="1">
        <v>45407</v>
      </c>
      <c r="J4398" t="str">
        <f t="shared" si="68"/>
        <v>Apr-2024</v>
      </c>
    </row>
    <row r="4399" spans="1:10">
      <c r="A4399">
        <v>4398</v>
      </c>
      <c r="B4399">
        <v>14957</v>
      </c>
      <c r="C4399" t="s">
        <v>23</v>
      </c>
      <c r="D4399">
        <v>75600.89</v>
      </c>
      <c r="E4399" t="s">
        <v>19</v>
      </c>
      <c r="F4399">
        <v>22</v>
      </c>
      <c r="G4399" t="s">
        <v>25</v>
      </c>
      <c r="H4399" s="1">
        <v>45545</v>
      </c>
      <c r="I4399" s="1">
        <v>45567</v>
      </c>
      <c r="J4399" t="str">
        <f t="shared" si="68"/>
        <v>Sep-2024</v>
      </c>
    </row>
    <row r="4400" spans="1:10">
      <c r="A4400">
        <v>4399</v>
      </c>
      <c r="B4400">
        <v>12287</v>
      </c>
      <c r="C4400" t="s">
        <v>23</v>
      </c>
      <c r="D4400">
        <v>187399.54</v>
      </c>
      <c r="E4400" t="s">
        <v>16</v>
      </c>
      <c r="F4400">
        <v>28</v>
      </c>
      <c r="G4400" t="s">
        <v>17</v>
      </c>
      <c r="H4400" s="1">
        <v>45403</v>
      </c>
      <c r="I4400" s="1">
        <v>45431</v>
      </c>
      <c r="J4400" t="str">
        <f t="shared" si="68"/>
        <v>Apr-2024</v>
      </c>
    </row>
    <row r="4401" spans="1:10">
      <c r="A4401">
        <v>4400</v>
      </c>
      <c r="B4401">
        <v>19428</v>
      </c>
      <c r="C4401" t="s">
        <v>23</v>
      </c>
      <c r="D4401">
        <v>173204.9</v>
      </c>
      <c r="E4401" t="s">
        <v>16</v>
      </c>
      <c r="F4401">
        <v>39</v>
      </c>
      <c r="G4401" t="s">
        <v>17</v>
      </c>
      <c r="H4401" s="1">
        <v>45465</v>
      </c>
      <c r="I4401" s="1">
        <v>45504</v>
      </c>
      <c r="J4401" t="str">
        <f t="shared" si="68"/>
        <v>Jun-2024</v>
      </c>
    </row>
    <row r="4402" spans="1:10">
      <c r="A4402">
        <v>4401</v>
      </c>
      <c r="B4402">
        <v>18150</v>
      </c>
      <c r="C4402" t="s">
        <v>23</v>
      </c>
      <c r="D4402">
        <v>60680.87</v>
      </c>
      <c r="E4402" t="s">
        <v>16</v>
      </c>
      <c r="F4402">
        <v>6</v>
      </c>
      <c r="G4402" t="s">
        <v>25</v>
      </c>
      <c r="H4402" s="1">
        <v>45480</v>
      </c>
      <c r="I4402" s="1">
        <v>45486</v>
      </c>
      <c r="J4402" t="str">
        <f t="shared" si="68"/>
        <v>Jul-2024</v>
      </c>
    </row>
    <row r="4403" spans="1:10">
      <c r="A4403">
        <v>4402</v>
      </c>
      <c r="B4403">
        <v>16292</v>
      </c>
      <c r="C4403" t="s">
        <v>23</v>
      </c>
      <c r="D4403">
        <v>35626.480000000003</v>
      </c>
      <c r="E4403" t="s">
        <v>24</v>
      </c>
      <c r="G4403" t="s">
        <v>17</v>
      </c>
      <c r="H4403" s="1">
        <v>45512</v>
      </c>
      <c r="J4403" t="str">
        <f t="shared" si="68"/>
        <v>Aug-2024</v>
      </c>
    </row>
    <row r="4404" spans="1:10">
      <c r="A4404">
        <v>4403</v>
      </c>
      <c r="B4404">
        <v>19398</v>
      </c>
      <c r="C4404" t="s">
        <v>23</v>
      </c>
      <c r="D4404">
        <v>92572.15</v>
      </c>
      <c r="E4404" t="s">
        <v>16</v>
      </c>
      <c r="F4404">
        <v>9</v>
      </c>
      <c r="G4404" t="s">
        <v>25</v>
      </c>
      <c r="H4404" s="1">
        <v>45540</v>
      </c>
      <c r="I4404" s="1">
        <v>45549</v>
      </c>
      <c r="J4404" t="str">
        <f t="shared" si="68"/>
        <v>Sep-2024</v>
      </c>
    </row>
    <row r="4405" spans="1:10">
      <c r="A4405">
        <v>4404</v>
      </c>
      <c r="B4405">
        <v>18696</v>
      </c>
      <c r="C4405" t="s">
        <v>18</v>
      </c>
      <c r="D4405">
        <v>74386.92</v>
      </c>
      <c r="E4405" t="s">
        <v>16</v>
      </c>
      <c r="F4405">
        <v>23</v>
      </c>
      <c r="G4405" t="s">
        <v>17</v>
      </c>
      <c r="H4405" s="1">
        <v>45343</v>
      </c>
      <c r="I4405" s="1">
        <v>45366</v>
      </c>
      <c r="J4405" t="str">
        <f t="shared" si="68"/>
        <v>Feb-2024</v>
      </c>
    </row>
    <row r="4406" spans="1:10">
      <c r="A4406">
        <v>4405</v>
      </c>
      <c r="B4406">
        <v>19595</v>
      </c>
      <c r="C4406" t="s">
        <v>23</v>
      </c>
      <c r="D4406">
        <v>138034.14000000001</v>
      </c>
      <c r="E4406" t="s">
        <v>19</v>
      </c>
      <c r="F4406">
        <v>19</v>
      </c>
      <c r="G4406" t="s">
        <v>20</v>
      </c>
      <c r="H4406" s="1">
        <v>45453</v>
      </c>
      <c r="I4406" s="1">
        <v>45472</v>
      </c>
      <c r="J4406" t="str">
        <f t="shared" si="68"/>
        <v>Jun-2024</v>
      </c>
    </row>
    <row r="4407" spans="1:10">
      <c r="A4407">
        <v>4406</v>
      </c>
      <c r="B4407">
        <v>19959</v>
      </c>
      <c r="C4407" t="s">
        <v>23</v>
      </c>
      <c r="D4407">
        <v>193454.79</v>
      </c>
      <c r="E4407" t="s">
        <v>19</v>
      </c>
      <c r="F4407">
        <v>5</v>
      </c>
      <c r="G4407" t="s">
        <v>21</v>
      </c>
      <c r="H4407" s="1">
        <v>45326</v>
      </c>
      <c r="I4407" s="1">
        <v>45331</v>
      </c>
      <c r="J4407" t="str">
        <f t="shared" si="68"/>
        <v>Feb-2024</v>
      </c>
    </row>
    <row r="4408" spans="1:10">
      <c r="A4408">
        <v>4407</v>
      </c>
      <c r="B4408">
        <v>13733</v>
      </c>
      <c r="C4408" t="s">
        <v>23</v>
      </c>
      <c r="D4408">
        <v>75785.279999999999</v>
      </c>
      <c r="E4408" t="s">
        <v>19</v>
      </c>
      <c r="F4408">
        <v>5</v>
      </c>
      <c r="G4408" t="s">
        <v>21</v>
      </c>
      <c r="H4408" s="1">
        <v>45328</v>
      </c>
      <c r="I4408" s="1">
        <v>45333</v>
      </c>
      <c r="J4408" t="str">
        <f t="shared" si="68"/>
        <v>Feb-2024</v>
      </c>
    </row>
    <row r="4409" spans="1:10">
      <c r="A4409">
        <v>4408</v>
      </c>
      <c r="B4409">
        <v>18892</v>
      </c>
      <c r="C4409" t="s">
        <v>15</v>
      </c>
      <c r="D4409">
        <v>17133.71</v>
      </c>
      <c r="E4409" t="s">
        <v>16</v>
      </c>
      <c r="F4409">
        <v>38</v>
      </c>
      <c r="G4409" t="s">
        <v>20</v>
      </c>
      <c r="H4409" s="1">
        <v>45625</v>
      </c>
      <c r="I4409" s="1">
        <v>45663</v>
      </c>
      <c r="J4409" t="str">
        <f t="shared" si="68"/>
        <v>Nov-2024</v>
      </c>
    </row>
    <row r="4410" spans="1:10">
      <c r="A4410">
        <v>4409</v>
      </c>
      <c r="B4410">
        <v>15113</v>
      </c>
      <c r="C4410" t="s">
        <v>15</v>
      </c>
      <c r="D4410">
        <v>180034.73</v>
      </c>
      <c r="E4410" t="s">
        <v>16</v>
      </c>
      <c r="F4410">
        <v>16</v>
      </c>
      <c r="G4410" t="s">
        <v>20</v>
      </c>
      <c r="H4410" s="1">
        <v>45608</v>
      </c>
      <c r="I4410" s="1">
        <v>45624</v>
      </c>
      <c r="J4410" t="str">
        <f t="shared" si="68"/>
        <v>Nov-2024</v>
      </c>
    </row>
    <row r="4411" spans="1:10">
      <c r="A4411">
        <v>4410</v>
      </c>
      <c r="B4411">
        <v>13005</v>
      </c>
      <c r="C4411" t="s">
        <v>23</v>
      </c>
      <c r="D4411">
        <v>12400.2</v>
      </c>
      <c r="E4411" t="s">
        <v>16</v>
      </c>
      <c r="F4411">
        <v>39</v>
      </c>
      <c r="G4411" t="s">
        <v>25</v>
      </c>
      <c r="H4411" s="1">
        <v>45402</v>
      </c>
      <c r="I4411" s="1">
        <v>45441</v>
      </c>
      <c r="J4411" t="str">
        <f t="shared" si="68"/>
        <v>Apr-2024</v>
      </c>
    </row>
    <row r="4412" spans="1:10">
      <c r="A4412">
        <v>4411</v>
      </c>
      <c r="B4412">
        <v>14790</v>
      </c>
      <c r="C4412" t="s">
        <v>23</v>
      </c>
      <c r="D4412">
        <v>190789.35</v>
      </c>
      <c r="E4412" t="s">
        <v>24</v>
      </c>
      <c r="G4412" t="s">
        <v>25</v>
      </c>
      <c r="H4412" s="1">
        <v>45468</v>
      </c>
      <c r="J4412" t="str">
        <f t="shared" si="68"/>
        <v>Jun-2024</v>
      </c>
    </row>
    <row r="4413" spans="1:10">
      <c r="A4413">
        <v>4412</v>
      </c>
      <c r="B4413">
        <v>10010</v>
      </c>
      <c r="C4413" t="s">
        <v>22</v>
      </c>
      <c r="D4413">
        <v>134592.99</v>
      </c>
      <c r="E4413" t="s">
        <v>16</v>
      </c>
      <c r="F4413">
        <v>22</v>
      </c>
      <c r="G4413" t="s">
        <v>25</v>
      </c>
      <c r="H4413" s="1">
        <v>45300</v>
      </c>
      <c r="I4413" s="1">
        <v>45322</v>
      </c>
      <c r="J4413" t="str">
        <f t="shared" si="68"/>
        <v>Jan-2024</v>
      </c>
    </row>
    <row r="4414" spans="1:10">
      <c r="A4414">
        <v>4413</v>
      </c>
      <c r="B4414">
        <v>15221</v>
      </c>
      <c r="C4414" t="s">
        <v>23</v>
      </c>
      <c r="D4414">
        <v>188629.4</v>
      </c>
      <c r="E4414" t="s">
        <v>16</v>
      </c>
      <c r="F4414">
        <v>5</v>
      </c>
      <c r="G4414" t="s">
        <v>17</v>
      </c>
      <c r="H4414" s="1">
        <v>45566</v>
      </c>
      <c r="I4414" s="1">
        <v>45571</v>
      </c>
      <c r="J4414" t="str">
        <f t="shared" si="68"/>
        <v>Oct-2024</v>
      </c>
    </row>
    <row r="4415" spans="1:10">
      <c r="A4415">
        <v>4414</v>
      </c>
      <c r="B4415">
        <v>13677</v>
      </c>
      <c r="C4415" t="s">
        <v>23</v>
      </c>
      <c r="D4415">
        <v>43933.64</v>
      </c>
      <c r="E4415" t="s">
        <v>24</v>
      </c>
      <c r="G4415" t="s">
        <v>25</v>
      </c>
      <c r="H4415" s="1">
        <v>45412</v>
      </c>
      <c r="J4415" t="str">
        <f t="shared" si="68"/>
        <v>Apr-2024</v>
      </c>
    </row>
    <row r="4416" spans="1:10">
      <c r="A4416">
        <v>4415</v>
      </c>
      <c r="B4416">
        <v>19164</v>
      </c>
      <c r="C4416" t="s">
        <v>23</v>
      </c>
      <c r="D4416">
        <v>12936.46</v>
      </c>
      <c r="E4416" t="s">
        <v>24</v>
      </c>
      <c r="G4416" t="s">
        <v>20</v>
      </c>
      <c r="H4416" s="1">
        <v>45396</v>
      </c>
      <c r="J4416" t="str">
        <f t="shared" si="68"/>
        <v>Apr-2024</v>
      </c>
    </row>
    <row r="4417" spans="1:10">
      <c r="A4417">
        <v>4416</v>
      </c>
      <c r="B4417">
        <v>17334</v>
      </c>
      <c r="C4417" t="s">
        <v>23</v>
      </c>
      <c r="D4417">
        <v>100200.95</v>
      </c>
      <c r="E4417" t="s">
        <v>24</v>
      </c>
      <c r="G4417" t="s">
        <v>21</v>
      </c>
      <c r="H4417" s="1">
        <v>45447</v>
      </c>
      <c r="J4417" t="str">
        <f t="shared" si="68"/>
        <v>Jun-2024</v>
      </c>
    </row>
    <row r="4418" spans="1:10">
      <c r="A4418">
        <v>4417</v>
      </c>
      <c r="B4418">
        <v>15164</v>
      </c>
      <c r="C4418" t="s">
        <v>23</v>
      </c>
      <c r="D4418">
        <v>92871.57</v>
      </c>
      <c r="E4418" t="s">
        <v>19</v>
      </c>
      <c r="F4418">
        <v>28</v>
      </c>
      <c r="G4418" t="s">
        <v>17</v>
      </c>
      <c r="H4418" s="1">
        <v>45627</v>
      </c>
      <c r="I4418" s="1">
        <v>45655</v>
      </c>
      <c r="J4418" t="str">
        <f t="shared" si="68"/>
        <v>Dec-2024</v>
      </c>
    </row>
    <row r="4419" spans="1:10">
      <c r="A4419">
        <v>4418</v>
      </c>
      <c r="B4419">
        <v>19033</v>
      </c>
      <c r="C4419" t="s">
        <v>22</v>
      </c>
      <c r="D4419">
        <v>69640.990000000005</v>
      </c>
      <c r="E4419" t="s">
        <v>24</v>
      </c>
      <c r="G4419" t="s">
        <v>25</v>
      </c>
      <c r="H4419" s="1">
        <v>45317</v>
      </c>
      <c r="J4419" t="str">
        <f t="shared" ref="J4419:J4482" si="69">TEXT(H4419,"mmm-yyyy")</f>
        <v>Jan-2024</v>
      </c>
    </row>
    <row r="4420" spans="1:10">
      <c r="A4420">
        <v>4419</v>
      </c>
      <c r="B4420">
        <v>16860</v>
      </c>
      <c r="C4420" t="s">
        <v>18</v>
      </c>
      <c r="D4420">
        <v>191743.01</v>
      </c>
      <c r="E4420" t="s">
        <v>16</v>
      </c>
      <c r="F4420">
        <v>43</v>
      </c>
      <c r="G4420" t="s">
        <v>17</v>
      </c>
      <c r="H4420" s="1">
        <v>45587</v>
      </c>
      <c r="I4420" s="1">
        <v>45630</v>
      </c>
      <c r="J4420" t="str">
        <f t="shared" si="69"/>
        <v>Oct-2024</v>
      </c>
    </row>
    <row r="4421" spans="1:10">
      <c r="A4421">
        <v>4420</v>
      </c>
      <c r="B4421">
        <v>18105</v>
      </c>
      <c r="C4421" t="s">
        <v>23</v>
      </c>
      <c r="D4421">
        <v>165403.82999999999</v>
      </c>
      <c r="E4421" t="s">
        <v>19</v>
      </c>
      <c r="F4421">
        <v>29</v>
      </c>
      <c r="G4421" t="s">
        <v>17</v>
      </c>
      <c r="H4421" s="1">
        <v>45316</v>
      </c>
      <c r="I4421" s="1">
        <v>45345</v>
      </c>
      <c r="J4421" t="str">
        <f t="shared" si="69"/>
        <v>Jan-2024</v>
      </c>
    </row>
    <row r="4422" spans="1:10">
      <c r="A4422">
        <v>4421</v>
      </c>
      <c r="B4422">
        <v>10284</v>
      </c>
      <c r="C4422" t="s">
        <v>22</v>
      </c>
      <c r="D4422">
        <v>134008.49</v>
      </c>
      <c r="E4422" t="s">
        <v>19</v>
      </c>
      <c r="F4422">
        <v>6</v>
      </c>
      <c r="G4422" t="s">
        <v>25</v>
      </c>
      <c r="H4422" s="1">
        <v>45646</v>
      </c>
      <c r="I4422" s="1">
        <v>45652</v>
      </c>
      <c r="J4422" t="str">
        <f t="shared" si="69"/>
        <v>Dec-2024</v>
      </c>
    </row>
    <row r="4423" spans="1:10">
      <c r="A4423">
        <v>4422</v>
      </c>
      <c r="B4423">
        <v>16543</v>
      </c>
      <c r="C4423" t="s">
        <v>23</v>
      </c>
      <c r="D4423">
        <v>36757.370000000003</v>
      </c>
      <c r="E4423" t="s">
        <v>16</v>
      </c>
      <c r="F4423">
        <v>26</v>
      </c>
      <c r="G4423" t="s">
        <v>17</v>
      </c>
      <c r="H4423" s="1">
        <v>45360</v>
      </c>
      <c r="I4423" s="1">
        <v>45386</v>
      </c>
      <c r="J4423" t="str">
        <f t="shared" si="69"/>
        <v>Mar-2024</v>
      </c>
    </row>
    <row r="4424" spans="1:10">
      <c r="A4424">
        <v>4423</v>
      </c>
      <c r="B4424">
        <v>15570</v>
      </c>
      <c r="C4424" t="s">
        <v>23</v>
      </c>
      <c r="D4424">
        <v>148193.06</v>
      </c>
      <c r="E4424" t="s">
        <v>16</v>
      </c>
      <c r="F4424">
        <v>4</v>
      </c>
      <c r="G4424" t="s">
        <v>21</v>
      </c>
      <c r="H4424" s="1">
        <v>45618</v>
      </c>
      <c r="I4424" s="1">
        <v>45622</v>
      </c>
      <c r="J4424" t="str">
        <f t="shared" si="69"/>
        <v>Nov-2024</v>
      </c>
    </row>
    <row r="4425" spans="1:10">
      <c r="A4425">
        <v>4424</v>
      </c>
      <c r="B4425">
        <v>15731</v>
      </c>
      <c r="C4425" t="s">
        <v>18</v>
      </c>
      <c r="D4425">
        <v>146767.43</v>
      </c>
      <c r="E4425" t="s">
        <v>24</v>
      </c>
      <c r="G4425" t="s">
        <v>20</v>
      </c>
      <c r="H4425" s="1">
        <v>45442</v>
      </c>
      <c r="J4425" t="str">
        <f t="shared" si="69"/>
        <v>May-2024</v>
      </c>
    </row>
    <row r="4426" spans="1:10">
      <c r="A4426">
        <v>4425</v>
      </c>
      <c r="B4426">
        <v>17611</v>
      </c>
      <c r="C4426" t="s">
        <v>18</v>
      </c>
      <c r="D4426">
        <v>87888.29</v>
      </c>
      <c r="E4426" t="s">
        <v>16</v>
      </c>
      <c r="F4426">
        <v>11</v>
      </c>
      <c r="G4426" t="s">
        <v>20</v>
      </c>
      <c r="H4426" s="1">
        <v>45636</v>
      </c>
      <c r="I4426" s="1">
        <v>45647</v>
      </c>
      <c r="J4426" t="str">
        <f t="shared" si="69"/>
        <v>Dec-2024</v>
      </c>
    </row>
    <row r="4427" spans="1:10">
      <c r="A4427">
        <v>4426</v>
      </c>
      <c r="B4427">
        <v>12435</v>
      </c>
      <c r="C4427" t="s">
        <v>23</v>
      </c>
      <c r="D4427">
        <v>185333.25</v>
      </c>
      <c r="E4427" t="s">
        <v>19</v>
      </c>
      <c r="F4427">
        <v>25</v>
      </c>
      <c r="G4427" t="s">
        <v>21</v>
      </c>
      <c r="H4427" s="1">
        <v>45356</v>
      </c>
      <c r="I4427" s="1">
        <v>45381</v>
      </c>
      <c r="J4427" t="str">
        <f t="shared" si="69"/>
        <v>Mar-2024</v>
      </c>
    </row>
    <row r="4428" spans="1:10">
      <c r="A4428">
        <v>4427</v>
      </c>
      <c r="B4428">
        <v>17523</v>
      </c>
      <c r="C4428" t="s">
        <v>23</v>
      </c>
      <c r="D4428">
        <v>37560.69</v>
      </c>
      <c r="E4428" t="s">
        <v>16</v>
      </c>
      <c r="F4428">
        <v>30</v>
      </c>
      <c r="G4428" t="s">
        <v>17</v>
      </c>
      <c r="H4428" s="1">
        <v>45441</v>
      </c>
      <c r="I4428" s="1">
        <v>45471</v>
      </c>
      <c r="J4428" t="str">
        <f t="shared" si="69"/>
        <v>May-2024</v>
      </c>
    </row>
    <row r="4429" spans="1:10">
      <c r="A4429">
        <v>4428</v>
      </c>
      <c r="B4429">
        <v>11029</v>
      </c>
      <c r="C4429" t="s">
        <v>18</v>
      </c>
      <c r="D4429">
        <v>57130.82</v>
      </c>
      <c r="E4429" t="s">
        <v>16</v>
      </c>
      <c r="F4429">
        <v>8</v>
      </c>
      <c r="G4429" t="s">
        <v>25</v>
      </c>
      <c r="H4429" s="1">
        <v>45611</v>
      </c>
      <c r="I4429" s="1">
        <v>45619</v>
      </c>
      <c r="J4429" t="str">
        <f t="shared" si="69"/>
        <v>Nov-2024</v>
      </c>
    </row>
    <row r="4430" spans="1:10">
      <c r="A4430">
        <v>4429</v>
      </c>
      <c r="B4430">
        <v>16584</v>
      </c>
      <c r="C4430" t="s">
        <v>18</v>
      </c>
      <c r="D4430">
        <v>17328.75</v>
      </c>
      <c r="E4430" t="s">
        <v>16</v>
      </c>
      <c r="F4430">
        <v>24</v>
      </c>
      <c r="G4430" t="s">
        <v>17</v>
      </c>
      <c r="H4430" s="1">
        <v>45536</v>
      </c>
      <c r="I4430" s="1">
        <v>45560</v>
      </c>
      <c r="J4430" t="str">
        <f t="shared" si="69"/>
        <v>Sep-2024</v>
      </c>
    </row>
    <row r="4431" spans="1:10">
      <c r="A4431">
        <v>4430</v>
      </c>
      <c r="B4431">
        <v>18091</v>
      </c>
      <c r="C4431" t="s">
        <v>18</v>
      </c>
      <c r="D4431">
        <v>160112.94</v>
      </c>
      <c r="E4431" t="s">
        <v>16</v>
      </c>
      <c r="F4431">
        <v>28</v>
      </c>
      <c r="G4431" t="s">
        <v>21</v>
      </c>
      <c r="H4431" s="1">
        <v>45349</v>
      </c>
      <c r="I4431" s="1">
        <v>45377</v>
      </c>
      <c r="J4431" t="str">
        <f t="shared" si="69"/>
        <v>Feb-2024</v>
      </c>
    </row>
    <row r="4432" spans="1:10">
      <c r="A4432">
        <v>4431</v>
      </c>
      <c r="B4432">
        <v>14451</v>
      </c>
      <c r="C4432" t="s">
        <v>23</v>
      </c>
      <c r="D4432">
        <v>126243.08</v>
      </c>
      <c r="E4432" t="s">
        <v>16</v>
      </c>
      <c r="F4432">
        <v>43</v>
      </c>
      <c r="G4432" t="s">
        <v>17</v>
      </c>
      <c r="H4432" s="1">
        <v>45447</v>
      </c>
      <c r="I4432" s="1">
        <v>45490</v>
      </c>
      <c r="J4432" t="str">
        <f t="shared" si="69"/>
        <v>Jun-2024</v>
      </c>
    </row>
    <row r="4433" spans="1:10">
      <c r="A4433">
        <v>4432</v>
      </c>
      <c r="B4433">
        <v>12966</v>
      </c>
      <c r="C4433" t="s">
        <v>23</v>
      </c>
      <c r="D4433">
        <v>66413.36</v>
      </c>
      <c r="E4433" t="s">
        <v>16</v>
      </c>
      <c r="F4433">
        <v>10</v>
      </c>
      <c r="G4433" t="s">
        <v>20</v>
      </c>
      <c r="H4433" s="1">
        <v>45403</v>
      </c>
      <c r="I4433" s="1">
        <v>45413</v>
      </c>
      <c r="J4433" t="str">
        <f t="shared" si="69"/>
        <v>Apr-2024</v>
      </c>
    </row>
    <row r="4434" spans="1:10">
      <c r="A4434">
        <v>4433</v>
      </c>
      <c r="B4434">
        <v>17755</v>
      </c>
      <c r="C4434" t="s">
        <v>23</v>
      </c>
      <c r="D4434">
        <v>36943.660000000003</v>
      </c>
      <c r="E4434" t="s">
        <v>16</v>
      </c>
      <c r="F4434">
        <v>4</v>
      </c>
      <c r="G4434" t="s">
        <v>17</v>
      </c>
      <c r="H4434" s="1">
        <v>45414</v>
      </c>
      <c r="I4434" s="1">
        <v>45418</v>
      </c>
      <c r="J4434" t="str">
        <f t="shared" si="69"/>
        <v>May-2024</v>
      </c>
    </row>
    <row r="4435" spans="1:10">
      <c r="A4435">
        <v>4434</v>
      </c>
      <c r="B4435">
        <v>10553</v>
      </c>
      <c r="C4435" t="s">
        <v>23</v>
      </c>
      <c r="D4435">
        <v>12828.82</v>
      </c>
      <c r="E4435" t="s">
        <v>16</v>
      </c>
      <c r="F4435">
        <v>14</v>
      </c>
      <c r="G4435" t="s">
        <v>21</v>
      </c>
      <c r="H4435" s="1">
        <v>45644</v>
      </c>
      <c r="I4435" s="1">
        <v>45658</v>
      </c>
      <c r="J4435" t="str">
        <f t="shared" si="69"/>
        <v>Dec-2024</v>
      </c>
    </row>
    <row r="4436" spans="1:10">
      <c r="A4436">
        <v>4435</v>
      </c>
      <c r="B4436">
        <v>10267</v>
      </c>
      <c r="C4436" t="s">
        <v>22</v>
      </c>
      <c r="D4436">
        <v>37515.39</v>
      </c>
      <c r="E4436" t="s">
        <v>16</v>
      </c>
      <c r="F4436">
        <v>7</v>
      </c>
      <c r="G4436" t="s">
        <v>20</v>
      </c>
      <c r="H4436" s="1">
        <v>45653</v>
      </c>
      <c r="I4436" s="1">
        <v>45660</v>
      </c>
      <c r="J4436" t="str">
        <f t="shared" si="69"/>
        <v>Dec-2024</v>
      </c>
    </row>
    <row r="4437" spans="1:10">
      <c r="A4437">
        <v>4436</v>
      </c>
      <c r="B4437">
        <v>17135</v>
      </c>
      <c r="C4437" t="s">
        <v>23</v>
      </c>
      <c r="D4437">
        <v>93390.51</v>
      </c>
      <c r="E4437" t="s">
        <v>16</v>
      </c>
      <c r="F4437">
        <v>39</v>
      </c>
      <c r="G4437" t="s">
        <v>17</v>
      </c>
      <c r="H4437" s="1">
        <v>45494</v>
      </c>
      <c r="I4437" s="1">
        <v>45533</v>
      </c>
      <c r="J4437" t="str">
        <f t="shared" si="69"/>
        <v>Jul-2024</v>
      </c>
    </row>
    <row r="4438" spans="1:10">
      <c r="A4438">
        <v>4437</v>
      </c>
      <c r="B4438">
        <v>11240</v>
      </c>
      <c r="C4438" t="s">
        <v>23</v>
      </c>
      <c r="D4438">
        <v>53199.51</v>
      </c>
      <c r="E4438" t="s">
        <v>19</v>
      </c>
      <c r="F4438">
        <v>22</v>
      </c>
      <c r="G4438" t="s">
        <v>17</v>
      </c>
      <c r="H4438" s="1">
        <v>45295</v>
      </c>
      <c r="I4438" s="1">
        <v>45317</v>
      </c>
      <c r="J4438" t="str">
        <f t="shared" si="69"/>
        <v>Jan-2024</v>
      </c>
    </row>
    <row r="4439" spans="1:10">
      <c r="A4439">
        <v>4438</v>
      </c>
      <c r="B4439">
        <v>14159</v>
      </c>
      <c r="C4439" t="s">
        <v>18</v>
      </c>
      <c r="D4439">
        <v>55501.52</v>
      </c>
      <c r="E4439" t="s">
        <v>16</v>
      </c>
      <c r="F4439">
        <v>20</v>
      </c>
      <c r="G4439" t="s">
        <v>20</v>
      </c>
      <c r="H4439" s="1">
        <v>45420</v>
      </c>
      <c r="I4439" s="1">
        <v>45440</v>
      </c>
      <c r="J4439" t="str">
        <f t="shared" si="69"/>
        <v>May-2024</v>
      </c>
    </row>
    <row r="4440" spans="1:10">
      <c r="A4440">
        <v>4439</v>
      </c>
      <c r="B4440">
        <v>12489</v>
      </c>
      <c r="C4440" t="s">
        <v>23</v>
      </c>
      <c r="D4440">
        <v>175737.39</v>
      </c>
      <c r="E4440" t="s">
        <v>16</v>
      </c>
      <c r="F4440">
        <v>26</v>
      </c>
      <c r="G4440" t="s">
        <v>25</v>
      </c>
      <c r="H4440" s="1">
        <v>45317</v>
      </c>
      <c r="I4440" s="1">
        <v>45343</v>
      </c>
      <c r="J4440" t="str">
        <f t="shared" si="69"/>
        <v>Jan-2024</v>
      </c>
    </row>
    <row r="4441" spans="1:10">
      <c r="A4441">
        <v>4440</v>
      </c>
      <c r="B4441">
        <v>17858</v>
      </c>
      <c r="C4441" t="s">
        <v>23</v>
      </c>
      <c r="D4441">
        <v>105451.85</v>
      </c>
      <c r="E4441" t="s">
        <v>16</v>
      </c>
      <c r="F4441">
        <v>40</v>
      </c>
      <c r="G4441" t="s">
        <v>20</v>
      </c>
      <c r="H4441" s="1">
        <v>45580</v>
      </c>
      <c r="I4441" s="1">
        <v>45620</v>
      </c>
      <c r="J4441" t="str">
        <f t="shared" si="69"/>
        <v>Oct-2024</v>
      </c>
    </row>
    <row r="4442" spans="1:10">
      <c r="A4442">
        <v>4441</v>
      </c>
      <c r="B4442">
        <v>15394</v>
      </c>
      <c r="C4442" t="s">
        <v>15</v>
      </c>
      <c r="D4442">
        <v>147204.13</v>
      </c>
      <c r="E4442" t="s">
        <v>16</v>
      </c>
      <c r="F4442">
        <v>5</v>
      </c>
      <c r="G4442" t="s">
        <v>25</v>
      </c>
      <c r="H4442" s="1">
        <v>45318</v>
      </c>
      <c r="I4442" s="1">
        <v>45323</v>
      </c>
      <c r="J4442" t="str">
        <f t="shared" si="69"/>
        <v>Jan-2024</v>
      </c>
    </row>
    <row r="4443" spans="1:10">
      <c r="A4443">
        <v>4442</v>
      </c>
      <c r="B4443">
        <v>18661</v>
      </c>
      <c r="C4443" t="s">
        <v>15</v>
      </c>
      <c r="D4443">
        <v>11963.64</v>
      </c>
      <c r="E4443" t="s">
        <v>16</v>
      </c>
      <c r="F4443">
        <v>23</v>
      </c>
      <c r="G4443" t="s">
        <v>21</v>
      </c>
      <c r="H4443" s="1">
        <v>45333</v>
      </c>
      <c r="I4443" s="1">
        <v>45356</v>
      </c>
      <c r="J4443" t="str">
        <f t="shared" si="69"/>
        <v>Feb-2024</v>
      </c>
    </row>
    <row r="4444" spans="1:10">
      <c r="A4444">
        <v>4443</v>
      </c>
      <c r="B4444">
        <v>13287</v>
      </c>
      <c r="C4444" t="s">
        <v>18</v>
      </c>
      <c r="D4444">
        <v>76206.850000000006</v>
      </c>
      <c r="E4444" t="s">
        <v>16</v>
      </c>
      <c r="F4444">
        <v>6</v>
      </c>
      <c r="G4444" t="s">
        <v>21</v>
      </c>
      <c r="H4444" s="1">
        <v>45362</v>
      </c>
      <c r="I4444" s="1">
        <v>45368</v>
      </c>
      <c r="J4444" t="str">
        <f t="shared" si="69"/>
        <v>Mar-2024</v>
      </c>
    </row>
    <row r="4445" spans="1:10">
      <c r="A4445">
        <v>4444</v>
      </c>
      <c r="B4445">
        <v>12019</v>
      </c>
      <c r="C4445" t="s">
        <v>23</v>
      </c>
      <c r="D4445">
        <v>98438.02</v>
      </c>
      <c r="E4445" t="s">
        <v>19</v>
      </c>
      <c r="F4445">
        <v>2</v>
      </c>
      <c r="G4445" t="s">
        <v>20</v>
      </c>
      <c r="H4445" s="1">
        <v>45355</v>
      </c>
      <c r="I4445" s="1">
        <v>45357</v>
      </c>
      <c r="J4445" t="str">
        <f t="shared" si="69"/>
        <v>Mar-2024</v>
      </c>
    </row>
    <row r="4446" spans="1:10">
      <c r="A4446">
        <v>4445</v>
      </c>
      <c r="B4446">
        <v>19781</v>
      </c>
      <c r="C4446" t="s">
        <v>18</v>
      </c>
      <c r="D4446">
        <v>41351.29</v>
      </c>
      <c r="E4446" t="s">
        <v>24</v>
      </c>
      <c r="G4446" t="s">
        <v>20</v>
      </c>
      <c r="H4446" s="1">
        <v>45316</v>
      </c>
      <c r="J4446" t="str">
        <f t="shared" si="69"/>
        <v>Jan-2024</v>
      </c>
    </row>
    <row r="4447" spans="1:10">
      <c r="A4447">
        <v>4446</v>
      </c>
      <c r="B4447">
        <v>15313</v>
      </c>
      <c r="C4447" t="s">
        <v>18</v>
      </c>
      <c r="D4447">
        <v>28437.35</v>
      </c>
      <c r="E4447" t="s">
        <v>19</v>
      </c>
      <c r="F4447">
        <v>10</v>
      </c>
      <c r="G4447" t="s">
        <v>21</v>
      </c>
      <c r="H4447" s="1">
        <v>45363</v>
      </c>
      <c r="I4447" s="1">
        <v>45373</v>
      </c>
      <c r="J4447" t="str">
        <f t="shared" si="69"/>
        <v>Mar-2024</v>
      </c>
    </row>
    <row r="4448" spans="1:10">
      <c r="A4448">
        <v>4447</v>
      </c>
      <c r="B4448">
        <v>14317</v>
      </c>
      <c r="C4448" t="s">
        <v>23</v>
      </c>
      <c r="D4448">
        <v>174709.24</v>
      </c>
      <c r="E4448" t="s">
        <v>16</v>
      </c>
      <c r="F4448">
        <v>10</v>
      </c>
      <c r="G4448" t="s">
        <v>25</v>
      </c>
      <c r="H4448" s="1">
        <v>45652</v>
      </c>
      <c r="I4448" s="1">
        <v>45662</v>
      </c>
      <c r="J4448" t="str">
        <f t="shared" si="69"/>
        <v>Dec-2024</v>
      </c>
    </row>
    <row r="4449" spans="1:10">
      <c r="A4449">
        <v>4448</v>
      </c>
      <c r="B4449">
        <v>15824</v>
      </c>
      <c r="C4449" t="s">
        <v>23</v>
      </c>
      <c r="D4449">
        <v>188189.17</v>
      </c>
      <c r="E4449" t="s">
        <v>16</v>
      </c>
      <c r="F4449">
        <v>25</v>
      </c>
      <c r="G4449" t="s">
        <v>21</v>
      </c>
      <c r="H4449" s="1">
        <v>45559</v>
      </c>
      <c r="I4449" s="1">
        <v>45584</v>
      </c>
      <c r="J4449" t="str">
        <f t="shared" si="69"/>
        <v>Sep-2024</v>
      </c>
    </row>
    <row r="4450" spans="1:10">
      <c r="A4450">
        <v>4449</v>
      </c>
      <c r="B4450">
        <v>19611</v>
      </c>
      <c r="C4450" t="s">
        <v>15</v>
      </c>
      <c r="D4450">
        <v>20367.310000000001</v>
      </c>
      <c r="E4450" t="s">
        <v>16</v>
      </c>
      <c r="F4450">
        <v>11</v>
      </c>
      <c r="G4450" t="s">
        <v>20</v>
      </c>
      <c r="H4450" s="1">
        <v>45605</v>
      </c>
      <c r="I4450" s="1">
        <v>45616</v>
      </c>
      <c r="J4450" t="str">
        <f t="shared" si="69"/>
        <v>Nov-2024</v>
      </c>
    </row>
    <row r="4451" spans="1:10">
      <c r="A4451">
        <v>4450</v>
      </c>
      <c r="B4451">
        <v>19072</v>
      </c>
      <c r="C4451" t="s">
        <v>23</v>
      </c>
      <c r="D4451">
        <v>73058.649999999994</v>
      </c>
      <c r="E4451" t="s">
        <v>19</v>
      </c>
      <c r="F4451">
        <v>21</v>
      </c>
      <c r="G4451" t="s">
        <v>21</v>
      </c>
      <c r="H4451" s="1">
        <v>45386</v>
      </c>
      <c r="I4451" s="1">
        <v>45407</v>
      </c>
      <c r="J4451" t="str">
        <f t="shared" si="69"/>
        <v>Apr-2024</v>
      </c>
    </row>
    <row r="4452" spans="1:10">
      <c r="A4452">
        <v>4451</v>
      </c>
      <c r="B4452">
        <v>10838</v>
      </c>
      <c r="C4452" t="s">
        <v>18</v>
      </c>
      <c r="D4452">
        <v>191865.7</v>
      </c>
      <c r="E4452" t="s">
        <v>24</v>
      </c>
      <c r="G4452" t="s">
        <v>20</v>
      </c>
      <c r="H4452" s="1">
        <v>45648</v>
      </c>
      <c r="J4452" t="str">
        <f t="shared" si="69"/>
        <v>Dec-2024</v>
      </c>
    </row>
    <row r="4453" spans="1:10">
      <c r="A4453">
        <v>4452</v>
      </c>
      <c r="B4453">
        <v>18943</v>
      </c>
      <c r="C4453" t="s">
        <v>23</v>
      </c>
      <c r="D4453">
        <v>21216.54</v>
      </c>
      <c r="E4453" t="s">
        <v>16</v>
      </c>
      <c r="F4453">
        <v>14</v>
      </c>
      <c r="G4453" t="s">
        <v>20</v>
      </c>
      <c r="H4453" s="1">
        <v>45655</v>
      </c>
      <c r="I4453" s="1">
        <v>45669</v>
      </c>
      <c r="J4453" t="str">
        <f t="shared" si="69"/>
        <v>Dec-2024</v>
      </c>
    </row>
    <row r="4454" spans="1:10">
      <c r="A4454">
        <v>4453</v>
      </c>
      <c r="B4454">
        <v>18461</v>
      </c>
      <c r="C4454" t="s">
        <v>23</v>
      </c>
      <c r="D4454">
        <v>130510.07</v>
      </c>
      <c r="E4454" t="s">
        <v>16</v>
      </c>
      <c r="F4454">
        <v>30</v>
      </c>
      <c r="G4454" t="s">
        <v>21</v>
      </c>
      <c r="H4454" s="1">
        <v>45606</v>
      </c>
      <c r="I4454" s="1">
        <v>45636</v>
      </c>
      <c r="J4454" t="str">
        <f t="shared" si="69"/>
        <v>Nov-2024</v>
      </c>
    </row>
    <row r="4455" spans="1:10">
      <c r="A4455">
        <v>4454</v>
      </c>
      <c r="B4455">
        <v>14827</v>
      </c>
      <c r="C4455" t="s">
        <v>23</v>
      </c>
      <c r="D4455">
        <v>194583.17</v>
      </c>
      <c r="E4455" t="s">
        <v>16</v>
      </c>
      <c r="F4455">
        <v>37</v>
      </c>
      <c r="G4455" t="s">
        <v>25</v>
      </c>
      <c r="H4455" s="1">
        <v>45408</v>
      </c>
      <c r="I4455" s="1">
        <v>45445</v>
      </c>
      <c r="J4455" t="str">
        <f t="shared" si="69"/>
        <v>Apr-2024</v>
      </c>
    </row>
    <row r="4456" spans="1:10">
      <c r="A4456">
        <v>4455</v>
      </c>
      <c r="B4456">
        <v>16987</v>
      </c>
      <c r="C4456" t="s">
        <v>15</v>
      </c>
      <c r="D4456">
        <v>195753.62</v>
      </c>
      <c r="E4456" t="s">
        <v>19</v>
      </c>
      <c r="F4456">
        <v>24</v>
      </c>
      <c r="G4456" t="s">
        <v>17</v>
      </c>
      <c r="H4456" s="1">
        <v>45455</v>
      </c>
      <c r="I4456" s="1">
        <v>45479</v>
      </c>
      <c r="J4456" t="str">
        <f t="shared" si="69"/>
        <v>Jun-2024</v>
      </c>
    </row>
    <row r="4457" spans="1:10">
      <c r="A4457">
        <v>4456</v>
      </c>
      <c r="B4457">
        <v>13503</v>
      </c>
      <c r="C4457" t="s">
        <v>23</v>
      </c>
      <c r="D4457">
        <v>96888.55</v>
      </c>
      <c r="E4457" t="s">
        <v>19</v>
      </c>
      <c r="F4457">
        <v>28</v>
      </c>
      <c r="G4457" t="s">
        <v>21</v>
      </c>
      <c r="H4457" s="1">
        <v>45656</v>
      </c>
      <c r="I4457" s="1">
        <v>45684</v>
      </c>
      <c r="J4457" t="str">
        <f t="shared" si="69"/>
        <v>Dec-2024</v>
      </c>
    </row>
    <row r="4458" spans="1:10">
      <c r="A4458">
        <v>4457</v>
      </c>
      <c r="B4458">
        <v>17824</v>
      </c>
      <c r="C4458" t="s">
        <v>18</v>
      </c>
      <c r="D4458">
        <v>36736.080000000002</v>
      </c>
      <c r="E4458" t="s">
        <v>16</v>
      </c>
      <c r="F4458">
        <v>19</v>
      </c>
      <c r="G4458" t="s">
        <v>17</v>
      </c>
      <c r="H4458" s="1">
        <v>45569</v>
      </c>
      <c r="I4458" s="1">
        <v>45588</v>
      </c>
      <c r="J4458" t="str">
        <f t="shared" si="69"/>
        <v>Oct-2024</v>
      </c>
    </row>
    <row r="4459" spans="1:10">
      <c r="A4459">
        <v>4458</v>
      </c>
      <c r="B4459">
        <v>12075</v>
      </c>
      <c r="C4459" t="s">
        <v>18</v>
      </c>
      <c r="D4459">
        <v>44406.44</v>
      </c>
      <c r="E4459" t="s">
        <v>24</v>
      </c>
      <c r="G4459" t="s">
        <v>21</v>
      </c>
      <c r="H4459" s="1">
        <v>45356</v>
      </c>
      <c r="J4459" t="str">
        <f t="shared" si="69"/>
        <v>Mar-2024</v>
      </c>
    </row>
    <row r="4460" spans="1:10">
      <c r="A4460">
        <v>4459</v>
      </c>
      <c r="B4460">
        <v>11312</v>
      </c>
      <c r="C4460" t="s">
        <v>18</v>
      </c>
      <c r="D4460">
        <v>178472.27</v>
      </c>
      <c r="E4460" t="s">
        <v>16</v>
      </c>
      <c r="F4460">
        <v>10</v>
      </c>
      <c r="G4460" t="s">
        <v>17</v>
      </c>
      <c r="H4460" s="1">
        <v>45597</v>
      </c>
      <c r="I4460" s="1">
        <v>45607</v>
      </c>
      <c r="J4460" t="str">
        <f t="shared" si="69"/>
        <v>Nov-2024</v>
      </c>
    </row>
    <row r="4461" spans="1:10">
      <c r="A4461">
        <v>4460</v>
      </c>
      <c r="B4461">
        <v>12284</v>
      </c>
      <c r="C4461" t="s">
        <v>22</v>
      </c>
      <c r="D4461">
        <v>182778.19</v>
      </c>
      <c r="E4461" t="s">
        <v>24</v>
      </c>
      <c r="G4461" t="s">
        <v>25</v>
      </c>
      <c r="H4461" s="1">
        <v>45551</v>
      </c>
      <c r="J4461" t="str">
        <f t="shared" si="69"/>
        <v>Sep-2024</v>
      </c>
    </row>
    <row r="4462" spans="1:10">
      <c r="A4462">
        <v>4461</v>
      </c>
      <c r="B4462">
        <v>18575</v>
      </c>
      <c r="C4462" t="s">
        <v>18</v>
      </c>
      <c r="D4462">
        <v>123536.53</v>
      </c>
      <c r="E4462" t="s">
        <v>24</v>
      </c>
      <c r="G4462" t="s">
        <v>25</v>
      </c>
      <c r="H4462" s="1">
        <v>45519</v>
      </c>
      <c r="J4462" t="str">
        <f t="shared" si="69"/>
        <v>Aug-2024</v>
      </c>
    </row>
    <row r="4463" spans="1:10">
      <c r="A4463">
        <v>4462</v>
      </c>
      <c r="B4463">
        <v>12808</v>
      </c>
      <c r="C4463" t="s">
        <v>23</v>
      </c>
      <c r="D4463">
        <v>154404.4</v>
      </c>
      <c r="E4463" t="s">
        <v>19</v>
      </c>
      <c r="F4463">
        <v>16</v>
      </c>
      <c r="G4463" t="s">
        <v>21</v>
      </c>
      <c r="H4463" s="1">
        <v>45491</v>
      </c>
      <c r="I4463" s="1">
        <v>45507</v>
      </c>
      <c r="J4463" t="str">
        <f t="shared" si="69"/>
        <v>Jul-2024</v>
      </c>
    </row>
    <row r="4464" spans="1:10">
      <c r="A4464">
        <v>4463</v>
      </c>
      <c r="B4464">
        <v>18995</v>
      </c>
      <c r="C4464" t="s">
        <v>22</v>
      </c>
      <c r="D4464">
        <v>149286.59</v>
      </c>
      <c r="E4464" t="s">
        <v>16</v>
      </c>
      <c r="F4464">
        <v>31</v>
      </c>
      <c r="G4464" t="s">
        <v>20</v>
      </c>
      <c r="H4464" s="1">
        <v>45511</v>
      </c>
      <c r="I4464" s="1">
        <v>45542</v>
      </c>
      <c r="J4464" t="str">
        <f t="shared" si="69"/>
        <v>Aug-2024</v>
      </c>
    </row>
    <row r="4465" spans="1:10">
      <c r="A4465">
        <v>4464</v>
      </c>
      <c r="B4465">
        <v>19288</v>
      </c>
      <c r="C4465" t="s">
        <v>18</v>
      </c>
      <c r="D4465">
        <v>134055.21</v>
      </c>
      <c r="E4465" t="s">
        <v>16</v>
      </c>
      <c r="F4465">
        <v>10</v>
      </c>
      <c r="G4465" t="s">
        <v>17</v>
      </c>
      <c r="H4465" s="1">
        <v>45471</v>
      </c>
      <c r="I4465" s="1">
        <v>45481</v>
      </c>
      <c r="J4465" t="str">
        <f t="shared" si="69"/>
        <v>Jun-2024</v>
      </c>
    </row>
    <row r="4466" spans="1:10">
      <c r="A4466">
        <v>4465</v>
      </c>
      <c r="B4466">
        <v>16521</v>
      </c>
      <c r="C4466" t="s">
        <v>23</v>
      </c>
      <c r="D4466">
        <v>166319.01</v>
      </c>
      <c r="E4466" t="s">
        <v>16</v>
      </c>
      <c r="F4466">
        <v>42</v>
      </c>
      <c r="G4466" t="s">
        <v>20</v>
      </c>
      <c r="H4466" s="1">
        <v>45649</v>
      </c>
      <c r="I4466" s="1">
        <v>45691</v>
      </c>
      <c r="J4466" t="str">
        <f t="shared" si="69"/>
        <v>Dec-2024</v>
      </c>
    </row>
    <row r="4467" spans="1:10">
      <c r="A4467">
        <v>4466</v>
      </c>
      <c r="B4467">
        <v>16355</v>
      </c>
      <c r="C4467" t="s">
        <v>23</v>
      </c>
      <c r="D4467">
        <v>138654.29</v>
      </c>
      <c r="E4467" t="s">
        <v>16</v>
      </c>
      <c r="F4467">
        <v>28</v>
      </c>
      <c r="G4467" t="s">
        <v>20</v>
      </c>
      <c r="H4467" s="1">
        <v>45519</v>
      </c>
      <c r="I4467" s="1">
        <v>45547</v>
      </c>
      <c r="J4467" t="str">
        <f t="shared" si="69"/>
        <v>Aug-2024</v>
      </c>
    </row>
    <row r="4468" spans="1:10">
      <c r="A4468">
        <v>4467</v>
      </c>
      <c r="B4468">
        <v>13719</v>
      </c>
      <c r="C4468" t="s">
        <v>15</v>
      </c>
      <c r="D4468">
        <v>109130.45</v>
      </c>
      <c r="E4468" t="s">
        <v>19</v>
      </c>
      <c r="F4468">
        <v>37</v>
      </c>
      <c r="G4468" t="s">
        <v>20</v>
      </c>
      <c r="H4468" s="1">
        <v>45543</v>
      </c>
      <c r="I4468" s="1">
        <v>45580</v>
      </c>
      <c r="J4468" t="str">
        <f t="shared" si="69"/>
        <v>Sep-2024</v>
      </c>
    </row>
    <row r="4469" spans="1:10">
      <c r="A4469">
        <v>4468</v>
      </c>
      <c r="B4469">
        <v>14771</v>
      </c>
      <c r="C4469" t="s">
        <v>23</v>
      </c>
      <c r="D4469">
        <v>51206.49</v>
      </c>
      <c r="E4469" t="s">
        <v>16</v>
      </c>
      <c r="F4469">
        <v>19</v>
      </c>
      <c r="G4469" t="s">
        <v>25</v>
      </c>
      <c r="H4469" s="1">
        <v>45590</v>
      </c>
      <c r="I4469" s="1">
        <v>45609</v>
      </c>
      <c r="J4469" t="str">
        <f t="shared" si="69"/>
        <v>Oct-2024</v>
      </c>
    </row>
    <row r="4470" spans="1:10">
      <c r="A4470">
        <v>4469</v>
      </c>
      <c r="B4470">
        <v>12696</v>
      </c>
      <c r="C4470" t="s">
        <v>18</v>
      </c>
      <c r="D4470">
        <v>150058.19</v>
      </c>
      <c r="E4470" t="s">
        <v>16</v>
      </c>
      <c r="F4470">
        <v>32</v>
      </c>
      <c r="G4470" t="s">
        <v>21</v>
      </c>
      <c r="H4470" s="1">
        <v>45652</v>
      </c>
      <c r="I4470" s="1">
        <v>45684</v>
      </c>
      <c r="J4470" t="str">
        <f t="shared" si="69"/>
        <v>Dec-2024</v>
      </c>
    </row>
    <row r="4471" spans="1:10">
      <c r="A4471">
        <v>4470</v>
      </c>
      <c r="B4471">
        <v>15796</v>
      </c>
      <c r="C4471" t="s">
        <v>23</v>
      </c>
      <c r="D4471">
        <v>97320.38</v>
      </c>
      <c r="E4471" t="s">
        <v>19</v>
      </c>
      <c r="F4471">
        <v>18</v>
      </c>
      <c r="G4471" t="s">
        <v>21</v>
      </c>
      <c r="H4471" s="1">
        <v>45295</v>
      </c>
      <c r="I4471" s="1">
        <v>45313</v>
      </c>
      <c r="J4471" t="str">
        <f t="shared" si="69"/>
        <v>Jan-2024</v>
      </c>
    </row>
    <row r="4472" spans="1:10">
      <c r="A4472">
        <v>4471</v>
      </c>
      <c r="B4472">
        <v>10808</v>
      </c>
      <c r="C4472" t="s">
        <v>23</v>
      </c>
      <c r="D4472">
        <v>62484.38</v>
      </c>
      <c r="E4472" t="s">
        <v>16</v>
      </c>
      <c r="F4472">
        <v>7</v>
      </c>
      <c r="G4472" t="s">
        <v>25</v>
      </c>
      <c r="H4472" s="1">
        <v>45432</v>
      </c>
      <c r="I4472" s="1">
        <v>45439</v>
      </c>
      <c r="J4472" t="str">
        <f t="shared" si="69"/>
        <v>May-2024</v>
      </c>
    </row>
    <row r="4473" spans="1:10">
      <c r="A4473">
        <v>4472</v>
      </c>
      <c r="B4473">
        <v>13293</v>
      </c>
      <c r="C4473" t="s">
        <v>18</v>
      </c>
      <c r="D4473">
        <v>161379.51999999999</v>
      </c>
      <c r="E4473" t="s">
        <v>16</v>
      </c>
      <c r="F4473">
        <v>40</v>
      </c>
      <c r="G4473" t="s">
        <v>25</v>
      </c>
      <c r="H4473" s="1">
        <v>45457</v>
      </c>
      <c r="I4473" s="1">
        <v>45497</v>
      </c>
      <c r="J4473" t="str">
        <f t="shared" si="69"/>
        <v>Jun-2024</v>
      </c>
    </row>
    <row r="4474" spans="1:10">
      <c r="A4474">
        <v>4473</v>
      </c>
      <c r="B4474">
        <v>19497</v>
      </c>
      <c r="C4474" t="s">
        <v>23</v>
      </c>
      <c r="D4474">
        <v>140859.15</v>
      </c>
      <c r="E4474" t="s">
        <v>16</v>
      </c>
      <c r="F4474">
        <v>26</v>
      </c>
      <c r="G4474" t="s">
        <v>21</v>
      </c>
      <c r="H4474" s="1">
        <v>45545</v>
      </c>
      <c r="I4474" s="1">
        <v>45571</v>
      </c>
      <c r="J4474" t="str">
        <f t="shared" si="69"/>
        <v>Sep-2024</v>
      </c>
    </row>
    <row r="4475" spans="1:10">
      <c r="A4475">
        <v>4474</v>
      </c>
      <c r="B4475">
        <v>13459</v>
      </c>
      <c r="C4475" t="s">
        <v>23</v>
      </c>
      <c r="D4475">
        <v>187781.21</v>
      </c>
      <c r="E4475" t="s">
        <v>16</v>
      </c>
      <c r="F4475">
        <v>43</v>
      </c>
      <c r="G4475" t="s">
        <v>20</v>
      </c>
      <c r="H4475" s="1">
        <v>45444</v>
      </c>
      <c r="I4475" s="1">
        <v>45487</v>
      </c>
      <c r="J4475" t="str">
        <f t="shared" si="69"/>
        <v>Jun-2024</v>
      </c>
    </row>
    <row r="4476" spans="1:10">
      <c r="A4476">
        <v>4475</v>
      </c>
      <c r="B4476">
        <v>12419</v>
      </c>
      <c r="C4476" t="s">
        <v>18</v>
      </c>
      <c r="D4476">
        <v>37261.120000000003</v>
      </c>
      <c r="E4476" t="s">
        <v>16</v>
      </c>
      <c r="F4476">
        <v>43</v>
      </c>
      <c r="G4476" t="s">
        <v>17</v>
      </c>
      <c r="H4476" s="1">
        <v>45358</v>
      </c>
      <c r="I4476" s="1">
        <v>45401</v>
      </c>
      <c r="J4476" t="str">
        <f t="shared" si="69"/>
        <v>Mar-2024</v>
      </c>
    </row>
    <row r="4477" spans="1:10">
      <c r="A4477">
        <v>4476</v>
      </c>
      <c r="B4477">
        <v>14224</v>
      </c>
      <c r="C4477" t="s">
        <v>23</v>
      </c>
      <c r="D4477">
        <v>131591.91</v>
      </c>
      <c r="E4477" t="s">
        <v>19</v>
      </c>
      <c r="F4477">
        <v>39</v>
      </c>
      <c r="G4477" t="s">
        <v>17</v>
      </c>
      <c r="H4477" s="1">
        <v>45346</v>
      </c>
      <c r="I4477" s="1">
        <v>45385</v>
      </c>
      <c r="J4477" t="str">
        <f t="shared" si="69"/>
        <v>Feb-2024</v>
      </c>
    </row>
    <row r="4478" spans="1:10">
      <c r="A4478">
        <v>4477</v>
      </c>
      <c r="B4478">
        <v>17571</v>
      </c>
      <c r="C4478" t="s">
        <v>18</v>
      </c>
      <c r="D4478">
        <v>52626.7</v>
      </c>
      <c r="E4478" t="s">
        <v>16</v>
      </c>
      <c r="F4478">
        <v>39</v>
      </c>
      <c r="G4478" t="s">
        <v>17</v>
      </c>
      <c r="H4478" s="1">
        <v>45387</v>
      </c>
      <c r="I4478" s="1">
        <v>45426</v>
      </c>
      <c r="J4478" t="str">
        <f t="shared" si="69"/>
        <v>Apr-2024</v>
      </c>
    </row>
    <row r="4479" spans="1:10">
      <c r="A4479">
        <v>4478</v>
      </c>
      <c r="B4479">
        <v>16363</v>
      </c>
      <c r="C4479" t="s">
        <v>15</v>
      </c>
      <c r="D4479">
        <v>181198.68</v>
      </c>
      <c r="E4479" t="s">
        <v>24</v>
      </c>
      <c r="G4479" t="s">
        <v>20</v>
      </c>
      <c r="H4479" s="1">
        <v>45458</v>
      </c>
      <c r="J4479" t="str">
        <f t="shared" si="69"/>
        <v>Jun-2024</v>
      </c>
    </row>
    <row r="4480" spans="1:10">
      <c r="A4480">
        <v>4479</v>
      </c>
      <c r="B4480">
        <v>19388</v>
      </c>
      <c r="C4480" t="s">
        <v>18</v>
      </c>
      <c r="D4480">
        <v>24402.39</v>
      </c>
      <c r="E4480" t="s">
        <v>16</v>
      </c>
      <c r="F4480">
        <v>30</v>
      </c>
      <c r="G4480" t="s">
        <v>21</v>
      </c>
      <c r="H4480" s="1">
        <v>45612</v>
      </c>
      <c r="I4480" s="1">
        <v>45642</v>
      </c>
      <c r="J4480" t="str">
        <f t="shared" si="69"/>
        <v>Nov-2024</v>
      </c>
    </row>
    <row r="4481" spans="1:10">
      <c r="A4481">
        <v>4480</v>
      </c>
      <c r="B4481">
        <v>14567</v>
      </c>
      <c r="C4481" t="s">
        <v>23</v>
      </c>
      <c r="D4481">
        <v>132951.54999999999</v>
      </c>
      <c r="E4481" t="s">
        <v>16</v>
      </c>
      <c r="F4481">
        <v>41</v>
      </c>
      <c r="G4481" t="s">
        <v>25</v>
      </c>
      <c r="H4481" s="1">
        <v>45622</v>
      </c>
      <c r="I4481" s="1">
        <v>45663</v>
      </c>
      <c r="J4481" t="str">
        <f t="shared" si="69"/>
        <v>Nov-2024</v>
      </c>
    </row>
    <row r="4482" spans="1:10">
      <c r="A4482">
        <v>4481</v>
      </c>
      <c r="B4482">
        <v>13524</v>
      </c>
      <c r="C4482" t="s">
        <v>23</v>
      </c>
      <c r="D4482">
        <v>159261.72</v>
      </c>
      <c r="E4482" t="s">
        <v>16</v>
      </c>
      <c r="F4482">
        <v>10</v>
      </c>
      <c r="G4482" t="s">
        <v>21</v>
      </c>
      <c r="H4482" s="1">
        <v>45633</v>
      </c>
      <c r="I4482" s="1">
        <v>45643</v>
      </c>
      <c r="J4482" t="str">
        <f t="shared" si="69"/>
        <v>Dec-2024</v>
      </c>
    </row>
    <row r="4483" spans="1:10">
      <c r="A4483">
        <v>4482</v>
      </c>
      <c r="B4483">
        <v>16751</v>
      </c>
      <c r="C4483" t="s">
        <v>18</v>
      </c>
      <c r="D4483">
        <v>74208.98</v>
      </c>
      <c r="E4483" t="s">
        <v>16</v>
      </c>
      <c r="F4483">
        <v>2</v>
      </c>
      <c r="G4483" t="s">
        <v>20</v>
      </c>
      <c r="H4483" s="1">
        <v>45353</v>
      </c>
      <c r="I4483" s="1">
        <v>45355</v>
      </c>
      <c r="J4483" t="str">
        <f t="shared" ref="J4483:J4546" si="70">TEXT(H4483,"mmm-yyyy")</f>
        <v>Mar-2024</v>
      </c>
    </row>
    <row r="4484" spans="1:10">
      <c r="A4484">
        <v>4483</v>
      </c>
      <c r="B4484">
        <v>19717</v>
      </c>
      <c r="C4484" t="s">
        <v>22</v>
      </c>
      <c r="D4484">
        <v>191056.93</v>
      </c>
      <c r="E4484" t="s">
        <v>16</v>
      </c>
      <c r="F4484">
        <v>17</v>
      </c>
      <c r="G4484" t="s">
        <v>25</v>
      </c>
      <c r="H4484" s="1">
        <v>45465</v>
      </c>
      <c r="I4484" s="1">
        <v>45482</v>
      </c>
      <c r="J4484" t="str">
        <f t="shared" si="70"/>
        <v>Jun-2024</v>
      </c>
    </row>
    <row r="4485" spans="1:10">
      <c r="A4485">
        <v>4484</v>
      </c>
      <c r="B4485">
        <v>16237</v>
      </c>
      <c r="C4485" t="s">
        <v>15</v>
      </c>
      <c r="D4485">
        <v>170892.48</v>
      </c>
      <c r="E4485" t="s">
        <v>16</v>
      </c>
      <c r="F4485">
        <v>39</v>
      </c>
      <c r="G4485" t="s">
        <v>20</v>
      </c>
      <c r="H4485" s="1">
        <v>45544</v>
      </c>
      <c r="I4485" s="1">
        <v>45583</v>
      </c>
      <c r="J4485" t="str">
        <f t="shared" si="70"/>
        <v>Sep-2024</v>
      </c>
    </row>
    <row r="4486" spans="1:10">
      <c r="A4486">
        <v>4485</v>
      </c>
      <c r="B4486">
        <v>19791</v>
      </c>
      <c r="C4486" t="s">
        <v>15</v>
      </c>
      <c r="D4486">
        <v>62450.57</v>
      </c>
      <c r="E4486" t="s">
        <v>16</v>
      </c>
      <c r="F4486">
        <v>24</v>
      </c>
      <c r="G4486" t="s">
        <v>17</v>
      </c>
      <c r="H4486" s="1">
        <v>45403</v>
      </c>
      <c r="I4486" s="1">
        <v>45427</v>
      </c>
      <c r="J4486" t="str">
        <f t="shared" si="70"/>
        <v>Apr-2024</v>
      </c>
    </row>
    <row r="4487" spans="1:10">
      <c r="A4487">
        <v>4486</v>
      </c>
      <c r="B4487">
        <v>19236</v>
      </c>
      <c r="C4487" t="s">
        <v>23</v>
      </c>
      <c r="D4487">
        <v>6470.51</v>
      </c>
      <c r="E4487" t="s">
        <v>16</v>
      </c>
      <c r="F4487">
        <v>9</v>
      </c>
      <c r="G4487" t="s">
        <v>17</v>
      </c>
      <c r="H4487" s="1">
        <v>45506</v>
      </c>
      <c r="I4487" s="1">
        <v>45515</v>
      </c>
      <c r="J4487" t="str">
        <f t="shared" si="70"/>
        <v>Aug-2024</v>
      </c>
    </row>
    <row r="4488" spans="1:10">
      <c r="A4488">
        <v>4487</v>
      </c>
      <c r="B4488">
        <v>15319</v>
      </c>
      <c r="C4488" t="s">
        <v>23</v>
      </c>
      <c r="D4488">
        <v>62848.15</v>
      </c>
      <c r="E4488" t="s">
        <v>16</v>
      </c>
      <c r="F4488">
        <v>13</v>
      </c>
      <c r="G4488" t="s">
        <v>20</v>
      </c>
      <c r="H4488" s="1">
        <v>45530</v>
      </c>
      <c r="I4488" s="1">
        <v>45543</v>
      </c>
      <c r="J4488" t="str">
        <f t="shared" si="70"/>
        <v>Aug-2024</v>
      </c>
    </row>
    <row r="4489" spans="1:10">
      <c r="A4489">
        <v>4488</v>
      </c>
      <c r="B4489">
        <v>11867</v>
      </c>
      <c r="C4489" t="s">
        <v>23</v>
      </c>
      <c r="D4489">
        <v>59855.54</v>
      </c>
      <c r="E4489" t="s">
        <v>16</v>
      </c>
      <c r="F4489">
        <v>11</v>
      </c>
      <c r="G4489" t="s">
        <v>25</v>
      </c>
      <c r="H4489" s="1">
        <v>45518</v>
      </c>
      <c r="I4489" s="1">
        <v>45529</v>
      </c>
      <c r="J4489" t="str">
        <f t="shared" si="70"/>
        <v>Aug-2024</v>
      </c>
    </row>
    <row r="4490" spans="1:10">
      <c r="A4490">
        <v>4489</v>
      </c>
      <c r="B4490">
        <v>11375</v>
      </c>
      <c r="C4490" t="s">
        <v>23</v>
      </c>
      <c r="D4490">
        <v>178543.1</v>
      </c>
      <c r="E4490" t="s">
        <v>19</v>
      </c>
      <c r="F4490">
        <v>17</v>
      </c>
      <c r="G4490" t="s">
        <v>25</v>
      </c>
      <c r="H4490" s="1">
        <v>45521</v>
      </c>
      <c r="I4490" s="1">
        <v>45538</v>
      </c>
      <c r="J4490" t="str">
        <f t="shared" si="70"/>
        <v>Aug-2024</v>
      </c>
    </row>
    <row r="4491" spans="1:10">
      <c r="A4491">
        <v>4490</v>
      </c>
      <c r="B4491">
        <v>18130</v>
      </c>
      <c r="C4491" t="s">
        <v>23</v>
      </c>
      <c r="D4491">
        <v>193588.63</v>
      </c>
      <c r="E4491" t="s">
        <v>24</v>
      </c>
      <c r="G4491" t="s">
        <v>21</v>
      </c>
      <c r="H4491" s="1">
        <v>45524</v>
      </c>
      <c r="J4491" t="str">
        <f t="shared" si="70"/>
        <v>Aug-2024</v>
      </c>
    </row>
    <row r="4492" spans="1:10">
      <c r="A4492">
        <v>4491</v>
      </c>
      <c r="B4492">
        <v>15401</v>
      </c>
      <c r="C4492" t="s">
        <v>22</v>
      </c>
      <c r="D4492">
        <v>18735.8</v>
      </c>
      <c r="E4492" t="s">
        <v>16</v>
      </c>
      <c r="F4492">
        <v>25</v>
      </c>
      <c r="G4492" t="s">
        <v>17</v>
      </c>
      <c r="H4492" s="1">
        <v>45454</v>
      </c>
      <c r="I4492" s="1">
        <v>45479</v>
      </c>
      <c r="J4492" t="str">
        <f t="shared" si="70"/>
        <v>Jun-2024</v>
      </c>
    </row>
    <row r="4493" spans="1:10">
      <c r="A4493">
        <v>4492</v>
      </c>
      <c r="B4493">
        <v>18803</v>
      </c>
      <c r="C4493" t="s">
        <v>23</v>
      </c>
      <c r="D4493">
        <v>96902.49</v>
      </c>
      <c r="E4493" t="s">
        <v>16</v>
      </c>
      <c r="F4493">
        <v>40</v>
      </c>
      <c r="G4493" t="s">
        <v>21</v>
      </c>
      <c r="H4493" s="1">
        <v>45417</v>
      </c>
      <c r="I4493" s="1">
        <v>45457</v>
      </c>
      <c r="J4493" t="str">
        <f t="shared" si="70"/>
        <v>May-2024</v>
      </c>
    </row>
    <row r="4494" spans="1:10">
      <c r="A4494">
        <v>4493</v>
      </c>
      <c r="B4494">
        <v>16992</v>
      </c>
      <c r="C4494" t="s">
        <v>23</v>
      </c>
      <c r="D4494">
        <v>111924.74</v>
      </c>
      <c r="E4494" t="s">
        <v>24</v>
      </c>
      <c r="G4494" t="s">
        <v>21</v>
      </c>
      <c r="H4494" s="1">
        <v>45544</v>
      </c>
      <c r="J4494" t="str">
        <f t="shared" si="70"/>
        <v>Sep-2024</v>
      </c>
    </row>
    <row r="4495" spans="1:10">
      <c r="A4495">
        <v>4494</v>
      </c>
      <c r="B4495">
        <v>13316</v>
      </c>
      <c r="C4495" t="s">
        <v>23</v>
      </c>
      <c r="D4495">
        <v>23117.77</v>
      </c>
      <c r="E4495" t="s">
        <v>16</v>
      </c>
      <c r="F4495">
        <v>12</v>
      </c>
      <c r="G4495" t="s">
        <v>20</v>
      </c>
      <c r="H4495" s="1">
        <v>45624</v>
      </c>
      <c r="I4495" s="1">
        <v>45636</v>
      </c>
      <c r="J4495" t="str">
        <f t="shared" si="70"/>
        <v>Nov-2024</v>
      </c>
    </row>
    <row r="4496" spans="1:10">
      <c r="A4496">
        <v>4495</v>
      </c>
      <c r="B4496">
        <v>11598</v>
      </c>
      <c r="C4496" t="s">
        <v>22</v>
      </c>
      <c r="D4496">
        <v>78612.05</v>
      </c>
      <c r="E4496" t="s">
        <v>24</v>
      </c>
      <c r="G4496" t="s">
        <v>20</v>
      </c>
      <c r="H4496" s="1">
        <v>45490</v>
      </c>
      <c r="J4496" t="str">
        <f t="shared" si="70"/>
        <v>Jul-2024</v>
      </c>
    </row>
    <row r="4497" spans="1:10">
      <c r="A4497">
        <v>4496</v>
      </c>
      <c r="B4497">
        <v>14949</v>
      </c>
      <c r="C4497" t="s">
        <v>18</v>
      </c>
      <c r="D4497">
        <v>66831.070000000007</v>
      </c>
      <c r="E4497" t="s">
        <v>16</v>
      </c>
      <c r="F4497">
        <v>27</v>
      </c>
      <c r="G4497" t="s">
        <v>21</v>
      </c>
      <c r="H4497" s="1">
        <v>45488</v>
      </c>
      <c r="I4497" s="1">
        <v>45515</v>
      </c>
      <c r="J4497" t="str">
        <f t="shared" si="70"/>
        <v>Jul-2024</v>
      </c>
    </row>
    <row r="4498" spans="1:10">
      <c r="A4498">
        <v>4497</v>
      </c>
      <c r="B4498">
        <v>16572</v>
      </c>
      <c r="C4498" t="s">
        <v>18</v>
      </c>
      <c r="D4498">
        <v>109530.99</v>
      </c>
      <c r="E4498" t="s">
        <v>19</v>
      </c>
      <c r="F4498">
        <v>8</v>
      </c>
      <c r="G4498" t="s">
        <v>17</v>
      </c>
      <c r="H4498" s="1">
        <v>45413</v>
      </c>
      <c r="I4498" s="1">
        <v>45421</v>
      </c>
      <c r="J4498" t="str">
        <f t="shared" si="70"/>
        <v>May-2024</v>
      </c>
    </row>
    <row r="4499" spans="1:10">
      <c r="A4499">
        <v>4498</v>
      </c>
      <c r="B4499">
        <v>10638</v>
      </c>
      <c r="C4499" t="s">
        <v>22</v>
      </c>
      <c r="D4499">
        <v>133932.23000000001</v>
      </c>
      <c r="E4499" t="s">
        <v>16</v>
      </c>
      <c r="F4499">
        <v>16</v>
      </c>
      <c r="G4499" t="s">
        <v>20</v>
      </c>
      <c r="H4499" s="1">
        <v>45555</v>
      </c>
      <c r="I4499" s="1">
        <v>45571</v>
      </c>
      <c r="J4499" t="str">
        <f t="shared" si="70"/>
        <v>Sep-2024</v>
      </c>
    </row>
    <row r="4500" spans="1:10">
      <c r="A4500">
        <v>4499</v>
      </c>
      <c r="B4500">
        <v>14166</v>
      </c>
      <c r="C4500" t="s">
        <v>23</v>
      </c>
      <c r="D4500">
        <v>142179.6</v>
      </c>
      <c r="E4500" t="s">
        <v>24</v>
      </c>
      <c r="G4500" t="s">
        <v>21</v>
      </c>
      <c r="H4500" s="1">
        <v>45345</v>
      </c>
      <c r="J4500" t="str">
        <f t="shared" si="70"/>
        <v>Feb-2024</v>
      </c>
    </row>
    <row r="4501" spans="1:10">
      <c r="A4501">
        <v>4500</v>
      </c>
      <c r="B4501">
        <v>10645</v>
      </c>
      <c r="C4501" t="s">
        <v>18</v>
      </c>
      <c r="D4501">
        <v>31667.23</v>
      </c>
      <c r="E4501" t="s">
        <v>16</v>
      </c>
      <c r="F4501">
        <v>4</v>
      </c>
      <c r="G4501" t="s">
        <v>21</v>
      </c>
      <c r="H4501" s="1">
        <v>45426</v>
      </c>
      <c r="I4501" s="1">
        <v>45430</v>
      </c>
      <c r="J4501" t="str">
        <f t="shared" si="70"/>
        <v>May-2024</v>
      </c>
    </row>
    <row r="4502" spans="1:10">
      <c r="A4502">
        <v>4501</v>
      </c>
      <c r="B4502">
        <v>15884</v>
      </c>
      <c r="C4502" t="s">
        <v>23</v>
      </c>
      <c r="D4502">
        <v>163524.79999999999</v>
      </c>
      <c r="E4502" t="s">
        <v>16</v>
      </c>
      <c r="F4502">
        <v>17</v>
      </c>
      <c r="G4502" t="s">
        <v>21</v>
      </c>
      <c r="H4502" s="1">
        <v>45630</v>
      </c>
      <c r="I4502" s="1">
        <v>45647</v>
      </c>
      <c r="J4502" t="str">
        <f t="shared" si="70"/>
        <v>Dec-2024</v>
      </c>
    </row>
    <row r="4503" spans="1:10">
      <c r="A4503">
        <v>4502</v>
      </c>
      <c r="B4503">
        <v>16668</v>
      </c>
      <c r="C4503" t="s">
        <v>23</v>
      </c>
      <c r="D4503">
        <v>137315.70000000001</v>
      </c>
      <c r="E4503" t="s">
        <v>16</v>
      </c>
      <c r="F4503">
        <v>16</v>
      </c>
      <c r="G4503" t="s">
        <v>21</v>
      </c>
      <c r="H4503" s="1">
        <v>45650</v>
      </c>
      <c r="I4503" s="1">
        <v>45666</v>
      </c>
      <c r="J4503" t="str">
        <f t="shared" si="70"/>
        <v>Dec-2024</v>
      </c>
    </row>
    <row r="4504" spans="1:10">
      <c r="A4504">
        <v>4503</v>
      </c>
      <c r="B4504">
        <v>10089</v>
      </c>
      <c r="C4504" t="s">
        <v>15</v>
      </c>
      <c r="D4504">
        <v>178369.61</v>
      </c>
      <c r="E4504" t="s">
        <v>16</v>
      </c>
      <c r="F4504">
        <v>26</v>
      </c>
      <c r="G4504" t="s">
        <v>21</v>
      </c>
      <c r="H4504" s="1">
        <v>45442</v>
      </c>
      <c r="I4504" s="1">
        <v>45468</v>
      </c>
      <c r="J4504" t="str">
        <f t="shared" si="70"/>
        <v>May-2024</v>
      </c>
    </row>
    <row r="4505" spans="1:10">
      <c r="A4505">
        <v>4504</v>
      </c>
      <c r="B4505">
        <v>19015</v>
      </c>
      <c r="C4505" t="s">
        <v>18</v>
      </c>
      <c r="D4505">
        <v>92620.53</v>
      </c>
      <c r="E4505" t="s">
        <v>19</v>
      </c>
      <c r="F4505">
        <v>34</v>
      </c>
      <c r="G4505" t="s">
        <v>21</v>
      </c>
      <c r="H4505" s="1">
        <v>45391</v>
      </c>
      <c r="I4505" s="1">
        <v>45425</v>
      </c>
      <c r="J4505" t="str">
        <f t="shared" si="70"/>
        <v>Apr-2024</v>
      </c>
    </row>
    <row r="4506" spans="1:10">
      <c r="A4506">
        <v>4505</v>
      </c>
      <c r="B4506">
        <v>10550</v>
      </c>
      <c r="C4506" t="s">
        <v>23</v>
      </c>
      <c r="D4506">
        <v>179308.5</v>
      </c>
      <c r="E4506" t="s">
        <v>16</v>
      </c>
      <c r="F4506">
        <v>15</v>
      </c>
      <c r="G4506" t="s">
        <v>20</v>
      </c>
      <c r="H4506" s="1">
        <v>45525</v>
      </c>
      <c r="I4506" s="1">
        <v>45540</v>
      </c>
      <c r="J4506" t="str">
        <f t="shared" si="70"/>
        <v>Aug-2024</v>
      </c>
    </row>
    <row r="4507" spans="1:10">
      <c r="A4507">
        <v>4506</v>
      </c>
      <c r="B4507">
        <v>18251</v>
      </c>
      <c r="C4507" t="s">
        <v>23</v>
      </c>
      <c r="D4507">
        <v>173825.95</v>
      </c>
      <c r="E4507" t="s">
        <v>24</v>
      </c>
      <c r="G4507" t="s">
        <v>17</v>
      </c>
      <c r="H4507" s="1">
        <v>45323</v>
      </c>
      <c r="J4507" t="str">
        <f t="shared" si="70"/>
        <v>Feb-2024</v>
      </c>
    </row>
    <row r="4508" spans="1:10">
      <c r="A4508">
        <v>4507</v>
      </c>
      <c r="B4508">
        <v>15224</v>
      </c>
      <c r="C4508" t="s">
        <v>18</v>
      </c>
      <c r="D4508">
        <v>90489.82</v>
      </c>
      <c r="E4508" t="s">
        <v>16</v>
      </c>
      <c r="F4508">
        <v>12</v>
      </c>
      <c r="G4508" t="s">
        <v>21</v>
      </c>
      <c r="H4508" s="1">
        <v>45353</v>
      </c>
      <c r="I4508" s="1">
        <v>45365</v>
      </c>
      <c r="J4508" t="str">
        <f t="shared" si="70"/>
        <v>Mar-2024</v>
      </c>
    </row>
    <row r="4509" spans="1:10">
      <c r="A4509">
        <v>4508</v>
      </c>
      <c r="B4509">
        <v>15581</v>
      </c>
      <c r="C4509" t="s">
        <v>23</v>
      </c>
      <c r="D4509">
        <v>79322.95</v>
      </c>
      <c r="E4509" t="s">
        <v>19</v>
      </c>
      <c r="F4509">
        <v>4</v>
      </c>
      <c r="G4509" t="s">
        <v>25</v>
      </c>
      <c r="H4509" s="1">
        <v>45487</v>
      </c>
      <c r="I4509" s="1">
        <v>45491</v>
      </c>
      <c r="J4509" t="str">
        <f t="shared" si="70"/>
        <v>Jul-2024</v>
      </c>
    </row>
    <row r="4510" spans="1:10">
      <c r="A4510">
        <v>4509</v>
      </c>
      <c r="B4510">
        <v>14178</v>
      </c>
      <c r="C4510" t="s">
        <v>23</v>
      </c>
      <c r="D4510">
        <v>186898.34</v>
      </c>
      <c r="E4510" t="s">
        <v>16</v>
      </c>
      <c r="F4510">
        <v>10</v>
      </c>
      <c r="G4510" t="s">
        <v>20</v>
      </c>
      <c r="H4510" s="1">
        <v>45321</v>
      </c>
      <c r="I4510" s="1">
        <v>45331</v>
      </c>
      <c r="J4510" t="str">
        <f t="shared" si="70"/>
        <v>Jan-2024</v>
      </c>
    </row>
    <row r="4511" spans="1:10">
      <c r="A4511">
        <v>4510</v>
      </c>
      <c r="B4511">
        <v>19435</v>
      </c>
      <c r="C4511" t="s">
        <v>23</v>
      </c>
      <c r="D4511">
        <v>144457.12</v>
      </c>
      <c r="E4511" t="s">
        <v>24</v>
      </c>
      <c r="G4511" t="s">
        <v>20</v>
      </c>
      <c r="H4511" s="1">
        <v>45534</v>
      </c>
      <c r="J4511" t="str">
        <f t="shared" si="70"/>
        <v>Aug-2024</v>
      </c>
    </row>
    <row r="4512" spans="1:10">
      <c r="A4512">
        <v>4511</v>
      </c>
      <c r="B4512">
        <v>13479</v>
      </c>
      <c r="C4512" t="s">
        <v>23</v>
      </c>
      <c r="D4512">
        <v>186007.84</v>
      </c>
      <c r="E4512" t="s">
        <v>24</v>
      </c>
      <c r="G4512" t="s">
        <v>21</v>
      </c>
      <c r="H4512" s="1">
        <v>45397</v>
      </c>
      <c r="J4512" t="str">
        <f t="shared" si="70"/>
        <v>Apr-2024</v>
      </c>
    </row>
    <row r="4513" spans="1:10">
      <c r="A4513">
        <v>4512</v>
      </c>
      <c r="B4513">
        <v>19137</v>
      </c>
      <c r="C4513" t="s">
        <v>15</v>
      </c>
      <c r="D4513">
        <v>160410.07999999999</v>
      </c>
      <c r="E4513" t="s">
        <v>16</v>
      </c>
      <c r="F4513">
        <v>17</v>
      </c>
      <c r="G4513" t="s">
        <v>20</v>
      </c>
      <c r="H4513" s="1">
        <v>45586</v>
      </c>
      <c r="I4513" s="1">
        <v>45603</v>
      </c>
      <c r="J4513" t="str">
        <f t="shared" si="70"/>
        <v>Oct-2024</v>
      </c>
    </row>
    <row r="4514" spans="1:10">
      <c r="A4514">
        <v>4513</v>
      </c>
      <c r="B4514">
        <v>19832</v>
      </c>
      <c r="C4514" t="s">
        <v>23</v>
      </c>
      <c r="D4514">
        <v>123813</v>
      </c>
      <c r="E4514" t="s">
        <v>19</v>
      </c>
      <c r="F4514">
        <v>12</v>
      </c>
      <c r="G4514" t="s">
        <v>21</v>
      </c>
      <c r="H4514" s="1">
        <v>45424</v>
      </c>
      <c r="I4514" s="1">
        <v>45436</v>
      </c>
      <c r="J4514" t="str">
        <f t="shared" si="70"/>
        <v>May-2024</v>
      </c>
    </row>
    <row r="4515" spans="1:10">
      <c r="A4515">
        <v>4514</v>
      </c>
      <c r="B4515">
        <v>16091</v>
      </c>
      <c r="C4515" t="s">
        <v>23</v>
      </c>
      <c r="D4515">
        <v>27591.29</v>
      </c>
      <c r="E4515" t="s">
        <v>19</v>
      </c>
      <c r="F4515">
        <v>18</v>
      </c>
      <c r="G4515" t="s">
        <v>17</v>
      </c>
      <c r="H4515" s="1">
        <v>45313</v>
      </c>
      <c r="I4515" s="1">
        <v>45331</v>
      </c>
      <c r="J4515" t="str">
        <f t="shared" si="70"/>
        <v>Jan-2024</v>
      </c>
    </row>
    <row r="4516" spans="1:10">
      <c r="A4516">
        <v>4515</v>
      </c>
      <c r="B4516">
        <v>12633</v>
      </c>
      <c r="C4516" t="s">
        <v>18</v>
      </c>
      <c r="D4516">
        <v>61838.73</v>
      </c>
      <c r="E4516" t="s">
        <v>16</v>
      </c>
      <c r="F4516">
        <v>4</v>
      </c>
      <c r="G4516" t="s">
        <v>17</v>
      </c>
      <c r="H4516" s="1">
        <v>45447</v>
      </c>
      <c r="I4516" s="1">
        <v>45451</v>
      </c>
      <c r="J4516" t="str">
        <f t="shared" si="70"/>
        <v>Jun-2024</v>
      </c>
    </row>
    <row r="4517" spans="1:10">
      <c r="A4517">
        <v>4516</v>
      </c>
      <c r="B4517">
        <v>16790</v>
      </c>
      <c r="C4517" t="s">
        <v>15</v>
      </c>
      <c r="D4517">
        <v>193924.27</v>
      </c>
      <c r="E4517" t="s">
        <v>16</v>
      </c>
      <c r="F4517">
        <v>20</v>
      </c>
      <c r="G4517" t="s">
        <v>20</v>
      </c>
      <c r="H4517" s="1">
        <v>45505</v>
      </c>
      <c r="I4517" s="1">
        <v>45525</v>
      </c>
      <c r="J4517" t="str">
        <f t="shared" si="70"/>
        <v>Aug-2024</v>
      </c>
    </row>
    <row r="4518" spans="1:10">
      <c r="A4518">
        <v>4517</v>
      </c>
      <c r="B4518">
        <v>13501</v>
      </c>
      <c r="C4518" t="s">
        <v>23</v>
      </c>
      <c r="D4518">
        <v>67287.31</v>
      </c>
      <c r="E4518" t="s">
        <v>16</v>
      </c>
      <c r="F4518">
        <v>25</v>
      </c>
      <c r="G4518" t="s">
        <v>20</v>
      </c>
      <c r="H4518" s="1">
        <v>45517</v>
      </c>
      <c r="I4518" s="1">
        <v>45542</v>
      </c>
      <c r="J4518" t="str">
        <f t="shared" si="70"/>
        <v>Aug-2024</v>
      </c>
    </row>
    <row r="4519" spans="1:10">
      <c r="A4519">
        <v>4518</v>
      </c>
      <c r="B4519">
        <v>10889</v>
      </c>
      <c r="C4519" t="s">
        <v>23</v>
      </c>
      <c r="D4519">
        <v>23184.7</v>
      </c>
      <c r="E4519" t="s">
        <v>19</v>
      </c>
      <c r="F4519">
        <v>43</v>
      </c>
      <c r="G4519" t="s">
        <v>25</v>
      </c>
      <c r="H4519" s="1">
        <v>45576</v>
      </c>
      <c r="I4519" s="1">
        <v>45619</v>
      </c>
      <c r="J4519" t="str">
        <f t="shared" si="70"/>
        <v>Oct-2024</v>
      </c>
    </row>
    <row r="4520" spans="1:10">
      <c r="A4520">
        <v>4519</v>
      </c>
      <c r="B4520">
        <v>18765</v>
      </c>
      <c r="C4520" t="s">
        <v>23</v>
      </c>
      <c r="D4520">
        <v>142972.9</v>
      </c>
      <c r="E4520" t="s">
        <v>16</v>
      </c>
      <c r="F4520">
        <v>9</v>
      </c>
      <c r="G4520" t="s">
        <v>20</v>
      </c>
      <c r="H4520" s="1">
        <v>45462</v>
      </c>
      <c r="I4520" s="1">
        <v>45471</v>
      </c>
      <c r="J4520" t="str">
        <f t="shared" si="70"/>
        <v>Jun-2024</v>
      </c>
    </row>
    <row r="4521" spans="1:10">
      <c r="A4521">
        <v>4520</v>
      </c>
      <c r="B4521">
        <v>18704</v>
      </c>
      <c r="C4521" t="s">
        <v>18</v>
      </c>
      <c r="D4521">
        <v>148130.82999999999</v>
      </c>
      <c r="E4521" t="s">
        <v>16</v>
      </c>
      <c r="F4521">
        <v>37</v>
      </c>
      <c r="G4521" t="s">
        <v>25</v>
      </c>
      <c r="H4521" s="1">
        <v>45333</v>
      </c>
      <c r="I4521" s="1">
        <v>45370</v>
      </c>
      <c r="J4521" t="str">
        <f t="shared" si="70"/>
        <v>Feb-2024</v>
      </c>
    </row>
    <row r="4522" spans="1:10">
      <c r="A4522">
        <v>4521</v>
      </c>
      <c r="B4522">
        <v>17246</v>
      </c>
      <c r="C4522" t="s">
        <v>18</v>
      </c>
      <c r="D4522">
        <v>60664.26</v>
      </c>
      <c r="E4522" t="s">
        <v>16</v>
      </c>
      <c r="F4522">
        <v>41</v>
      </c>
      <c r="G4522" t="s">
        <v>17</v>
      </c>
      <c r="H4522" s="1">
        <v>45351</v>
      </c>
      <c r="I4522" s="1">
        <v>45392</v>
      </c>
      <c r="J4522" t="str">
        <f t="shared" si="70"/>
        <v>Feb-2024</v>
      </c>
    </row>
    <row r="4523" spans="1:10">
      <c r="A4523">
        <v>4522</v>
      </c>
      <c r="B4523">
        <v>14160</v>
      </c>
      <c r="C4523" t="s">
        <v>15</v>
      </c>
      <c r="D4523">
        <v>63046.04</v>
      </c>
      <c r="E4523" t="s">
        <v>16</v>
      </c>
      <c r="F4523">
        <v>3</v>
      </c>
      <c r="G4523" t="s">
        <v>17</v>
      </c>
      <c r="H4523" s="1">
        <v>45368</v>
      </c>
      <c r="I4523" s="1">
        <v>45371</v>
      </c>
      <c r="J4523" t="str">
        <f t="shared" si="70"/>
        <v>Mar-2024</v>
      </c>
    </row>
    <row r="4524" spans="1:10">
      <c r="A4524">
        <v>4523</v>
      </c>
      <c r="B4524">
        <v>14051</v>
      </c>
      <c r="C4524" t="s">
        <v>22</v>
      </c>
      <c r="D4524">
        <v>96434.13</v>
      </c>
      <c r="E4524" t="s">
        <v>19</v>
      </c>
      <c r="F4524">
        <v>24</v>
      </c>
      <c r="G4524" t="s">
        <v>21</v>
      </c>
      <c r="H4524" s="1">
        <v>45493</v>
      </c>
      <c r="I4524" s="1">
        <v>45517</v>
      </c>
      <c r="J4524" t="str">
        <f t="shared" si="70"/>
        <v>Jul-2024</v>
      </c>
    </row>
    <row r="4525" spans="1:10">
      <c r="A4525">
        <v>4524</v>
      </c>
      <c r="B4525">
        <v>12230</v>
      </c>
      <c r="C4525" t="s">
        <v>18</v>
      </c>
      <c r="D4525">
        <v>9248.85</v>
      </c>
      <c r="E4525" t="s">
        <v>24</v>
      </c>
      <c r="G4525" t="s">
        <v>17</v>
      </c>
      <c r="H4525" s="1">
        <v>45511</v>
      </c>
      <c r="J4525" t="str">
        <f t="shared" si="70"/>
        <v>Aug-2024</v>
      </c>
    </row>
    <row r="4526" spans="1:10">
      <c r="A4526">
        <v>4525</v>
      </c>
      <c r="B4526">
        <v>15185</v>
      </c>
      <c r="C4526" t="s">
        <v>18</v>
      </c>
      <c r="D4526">
        <v>158917.99</v>
      </c>
      <c r="E4526" t="s">
        <v>16</v>
      </c>
      <c r="F4526">
        <v>31</v>
      </c>
      <c r="G4526" t="s">
        <v>25</v>
      </c>
      <c r="H4526" s="1">
        <v>45478</v>
      </c>
      <c r="I4526" s="1">
        <v>45509</v>
      </c>
      <c r="J4526" t="str">
        <f t="shared" si="70"/>
        <v>Jul-2024</v>
      </c>
    </row>
    <row r="4527" spans="1:10">
      <c r="A4527">
        <v>4526</v>
      </c>
      <c r="B4527">
        <v>17375</v>
      </c>
      <c r="C4527" t="s">
        <v>23</v>
      </c>
      <c r="D4527">
        <v>66832.31</v>
      </c>
      <c r="E4527" t="s">
        <v>16</v>
      </c>
      <c r="F4527">
        <v>26</v>
      </c>
      <c r="G4527" t="s">
        <v>20</v>
      </c>
      <c r="H4527" s="1">
        <v>45387</v>
      </c>
      <c r="I4527" s="1">
        <v>45413</v>
      </c>
      <c r="J4527" t="str">
        <f t="shared" si="70"/>
        <v>Apr-2024</v>
      </c>
    </row>
    <row r="4528" spans="1:10">
      <c r="A4528">
        <v>4527</v>
      </c>
      <c r="B4528">
        <v>16197</v>
      </c>
      <c r="C4528" t="s">
        <v>23</v>
      </c>
      <c r="D4528">
        <v>171483.8</v>
      </c>
      <c r="E4528" t="s">
        <v>19</v>
      </c>
      <c r="F4528">
        <v>8</v>
      </c>
      <c r="G4528" t="s">
        <v>21</v>
      </c>
      <c r="H4528" s="1">
        <v>45633</v>
      </c>
      <c r="I4528" s="1">
        <v>45641</v>
      </c>
      <c r="J4528" t="str">
        <f t="shared" si="70"/>
        <v>Dec-2024</v>
      </c>
    </row>
    <row r="4529" spans="1:10">
      <c r="A4529">
        <v>4528</v>
      </c>
      <c r="B4529">
        <v>12283</v>
      </c>
      <c r="C4529" t="s">
        <v>22</v>
      </c>
      <c r="D4529">
        <v>161512.93</v>
      </c>
      <c r="E4529" t="s">
        <v>16</v>
      </c>
      <c r="F4529">
        <v>29</v>
      </c>
      <c r="G4529" t="s">
        <v>25</v>
      </c>
      <c r="H4529" s="1">
        <v>45503</v>
      </c>
      <c r="I4529" s="1">
        <v>45532</v>
      </c>
      <c r="J4529" t="str">
        <f t="shared" si="70"/>
        <v>Jul-2024</v>
      </c>
    </row>
    <row r="4530" spans="1:10">
      <c r="A4530">
        <v>4529</v>
      </c>
      <c r="B4530">
        <v>14984</v>
      </c>
      <c r="C4530" t="s">
        <v>23</v>
      </c>
      <c r="D4530">
        <v>133973.4</v>
      </c>
      <c r="E4530" t="s">
        <v>16</v>
      </c>
      <c r="F4530">
        <v>42</v>
      </c>
      <c r="G4530" t="s">
        <v>20</v>
      </c>
      <c r="H4530" s="1">
        <v>45631</v>
      </c>
      <c r="I4530" s="1">
        <v>45673</v>
      </c>
      <c r="J4530" t="str">
        <f t="shared" si="70"/>
        <v>Dec-2024</v>
      </c>
    </row>
    <row r="4531" spans="1:10">
      <c r="A4531">
        <v>4530</v>
      </c>
      <c r="B4531">
        <v>10611</v>
      </c>
      <c r="C4531" t="s">
        <v>23</v>
      </c>
      <c r="D4531">
        <v>68350.600000000006</v>
      </c>
      <c r="E4531" t="s">
        <v>16</v>
      </c>
      <c r="F4531">
        <v>18</v>
      </c>
      <c r="G4531" t="s">
        <v>21</v>
      </c>
      <c r="H4531" s="1">
        <v>45553</v>
      </c>
      <c r="I4531" s="1">
        <v>45571</v>
      </c>
      <c r="J4531" t="str">
        <f t="shared" si="70"/>
        <v>Sep-2024</v>
      </c>
    </row>
    <row r="4532" spans="1:10">
      <c r="A4532">
        <v>4531</v>
      </c>
      <c r="B4532">
        <v>18629</v>
      </c>
      <c r="C4532" t="s">
        <v>18</v>
      </c>
      <c r="D4532">
        <v>105681.73</v>
      </c>
      <c r="E4532" t="s">
        <v>16</v>
      </c>
      <c r="F4532">
        <v>33</v>
      </c>
      <c r="G4532" t="s">
        <v>17</v>
      </c>
      <c r="H4532" s="1">
        <v>45620</v>
      </c>
      <c r="I4532" s="1">
        <v>45653</v>
      </c>
      <c r="J4532" t="str">
        <f t="shared" si="70"/>
        <v>Nov-2024</v>
      </c>
    </row>
    <row r="4533" spans="1:10">
      <c r="A4533">
        <v>4532</v>
      </c>
      <c r="B4533">
        <v>19651</v>
      </c>
      <c r="C4533" t="s">
        <v>23</v>
      </c>
      <c r="D4533">
        <v>91741.71</v>
      </c>
      <c r="E4533" t="s">
        <v>16</v>
      </c>
      <c r="F4533">
        <v>2</v>
      </c>
      <c r="G4533" t="s">
        <v>25</v>
      </c>
      <c r="H4533" s="1">
        <v>45368</v>
      </c>
      <c r="I4533" s="1">
        <v>45370</v>
      </c>
      <c r="J4533" t="str">
        <f t="shared" si="70"/>
        <v>Mar-2024</v>
      </c>
    </row>
    <row r="4534" spans="1:10">
      <c r="A4534">
        <v>4533</v>
      </c>
      <c r="B4534">
        <v>16837</v>
      </c>
      <c r="C4534" t="s">
        <v>18</v>
      </c>
      <c r="D4534">
        <v>71081.97</v>
      </c>
      <c r="E4534" t="s">
        <v>19</v>
      </c>
      <c r="F4534">
        <v>28</v>
      </c>
      <c r="G4534" t="s">
        <v>20</v>
      </c>
      <c r="H4534" s="1">
        <v>45322</v>
      </c>
      <c r="I4534" s="1">
        <v>45350</v>
      </c>
      <c r="J4534" t="str">
        <f t="shared" si="70"/>
        <v>Jan-2024</v>
      </c>
    </row>
    <row r="4535" spans="1:10">
      <c r="A4535">
        <v>4534</v>
      </c>
      <c r="B4535">
        <v>17106</v>
      </c>
      <c r="C4535" t="s">
        <v>18</v>
      </c>
      <c r="D4535">
        <v>170386.58</v>
      </c>
      <c r="E4535" t="s">
        <v>16</v>
      </c>
      <c r="F4535">
        <v>37</v>
      </c>
      <c r="G4535" t="s">
        <v>21</v>
      </c>
      <c r="H4535" s="1">
        <v>45330</v>
      </c>
      <c r="I4535" s="1">
        <v>45367</v>
      </c>
      <c r="J4535" t="str">
        <f t="shared" si="70"/>
        <v>Feb-2024</v>
      </c>
    </row>
    <row r="4536" spans="1:10">
      <c r="A4536">
        <v>4535</v>
      </c>
      <c r="B4536">
        <v>17275</v>
      </c>
      <c r="C4536" t="s">
        <v>23</v>
      </c>
      <c r="D4536">
        <v>99283.88</v>
      </c>
      <c r="E4536" t="s">
        <v>19</v>
      </c>
      <c r="F4536">
        <v>8</v>
      </c>
      <c r="G4536" t="s">
        <v>21</v>
      </c>
      <c r="H4536" s="1">
        <v>45597</v>
      </c>
      <c r="I4536" s="1">
        <v>45605</v>
      </c>
      <c r="J4536" t="str">
        <f t="shared" si="70"/>
        <v>Nov-2024</v>
      </c>
    </row>
    <row r="4537" spans="1:10">
      <c r="A4537">
        <v>4536</v>
      </c>
      <c r="B4537">
        <v>18715</v>
      </c>
      <c r="C4537" t="s">
        <v>15</v>
      </c>
      <c r="D4537">
        <v>167381</v>
      </c>
      <c r="E4537" t="s">
        <v>16</v>
      </c>
      <c r="F4537">
        <v>4</v>
      </c>
      <c r="G4537" t="s">
        <v>17</v>
      </c>
      <c r="H4537" s="1">
        <v>45625</v>
      </c>
      <c r="I4537" s="1">
        <v>45629</v>
      </c>
      <c r="J4537" t="str">
        <f t="shared" si="70"/>
        <v>Nov-2024</v>
      </c>
    </row>
    <row r="4538" spans="1:10">
      <c r="A4538">
        <v>4537</v>
      </c>
      <c r="B4538">
        <v>13577</v>
      </c>
      <c r="C4538" t="s">
        <v>23</v>
      </c>
      <c r="D4538">
        <v>25517.599999999999</v>
      </c>
      <c r="E4538" t="s">
        <v>16</v>
      </c>
      <c r="F4538">
        <v>31</v>
      </c>
      <c r="G4538" t="s">
        <v>20</v>
      </c>
      <c r="H4538" s="1">
        <v>45505</v>
      </c>
      <c r="I4538" s="1">
        <v>45536</v>
      </c>
      <c r="J4538" t="str">
        <f t="shared" si="70"/>
        <v>Aug-2024</v>
      </c>
    </row>
    <row r="4539" spans="1:10">
      <c r="A4539">
        <v>4538</v>
      </c>
      <c r="B4539">
        <v>16486</v>
      </c>
      <c r="C4539" t="s">
        <v>23</v>
      </c>
      <c r="D4539">
        <v>32499.83</v>
      </c>
      <c r="E4539" t="s">
        <v>19</v>
      </c>
      <c r="F4539">
        <v>2</v>
      </c>
      <c r="G4539" t="s">
        <v>17</v>
      </c>
      <c r="H4539" s="1">
        <v>45417</v>
      </c>
      <c r="I4539" s="1">
        <v>45419</v>
      </c>
      <c r="J4539" t="str">
        <f t="shared" si="70"/>
        <v>May-2024</v>
      </c>
    </row>
    <row r="4540" spans="1:10">
      <c r="A4540">
        <v>4539</v>
      </c>
      <c r="B4540">
        <v>12261</v>
      </c>
      <c r="C4540" t="s">
        <v>18</v>
      </c>
      <c r="D4540">
        <v>195577.46</v>
      </c>
      <c r="E4540" t="s">
        <v>16</v>
      </c>
      <c r="F4540">
        <v>35</v>
      </c>
      <c r="G4540" t="s">
        <v>17</v>
      </c>
      <c r="H4540" s="1">
        <v>45456</v>
      </c>
      <c r="I4540" s="1">
        <v>45491</v>
      </c>
      <c r="J4540" t="str">
        <f t="shared" si="70"/>
        <v>Jun-2024</v>
      </c>
    </row>
    <row r="4541" spans="1:10">
      <c r="A4541">
        <v>4540</v>
      </c>
      <c r="B4541">
        <v>11023</v>
      </c>
      <c r="C4541" t="s">
        <v>18</v>
      </c>
      <c r="D4541">
        <v>119614.85</v>
      </c>
      <c r="E4541" t="s">
        <v>16</v>
      </c>
      <c r="F4541">
        <v>39</v>
      </c>
      <c r="G4541" t="s">
        <v>20</v>
      </c>
      <c r="H4541" s="1">
        <v>45537</v>
      </c>
      <c r="I4541" s="1">
        <v>45576</v>
      </c>
      <c r="J4541" t="str">
        <f t="shared" si="70"/>
        <v>Sep-2024</v>
      </c>
    </row>
    <row r="4542" spans="1:10">
      <c r="A4542">
        <v>4541</v>
      </c>
      <c r="B4542">
        <v>19771</v>
      </c>
      <c r="C4542" t="s">
        <v>18</v>
      </c>
      <c r="D4542">
        <v>104405.09</v>
      </c>
      <c r="E4542" t="s">
        <v>16</v>
      </c>
      <c r="F4542">
        <v>44</v>
      </c>
      <c r="G4542" t="s">
        <v>20</v>
      </c>
      <c r="H4542" s="1">
        <v>45400</v>
      </c>
      <c r="I4542" s="1">
        <v>45444</v>
      </c>
      <c r="J4542" t="str">
        <f t="shared" si="70"/>
        <v>Apr-2024</v>
      </c>
    </row>
    <row r="4543" spans="1:10">
      <c r="A4543">
        <v>4542</v>
      </c>
      <c r="B4543">
        <v>18513</v>
      </c>
      <c r="C4543" t="s">
        <v>23</v>
      </c>
      <c r="D4543">
        <v>107015.43</v>
      </c>
      <c r="E4543" t="s">
        <v>16</v>
      </c>
      <c r="F4543">
        <v>37</v>
      </c>
      <c r="G4543" t="s">
        <v>20</v>
      </c>
      <c r="H4543" s="1">
        <v>45379</v>
      </c>
      <c r="I4543" s="1">
        <v>45416</v>
      </c>
      <c r="J4543" t="str">
        <f t="shared" si="70"/>
        <v>Mar-2024</v>
      </c>
    </row>
    <row r="4544" spans="1:10">
      <c r="A4544">
        <v>4543</v>
      </c>
      <c r="B4544">
        <v>17235</v>
      </c>
      <c r="C4544" t="s">
        <v>18</v>
      </c>
      <c r="D4544">
        <v>46977.41</v>
      </c>
      <c r="E4544" t="s">
        <v>19</v>
      </c>
      <c r="F4544">
        <v>34</v>
      </c>
      <c r="G4544" t="s">
        <v>25</v>
      </c>
      <c r="H4544" s="1">
        <v>45491</v>
      </c>
      <c r="I4544" s="1">
        <v>45525</v>
      </c>
      <c r="J4544" t="str">
        <f t="shared" si="70"/>
        <v>Jul-2024</v>
      </c>
    </row>
    <row r="4545" spans="1:10">
      <c r="A4545">
        <v>4544</v>
      </c>
      <c r="B4545">
        <v>13757</v>
      </c>
      <c r="C4545" t="s">
        <v>23</v>
      </c>
      <c r="D4545">
        <v>145147.26999999999</v>
      </c>
      <c r="E4545" t="s">
        <v>16</v>
      </c>
      <c r="F4545">
        <v>44</v>
      </c>
      <c r="G4545" t="s">
        <v>20</v>
      </c>
      <c r="H4545" s="1">
        <v>45562</v>
      </c>
      <c r="I4545" s="1">
        <v>45606</v>
      </c>
      <c r="J4545" t="str">
        <f t="shared" si="70"/>
        <v>Sep-2024</v>
      </c>
    </row>
    <row r="4546" spans="1:10">
      <c r="A4546">
        <v>4545</v>
      </c>
      <c r="B4546">
        <v>18068</v>
      </c>
      <c r="C4546" t="s">
        <v>22</v>
      </c>
      <c r="D4546">
        <v>21532.22</v>
      </c>
      <c r="E4546" t="s">
        <v>19</v>
      </c>
      <c r="F4546">
        <v>17</v>
      </c>
      <c r="G4546" t="s">
        <v>21</v>
      </c>
      <c r="H4546" s="1">
        <v>45342</v>
      </c>
      <c r="I4546" s="1">
        <v>45359</v>
      </c>
      <c r="J4546" t="str">
        <f t="shared" si="70"/>
        <v>Feb-2024</v>
      </c>
    </row>
    <row r="4547" spans="1:10">
      <c r="A4547">
        <v>4546</v>
      </c>
      <c r="B4547">
        <v>18641</v>
      </c>
      <c r="C4547" t="s">
        <v>23</v>
      </c>
      <c r="D4547">
        <v>116798.12</v>
      </c>
      <c r="E4547" t="s">
        <v>16</v>
      </c>
      <c r="F4547">
        <v>39</v>
      </c>
      <c r="G4547" t="s">
        <v>17</v>
      </c>
      <c r="H4547" s="1">
        <v>45489</v>
      </c>
      <c r="I4547" s="1">
        <v>45528</v>
      </c>
      <c r="J4547" t="str">
        <f t="shared" ref="J4547:J4610" si="71">TEXT(H4547,"mmm-yyyy")</f>
        <v>Jul-2024</v>
      </c>
    </row>
    <row r="4548" spans="1:10">
      <c r="A4548">
        <v>4547</v>
      </c>
      <c r="B4548">
        <v>11284</v>
      </c>
      <c r="C4548" t="s">
        <v>18</v>
      </c>
      <c r="D4548">
        <v>116299.92</v>
      </c>
      <c r="E4548" t="s">
        <v>16</v>
      </c>
      <c r="F4548">
        <v>12</v>
      </c>
      <c r="G4548" t="s">
        <v>25</v>
      </c>
      <c r="H4548" s="1">
        <v>45314</v>
      </c>
      <c r="I4548" s="1">
        <v>45326</v>
      </c>
      <c r="J4548" t="str">
        <f t="shared" si="71"/>
        <v>Jan-2024</v>
      </c>
    </row>
    <row r="4549" spans="1:10">
      <c r="A4549">
        <v>4548</v>
      </c>
      <c r="B4549">
        <v>11660</v>
      </c>
      <c r="C4549" t="s">
        <v>23</v>
      </c>
      <c r="D4549">
        <v>183266.74</v>
      </c>
      <c r="E4549" t="s">
        <v>24</v>
      </c>
      <c r="G4549" t="s">
        <v>20</v>
      </c>
      <c r="H4549" s="1">
        <v>45444</v>
      </c>
      <c r="J4549" t="str">
        <f t="shared" si="71"/>
        <v>Jun-2024</v>
      </c>
    </row>
    <row r="4550" spans="1:10">
      <c r="A4550">
        <v>4549</v>
      </c>
      <c r="B4550">
        <v>15353</v>
      </c>
      <c r="C4550" t="s">
        <v>23</v>
      </c>
      <c r="D4550">
        <v>107605.65</v>
      </c>
      <c r="E4550" t="s">
        <v>19</v>
      </c>
      <c r="F4550">
        <v>2</v>
      </c>
      <c r="G4550" t="s">
        <v>25</v>
      </c>
      <c r="H4550" s="1">
        <v>45514</v>
      </c>
      <c r="I4550" s="1">
        <v>45516</v>
      </c>
      <c r="J4550" t="str">
        <f t="shared" si="71"/>
        <v>Aug-2024</v>
      </c>
    </row>
    <row r="4551" spans="1:10">
      <c r="A4551">
        <v>4550</v>
      </c>
      <c r="B4551">
        <v>10903</v>
      </c>
      <c r="C4551" t="s">
        <v>23</v>
      </c>
      <c r="D4551">
        <v>31727.23</v>
      </c>
      <c r="E4551" t="s">
        <v>16</v>
      </c>
      <c r="F4551">
        <v>15</v>
      </c>
      <c r="G4551" t="s">
        <v>20</v>
      </c>
      <c r="H4551" s="1">
        <v>45512</v>
      </c>
      <c r="I4551" s="1">
        <v>45527</v>
      </c>
      <c r="J4551" t="str">
        <f t="shared" si="71"/>
        <v>Aug-2024</v>
      </c>
    </row>
    <row r="4552" spans="1:10">
      <c r="A4552">
        <v>4551</v>
      </c>
      <c r="B4552">
        <v>19369</v>
      </c>
      <c r="C4552" t="s">
        <v>15</v>
      </c>
      <c r="D4552">
        <v>116686.89</v>
      </c>
      <c r="E4552" t="s">
        <v>16</v>
      </c>
      <c r="F4552">
        <v>31</v>
      </c>
      <c r="G4552" t="s">
        <v>25</v>
      </c>
      <c r="H4552" s="1">
        <v>45442</v>
      </c>
      <c r="I4552" s="1">
        <v>45473</v>
      </c>
      <c r="J4552" t="str">
        <f t="shared" si="71"/>
        <v>May-2024</v>
      </c>
    </row>
    <row r="4553" spans="1:10">
      <c r="A4553">
        <v>4552</v>
      </c>
      <c r="B4553">
        <v>18521</v>
      </c>
      <c r="C4553" t="s">
        <v>18</v>
      </c>
      <c r="D4553">
        <v>22808.89</v>
      </c>
      <c r="E4553" t="s">
        <v>16</v>
      </c>
      <c r="F4553">
        <v>22</v>
      </c>
      <c r="G4553" t="s">
        <v>17</v>
      </c>
      <c r="H4553" s="1">
        <v>45557</v>
      </c>
      <c r="I4553" s="1">
        <v>45579</v>
      </c>
      <c r="J4553" t="str">
        <f t="shared" si="71"/>
        <v>Sep-2024</v>
      </c>
    </row>
    <row r="4554" spans="1:10">
      <c r="A4554">
        <v>4553</v>
      </c>
      <c r="B4554">
        <v>18828</v>
      </c>
      <c r="C4554" t="s">
        <v>22</v>
      </c>
      <c r="D4554">
        <v>44739.8</v>
      </c>
      <c r="E4554" t="s">
        <v>16</v>
      </c>
      <c r="F4554">
        <v>22</v>
      </c>
      <c r="G4554" t="s">
        <v>17</v>
      </c>
      <c r="H4554" s="1">
        <v>45364</v>
      </c>
      <c r="I4554" s="1">
        <v>45386</v>
      </c>
      <c r="J4554" t="str">
        <f t="shared" si="71"/>
        <v>Mar-2024</v>
      </c>
    </row>
    <row r="4555" spans="1:10">
      <c r="A4555">
        <v>4554</v>
      </c>
      <c r="B4555">
        <v>16010</v>
      </c>
      <c r="C4555" t="s">
        <v>23</v>
      </c>
      <c r="D4555">
        <v>11066.17</v>
      </c>
      <c r="E4555" t="s">
        <v>19</v>
      </c>
      <c r="F4555">
        <v>35</v>
      </c>
      <c r="G4555" t="s">
        <v>21</v>
      </c>
      <c r="H4555" s="1">
        <v>45368</v>
      </c>
      <c r="I4555" s="1">
        <v>45403</v>
      </c>
      <c r="J4555" t="str">
        <f t="shared" si="71"/>
        <v>Mar-2024</v>
      </c>
    </row>
    <row r="4556" spans="1:10">
      <c r="A4556">
        <v>4555</v>
      </c>
      <c r="B4556">
        <v>10412</v>
      </c>
      <c r="C4556" t="s">
        <v>23</v>
      </c>
      <c r="D4556">
        <v>105092.25</v>
      </c>
      <c r="E4556" t="s">
        <v>19</v>
      </c>
      <c r="F4556">
        <v>39</v>
      </c>
      <c r="G4556" t="s">
        <v>21</v>
      </c>
      <c r="H4556" s="1">
        <v>45323</v>
      </c>
      <c r="I4556" s="1">
        <v>45362</v>
      </c>
      <c r="J4556" t="str">
        <f t="shared" si="71"/>
        <v>Feb-2024</v>
      </c>
    </row>
    <row r="4557" spans="1:10">
      <c r="A4557">
        <v>4556</v>
      </c>
      <c r="B4557">
        <v>16639</v>
      </c>
      <c r="C4557" t="s">
        <v>23</v>
      </c>
      <c r="D4557">
        <v>21483.86</v>
      </c>
      <c r="E4557" t="s">
        <v>16</v>
      </c>
      <c r="F4557">
        <v>27</v>
      </c>
      <c r="G4557" t="s">
        <v>20</v>
      </c>
      <c r="H4557" s="1">
        <v>45356</v>
      </c>
      <c r="I4557" s="1">
        <v>45383</v>
      </c>
      <c r="J4557" t="str">
        <f t="shared" si="71"/>
        <v>Mar-2024</v>
      </c>
    </row>
    <row r="4558" spans="1:10">
      <c r="A4558">
        <v>4557</v>
      </c>
      <c r="B4558">
        <v>13833</v>
      </c>
      <c r="C4558" t="s">
        <v>15</v>
      </c>
      <c r="D4558">
        <v>96531.9</v>
      </c>
      <c r="E4558" t="s">
        <v>19</v>
      </c>
      <c r="F4558">
        <v>42</v>
      </c>
      <c r="G4558" t="s">
        <v>17</v>
      </c>
      <c r="H4558" s="1">
        <v>45648</v>
      </c>
      <c r="I4558" s="1">
        <v>45690</v>
      </c>
      <c r="J4558" t="str">
        <f t="shared" si="71"/>
        <v>Dec-2024</v>
      </c>
    </row>
    <row r="4559" spans="1:10">
      <c r="A4559">
        <v>4558</v>
      </c>
      <c r="B4559">
        <v>12415</v>
      </c>
      <c r="C4559" t="s">
        <v>23</v>
      </c>
      <c r="D4559">
        <v>186924.28</v>
      </c>
      <c r="E4559" t="s">
        <v>16</v>
      </c>
      <c r="F4559">
        <v>15</v>
      </c>
      <c r="G4559" t="s">
        <v>25</v>
      </c>
      <c r="H4559" s="1">
        <v>45309</v>
      </c>
      <c r="I4559" s="1">
        <v>45324</v>
      </c>
      <c r="J4559" t="str">
        <f t="shared" si="71"/>
        <v>Jan-2024</v>
      </c>
    </row>
    <row r="4560" spans="1:10">
      <c r="A4560">
        <v>4559</v>
      </c>
      <c r="B4560">
        <v>12586</v>
      </c>
      <c r="C4560" t="s">
        <v>15</v>
      </c>
      <c r="D4560">
        <v>145353.48000000001</v>
      </c>
      <c r="E4560" t="s">
        <v>16</v>
      </c>
      <c r="F4560">
        <v>41</v>
      </c>
      <c r="G4560" t="s">
        <v>25</v>
      </c>
      <c r="H4560" s="1">
        <v>45455</v>
      </c>
      <c r="I4560" s="1">
        <v>45496</v>
      </c>
      <c r="J4560" t="str">
        <f t="shared" si="71"/>
        <v>Jun-2024</v>
      </c>
    </row>
    <row r="4561" spans="1:10">
      <c r="A4561">
        <v>4560</v>
      </c>
      <c r="B4561">
        <v>15571</v>
      </c>
      <c r="C4561" t="s">
        <v>22</v>
      </c>
      <c r="D4561">
        <v>20095.28</v>
      </c>
      <c r="E4561" t="s">
        <v>16</v>
      </c>
      <c r="F4561">
        <v>36</v>
      </c>
      <c r="G4561" t="s">
        <v>25</v>
      </c>
      <c r="H4561" s="1">
        <v>45578</v>
      </c>
      <c r="I4561" s="1">
        <v>45614</v>
      </c>
      <c r="J4561" t="str">
        <f t="shared" si="71"/>
        <v>Oct-2024</v>
      </c>
    </row>
    <row r="4562" spans="1:10">
      <c r="A4562">
        <v>4561</v>
      </c>
      <c r="B4562">
        <v>19756</v>
      </c>
      <c r="C4562" t="s">
        <v>22</v>
      </c>
      <c r="D4562">
        <v>48720.91</v>
      </c>
      <c r="E4562" t="s">
        <v>24</v>
      </c>
      <c r="G4562" t="s">
        <v>21</v>
      </c>
      <c r="H4562" s="1">
        <v>45345</v>
      </c>
      <c r="J4562" t="str">
        <f t="shared" si="71"/>
        <v>Feb-2024</v>
      </c>
    </row>
    <row r="4563" spans="1:10">
      <c r="A4563">
        <v>4562</v>
      </c>
      <c r="B4563">
        <v>18672</v>
      </c>
      <c r="C4563" t="s">
        <v>18</v>
      </c>
      <c r="D4563">
        <v>136364.17000000001</v>
      </c>
      <c r="E4563" t="s">
        <v>19</v>
      </c>
      <c r="F4563">
        <v>19</v>
      </c>
      <c r="G4563" t="s">
        <v>25</v>
      </c>
      <c r="H4563" s="1">
        <v>45354</v>
      </c>
      <c r="I4563" s="1">
        <v>45373</v>
      </c>
      <c r="J4563" t="str">
        <f t="shared" si="71"/>
        <v>Mar-2024</v>
      </c>
    </row>
    <row r="4564" spans="1:10">
      <c r="A4564">
        <v>4563</v>
      </c>
      <c r="B4564">
        <v>16557</v>
      </c>
      <c r="C4564" t="s">
        <v>18</v>
      </c>
      <c r="D4564">
        <v>179466.86</v>
      </c>
      <c r="E4564" t="s">
        <v>16</v>
      </c>
      <c r="F4564">
        <v>21</v>
      </c>
      <c r="G4564" t="s">
        <v>21</v>
      </c>
      <c r="H4564" s="1">
        <v>45548</v>
      </c>
      <c r="I4564" s="1">
        <v>45569</v>
      </c>
      <c r="J4564" t="str">
        <f t="shared" si="71"/>
        <v>Sep-2024</v>
      </c>
    </row>
    <row r="4565" spans="1:10">
      <c r="A4565">
        <v>4564</v>
      </c>
      <c r="B4565">
        <v>16280</v>
      </c>
      <c r="C4565" t="s">
        <v>18</v>
      </c>
      <c r="D4565">
        <v>11419.12</v>
      </c>
      <c r="E4565" t="s">
        <v>16</v>
      </c>
      <c r="F4565">
        <v>10</v>
      </c>
      <c r="G4565" t="s">
        <v>21</v>
      </c>
      <c r="H4565" s="1">
        <v>45530</v>
      </c>
      <c r="I4565" s="1">
        <v>45540</v>
      </c>
      <c r="J4565" t="str">
        <f t="shared" si="71"/>
        <v>Aug-2024</v>
      </c>
    </row>
    <row r="4566" spans="1:10">
      <c r="A4566">
        <v>4565</v>
      </c>
      <c r="B4566">
        <v>12882</v>
      </c>
      <c r="C4566" t="s">
        <v>23</v>
      </c>
      <c r="D4566">
        <v>163427.97</v>
      </c>
      <c r="E4566" t="s">
        <v>24</v>
      </c>
      <c r="G4566" t="s">
        <v>20</v>
      </c>
      <c r="H4566" s="1">
        <v>45300</v>
      </c>
      <c r="J4566" t="str">
        <f t="shared" si="71"/>
        <v>Jan-2024</v>
      </c>
    </row>
    <row r="4567" spans="1:10">
      <c r="A4567">
        <v>4566</v>
      </c>
      <c r="B4567">
        <v>12519</v>
      </c>
      <c r="C4567" t="s">
        <v>18</v>
      </c>
      <c r="D4567">
        <v>114553.71</v>
      </c>
      <c r="E4567" t="s">
        <v>16</v>
      </c>
      <c r="F4567">
        <v>34</v>
      </c>
      <c r="G4567" t="s">
        <v>25</v>
      </c>
      <c r="H4567" s="1">
        <v>45411</v>
      </c>
      <c r="I4567" s="1">
        <v>45445</v>
      </c>
      <c r="J4567" t="str">
        <f t="shared" si="71"/>
        <v>Apr-2024</v>
      </c>
    </row>
    <row r="4568" spans="1:10">
      <c r="A4568">
        <v>4567</v>
      </c>
      <c r="B4568">
        <v>14400</v>
      </c>
      <c r="C4568" t="s">
        <v>23</v>
      </c>
      <c r="D4568">
        <v>111487.81</v>
      </c>
      <c r="E4568" t="s">
        <v>16</v>
      </c>
      <c r="F4568">
        <v>5</v>
      </c>
      <c r="G4568" t="s">
        <v>25</v>
      </c>
      <c r="H4568" s="1">
        <v>45639</v>
      </c>
      <c r="I4568" s="1">
        <v>45644</v>
      </c>
      <c r="J4568" t="str">
        <f t="shared" si="71"/>
        <v>Dec-2024</v>
      </c>
    </row>
    <row r="4569" spans="1:10">
      <c r="A4569">
        <v>4568</v>
      </c>
      <c r="B4569">
        <v>18846</v>
      </c>
      <c r="C4569" t="s">
        <v>23</v>
      </c>
      <c r="D4569">
        <v>191773.57</v>
      </c>
      <c r="E4569" t="s">
        <v>24</v>
      </c>
      <c r="G4569" t="s">
        <v>17</v>
      </c>
      <c r="H4569" s="1">
        <v>45381</v>
      </c>
      <c r="J4569" t="str">
        <f t="shared" si="71"/>
        <v>Mar-2024</v>
      </c>
    </row>
    <row r="4570" spans="1:10">
      <c r="A4570">
        <v>4569</v>
      </c>
      <c r="B4570">
        <v>10180</v>
      </c>
      <c r="C4570" t="s">
        <v>23</v>
      </c>
      <c r="D4570">
        <v>150790.70000000001</v>
      </c>
      <c r="E4570" t="s">
        <v>19</v>
      </c>
      <c r="F4570">
        <v>17</v>
      </c>
      <c r="G4570" t="s">
        <v>20</v>
      </c>
      <c r="H4570" s="1">
        <v>45603</v>
      </c>
      <c r="I4570" s="1">
        <v>45620</v>
      </c>
      <c r="J4570" t="str">
        <f t="shared" si="71"/>
        <v>Nov-2024</v>
      </c>
    </row>
    <row r="4571" spans="1:10">
      <c r="A4571">
        <v>4570</v>
      </c>
      <c r="B4571">
        <v>14125</v>
      </c>
      <c r="C4571" t="s">
        <v>23</v>
      </c>
      <c r="D4571">
        <v>170773.18</v>
      </c>
      <c r="E4571" t="s">
        <v>16</v>
      </c>
      <c r="F4571">
        <v>27</v>
      </c>
      <c r="G4571" t="s">
        <v>17</v>
      </c>
      <c r="H4571" s="1">
        <v>45466</v>
      </c>
      <c r="I4571" s="1">
        <v>45493</v>
      </c>
      <c r="J4571" t="str">
        <f t="shared" si="71"/>
        <v>Jun-2024</v>
      </c>
    </row>
    <row r="4572" spans="1:10">
      <c r="A4572">
        <v>4571</v>
      </c>
      <c r="B4572">
        <v>13019</v>
      </c>
      <c r="C4572" t="s">
        <v>23</v>
      </c>
      <c r="D4572">
        <v>74029.14</v>
      </c>
      <c r="E4572" t="s">
        <v>16</v>
      </c>
      <c r="F4572">
        <v>7</v>
      </c>
      <c r="G4572" t="s">
        <v>20</v>
      </c>
      <c r="H4572" s="1">
        <v>45294</v>
      </c>
      <c r="I4572" s="1">
        <v>45301</v>
      </c>
      <c r="J4572" t="str">
        <f t="shared" si="71"/>
        <v>Jan-2024</v>
      </c>
    </row>
    <row r="4573" spans="1:10">
      <c r="A4573">
        <v>4572</v>
      </c>
      <c r="B4573">
        <v>10764</v>
      </c>
      <c r="C4573" t="s">
        <v>23</v>
      </c>
      <c r="D4573">
        <v>113100.99</v>
      </c>
      <c r="E4573" t="s">
        <v>16</v>
      </c>
      <c r="F4573">
        <v>38</v>
      </c>
      <c r="G4573" t="s">
        <v>25</v>
      </c>
      <c r="H4573" s="1">
        <v>45421</v>
      </c>
      <c r="I4573" s="1">
        <v>45459</v>
      </c>
      <c r="J4573" t="str">
        <f t="shared" si="71"/>
        <v>May-2024</v>
      </c>
    </row>
    <row r="4574" spans="1:10">
      <c r="A4574">
        <v>4573</v>
      </c>
      <c r="B4574">
        <v>14135</v>
      </c>
      <c r="C4574" t="s">
        <v>18</v>
      </c>
      <c r="D4574">
        <v>125004.11</v>
      </c>
      <c r="E4574" t="s">
        <v>16</v>
      </c>
      <c r="F4574">
        <v>23</v>
      </c>
      <c r="G4574" t="s">
        <v>21</v>
      </c>
      <c r="H4574" s="1">
        <v>45345</v>
      </c>
      <c r="I4574" s="1">
        <v>45368</v>
      </c>
      <c r="J4574" t="str">
        <f t="shared" si="71"/>
        <v>Feb-2024</v>
      </c>
    </row>
    <row r="4575" spans="1:10">
      <c r="A4575">
        <v>4574</v>
      </c>
      <c r="B4575">
        <v>15038</v>
      </c>
      <c r="C4575" t="s">
        <v>23</v>
      </c>
      <c r="D4575">
        <v>67708.87</v>
      </c>
      <c r="E4575" t="s">
        <v>24</v>
      </c>
      <c r="G4575" t="s">
        <v>21</v>
      </c>
      <c r="H4575" s="1">
        <v>45584</v>
      </c>
      <c r="J4575" t="str">
        <f t="shared" si="71"/>
        <v>Oct-2024</v>
      </c>
    </row>
    <row r="4576" spans="1:10">
      <c r="A4576">
        <v>4575</v>
      </c>
      <c r="B4576">
        <v>16799</v>
      </c>
      <c r="C4576" t="s">
        <v>18</v>
      </c>
      <c r="D4576">
        <v>116198.38</v>
      </c>
      <c r="E4576" t="s">
        <v>16</v>
      </c>
      <c r="F4576">
        <v>40</v>
      </c>
      <c r="G4576" t="s">
        <v>21</v>
      </c>
      <c r="H4576" s="1">
        <v>45475</v>
      </c>
      <c r="I4576" s="1">
        <v>45515</v>
      </c>
      <c r="J4576" t="str">
        <f t="shared" si="71"/>
        <v>Jul-2024</v>
      </c>
    </row>
    <row r="4577" spans="1:10">
      <c r="A4577">
        <v>4576</v>
      </c>
      <c r="B4577">
        <v>13390</v>
      </c>
      <c r="C4577" t="s">
        <v>23</v>
      </c>
      <c r="D4577">
        <v>51147.8</v>
      </c>
      <c r="E4577" t="s">
        <v>19</v>
      </c>
      <c r="F4577">
        <v>8</v>
      </c>
      <c r="G4577" t="s">
        <v>21</v>
      </c>
      <c r="H4577" s="1">
        <v>45644</v>
      </c>
      <c r="I4577" s="1">
        <v>45652</v>
      </c>
      <c r="J4577" t="str">
        <f t="shared" si="71"/>
        <v>Dec-2024</v>
      </c>
    </row>
    <row r="4578" spans="1:10">
      <c r="A4578">
        <v>4577</v>
      </c>
      <c r="B4578">
        <v>19974</v>
      </c>
      <c r="C4578" t="s">
        <v>18</v>
      </c>
      <c r="D4578">
        <v>32958.26</v>
      </c>
      <c r="E4578" t="s">
        <v>16</v>
      </c>
      <c r="F4578">
        <v>43</v>
      </c>
      <c r="G4578" t="s">
        <v>21</v>
      </c>
      <c r="H4578" s="1">
        <v>45515</v>
      </c>
      <c r="I4578" s="1">
        <v>45558</v>
      </c>
      <c r="J4578" t="str">
        <f t="shared" si="71"/>
        <v>Aug-2024</v>
      </c>
    </row>
    <row r="4579" spans="1:10">
      <c r="A4579">
        <v>4578</v>
      </c>
      <c r="B4579">
        <v>11064</v>
      </c>
      <c r="C4579" t="s">
        <v>18</v>
      </c>
      <c r="D4579">
        <v>77924.2</v>
      </c>
      <c r="E4579" t="s">
        <v>16</v>
      </c>
      <c r="F4579">
        <v>31</v>
      </c>
      <c r="G4579" t="s">
        <v>17</v>
      </c>
      <c r="H4579" s="1">
        <v>45303</v>
      </c>
      <c r="I4579" s="1">
        <v>45334</v>
      </c>
      <c r="J4579" t="str">
        <f t="shared" si="71"/>
        <v>Jan-2024</v>
      </c>
    </row>
    <row r="4580" spans="1:10">
      <c r="A4580">
        <v>4579</v>
      </c>
      <c r="B4580">
        <v>12456</v>
      </c>
      <c r="C4580" t="s">
        <v>18</v>
      </c>
      <c r="D4580">
        <v>149161.48000000001</v>
      </c>
      <c r="E4580" t="s">
        <v>16</v>
      </c>
      <c r="F4580">
        <v>11</v>
      </c>
      <c r="G4580" t="s">
        <v>20</v>
      </c>
      <c r="H4580" s="1">
        <v>45486</v>
      </c>
      <c r="I4580" s="1">
        <v>45497</v>
      </c>
      <c r="J4580" t="str">
        <f t="shared" si="71"/>
        <v>Jul-2024</v>
      </c>
    </row>
    <row r="4581" spans="1:10">
      <c r="A4581">
        <v>4580</v>
      </c>
      <c r="B4581">
        <v>15681</v>
      </c>
      <c r="C4581" t="s">
        <v>18</v>
      </c>
      <c r="D4581">
        <v>183656.49</v>
      </c>
      <c r="E4581" t="s">
        <v>19</v>
      </c>
      <c r="F4581">
        <v>16</v>
      </c>
      <c r="G4581" t="s">
        <v>25</v>
      </c>
      <c r="H4581" s="1">
        <v>45538</v>
      </c>
      <c r="I4581" s="1">
        <v>45554</v>
      </c>
      <c r="J4581" t="str">
        <f t="shared" si="71"/>
        <v>Sep-2024</v>
      </c>
    </row>
    <row r="4582" spans="1:10">
      <c r="A4582">
        <v>4581</v>
      </c>
      <c r="B4582">
        <v>11346</v>
      </c>
      <c r="C4582" t="s">
        <v>23</v>
      </c>
      <c r="D4582">
        <v>94254.24</v>
      </c>
      <c r="E4582" t="s">
        <v>16</v>
      </c>
      <c r="F4582">
        <v>7</v>
      </c>
      <c r="G4582" t="s">
        <v>17</v>
      </c>
      <c r="H4582" s="1">
        <v>45445</v>
      </c>
      <c r="I4582" s="1">
        <v>45452</v>
      </c>
      <c r="J4582" t="str">
        <f t="shared" si="71"/>
        <v>Jun-2024</v>
      </c>
    </row>
    <row r="4583" spans="1:10">
      <c r="A4583">
        <v>4582</v>
      </c>
      <c r="B4583">
        <v>16997</v>
      </c>
      <c r="C4583" t="s">
        <v>18</v>
      </c>
      <c r="D4583">
        <v>130350.62</v>
      </c>
      <c r="E4583" t="s">
        <v>16</v>
      </c>
      <c r="F4583">
        <v>25</v>
      </c>
      <c r="G4583" t="s">
        <v>20</v>
      </c>
      <c r="H4583" s="1">
        <v>45369</v>
      </c>
      <c r="I4583" s="1">
        <v>45394</v>
      </c>
      <c r="J4583" t="str">
        <f t="shared" si="71"/>
        <v>Mar-2024</v>
      </c>
    </row>
    <row r="4584" spans="1:10">
      <c r="A4584">
        <v>4583</v>
      </c>
      <c r="B4584">
        <v>19374</v>
      </c>
      <c r="C4584" t="s">
        <v>23</v>
      </c>
      <c r="D4584">
        <v>25092.240000000002</v>
      </c>
      <c r="E4584" t="s">
        <v>16</v>
      </c>
      <c r="F4584">
        <v>3</v>
      </c>
      <c r="G4584" t="s">
        <v>21</v>
      </c>
      <c r="H4584" s="1">
        <v>45431</v>
      </c>
      <c r="I4584" s="1">
        <v>45434</v>
      </c>
      <c r="J4584" t="str">
        <f t="shared" si="71"/>
        <v>May-2024</v>
      </c>
    </row>
    <row r="4585" spans="1:10">
      <c r="A4585">
        <v>4584</v>
      </c>
      <c r="B4585">
        <v>14132</v>
      </c>
      <c r="C4585" t="s">
        <v>23</v>
      </c>
      <c r="D4585">
        <v>181370.43</v>
      </c>
      <c r="E4585" t="s">
        <v>16</v>
      </c>
      <c r="F4585">
        <v>41</v>
      </c>
      <c r="G4585" t="s">
        <v>20</v>
      </c>
      <c r="H4585" s="1">
        <v>45381</v>
      </c>
      <c r="I4585" s="1">
        <v>45422</v>
      </c>
      <c r="J4585" t="str">
        <f t="shared" si="71"/>
        <v>Mar-2024</v>
      </c>
    </row>
    <row r="4586" spans="1:10">
      <c r="A4586">
        <v>4585</v>
      </c>
      <c r="B4586">
        <v>12453</v>
      </c>
      <c r="C4586" t="s">
        <v>18</v>
      </c>
      <c r="D4586">
        <v>115877.82</v>
      </c>
      <c r="E4586" t="s">
        <v>16</v>
      </c>
      <c r="F4586">
        <v>16</v>
      </c>
      <c r="G4586" t="s">
        <v>20</v>
      </c>
      <c r="H4586" s="1">
        <v>45435</v>
      </c>
      <c r="I4586" s="1">
        <v>45451</v>
      </c>
      <c r="J4586" t="str">
        <f t="shared" si="71"/>
        <v>May-2024</v>
      </c>
    </row>
    <row r="4587" spans="1:10">
      <c r="A4587">
        <v>4586</v>
      </c>
      <c r="B4587">
        <v>10538</v>
      </c>
      <c r="C4587" t="s">
        <v>23</v>
      </c>
      <c r="D4587">
        <v>157165.96</v>
      </c>
      <c r="E4587" t="s">
        <v>16</v>
      </c>
      <c r="F4587">
        <v>22</v>
      </c>
      <c r="G4587" t="s">
        <v>21</v>
      </c>
      <c r="H4587" s="1">
        <v>45363</v>
      </c>
      <c r="I4587" s="1">
        <v>45385</v>
      </c>
      <c r="J4587" t="str">
        <f t="shared" si="71"/>
        <v>Mar-2024</v>
      </c>
    </row>
    <row r="4588" spans="1:10">
      <c r="A4588">
        <v>4587</v>
      </c>
      <c r="B4588">
        <v>12303</v>
      </c>
      <c r="C4588" t="s">
        <v>18</v>
      </c>
      <c r="D4588">
        <v>159916.03</v>
      </c>
      <c r="E4588" t="s">
        <v>16</v>
      </c>
      <c r="F4588">
        <v>19</v>
      </c>
      <c r="G4588" t="s">
        <v>21</v>
      </c>
      <c r="H4588" s="1">
        <v>45468</v>
      </c>
      <c r="I4588" s="1">
        <v>45487</v>
      </c>
      <c r="J4588" t="str">
        <f t="shared" si="71"/>
        <v>Jun-2024</v>
      </c>
    </row>
    <row r="4589" spans="1:10">
      <c r="A4589">
        <v>4588</v>
      </c>
      <c r="B4589">
        <v>16421</v>
      </c>
      <c r="C4589" t="s">
        <v>18</v>
      </c>
      <c r="D4589">
        <v>55013.7</v>
      </c>
      <c r="E4589" t="s">
        <v>16</v>
      </c>
      <c r="F4589">
        <v>6</v>
      </c>
      <c r="G4589" t="s">
        <v>21</v>
      </c>
      <c r="H4589" s="1">
        <v>45639</v>
      </c>
      <c r="I4589" s="1">
        <v>45645</v>
      </c>
      <c r="J4589" t="str">
        <f t="shared" si="71"/>
        <v>Dec-2024</v>
      </c>
    </row>
    <row r="4590" spans="1:10">
      <c r="A4590">
        <v>4589</v>
      </c>
      <c r="B4590">
        <v>10248</v>
      </c>
      <c r="C4590" t="s">
        <v>23</v>
      </c>
      <c r="D4590">
        <v>108189.02</v>
      </c>
      <c r="E4590" t="s">
        <v>16</v>
      </c>
      <c r="F4590">
        <v>26</v>
      </c>
      <c r="G4590" t="s">
        <v>25</v>
      </c>
      <c r="H4590" s="1">
        <v>45554</v>
      </c>
      <c r="I4590" s="1">
        <v>45580</v>
      </c>
      <c r="J4590" t="str">
        <f t="shared" si="71"/>
        <v>Sep-2024</v>
      </c>
    </row>
    <row r="4591" spans="1:10">
      <c r="A4591">
        <v>4590</v>
      </c>
      <c r="B4591">
        <v>19232</v>
      </c>
      <c r="C4591" t="s">
        <v>23</v>
      </c>
      <c r="D4591">
        <v>192293.55</v>
      </c>
      <c r="E4591" t="s">
        <v>16</v>
      </c>
      <c r="F4591">
        <v>37</v>
      </c>
      <c r="G4591" t="s">
        <v>21</v>
      </c>
      <c r="H4591" s="1">
        <v>45562</v>
      </c>
      <c r="I4591" s="1">
        <v>45599</v>
      </c>
      <c r="J4591" t="str">
        <f t="shared" si="71"/>
        <v>Sep-2024</v>
      </c>
    </row>
    <row r="4592" spans="1:10">
      <c r="A4592">
        <v>4591</v>
      </c>
      <c r="B4592">
        <v>11391</v>
      </c>
      <c r="C4592" t="s">
        <v>23</v>
      </c>
      <c r="D4592">
        <v>22478.74</v>
      </c>
      <c r="E4592" t="s">
        <v>16</v>
      </c>
      <c r="F4592">
        <v>11</v>
      </c>
      <c r="G4592" t="s">
        <v>25</v>
      </c>
      <c r="H4592" s="1">
        <v>45396</v>
      </c>
      <c r="I4592" s="1">
        <v>45407</v>
      </c>
      <c r="J4592" t="str">
        <f t="shared" si="71"/>
        <v>Apr-2024</v>
      </c>
    </row>
    <row r="4593" spans="1:10">
      <c r="A4593">
        <v>4592</v>
      </c>
      <c r="B4593">
        <v>12172</v>
      </c>
      <c r="C4593" t="s">
        <v>22</v>
      </c>
      <c r="D4593">
        <v>138194.73000000001</v>
      </c>
      <c r="E4593" t="s">
        <v>16</v>
      </c>
      <c r="F4593">
        <v>24</v>
      </c>
      <c r="G4593" t="s">
        <v>21</v>
      </c>
      <c r="H4593" s="1">
        <v>45363</v>
      </c>
      <c r="I4593" s="1">
        <v>45387</v>
      </c>
      <c r="J4593" t="str">
        <f t="shared" si="71"/>
        <v>Mar-2024</v>
      </c>
    </row>
    <row r="4594" spans="1:10">
      <c r="A4594">
        <v>4593</v>
      </c>
      <c r="B4594">
        <v>11335</v>
      </c>
      <c r="C4594" t="s">
        <v>18</v>
      </c>
      <c r="D4594">
        <v>192641.5</v>
      </c>
      <c r="E4594" t="s">
        <v>16</v>
      </c>
      <c r="F4594">
        <v>25</v>
      </c>
      <c r="G4594" t="s">
        <v>25</v>
      </c>
      <c r="H4594" s="1">
        <v>45365</v>
      </c>
      <c r="I4594" s="1">
        <v>45390</v>
      </c>
      <c r="J4594" t="str">
        <f t="shared" si="71"/>
        <v>Mar-2024</v>
      </c>
    </row>
    <row r="4595" spans="1:10">
      <c r="A4595">
        <v>4594</v>
      </c>
      <c r="B4595">
        <v>12259</v>
      </c>
      <c r="C4595" t="s">
        <v>23</v>
      </c>
      <c r="D4595">
        <v>63612.54</v>
      </c>
      <c r="E4595" t="s">
        <v>19</v>
      </c>
      <c r="F4595">
        <v>11</v>
      </c>
      <c r="G4595" t="s">
        <v>20</v>
      </c>
      <c r="H4595" s="1">
        <v>45434</v>
      </c>
      <c r="I4595" s="1">
        <v>45445</v>
      </c>
      <c r="J4595" t="str">
        <f t="shared" si="71"/>
        <v>May-2024</v>
      </c>
    </row>
    <row r="4596" spans="1:10">
      <c r="A4596">
        <v>4595</v>
      </c>
      <c r="B4596">
        <v>16615</v>
      </c>
      <c r="C4596" t="s">
        <v>23</v>
      </c>
      <c r="D4596">
        <v>172982.34</v>
      </c>
      <c r="E4596" t="s">
        <v>16</v>
      </c>
      <c r="F4596">
        <v>7</v>
      </c>
      <c r="G4596" t="s">
        <v>17</v>
      </c>
      <c r="H4596" s="1">
        <v>45353</v>
      </c>
      <c r="I4596" s="1">
        <v>45360</v>
      </c>
      <c r="J4596" t="str">
        <f t="shared" si="71"/>
        <v>Mar-2024</v>
      </c>
    </row>
    <row r="4597" spans="1:10">
      <c r="A4597">
        <v>4596</v>
      </c>
      <c r="B4597">
        <v>15534</v>
      </c>
      <c r="C4597" t="s">
        <v>18</v>
      </c>
      <c r="D4597">
        <v>187063.22</v>
      </c>
      <c r="E4597" t="s">
        <v>16</v>
      </c>
      <c r="F4597">
        <v>14</v>
      </c>
      <c r="G4597" t="s">
        <v>20</v>
      </c>
      <c r="H4597" s="1">
        <v>45437</v>
      </c>
      <c r="I4597" s="1">
        <v>45451</v>
      </c>
      <c r="J4597" t="str">
        <f t="shared" si="71"/>
        <v>May-2024</v>
      </c>
    </row>
    <row r="4598" spans="1:10">
      <c r="A4598">
        <v>4597</v>
      </c>
      <c r="B4598">
        <v>18691</v>
      </c>
      <c r="C4598" t="s">
        <v>15</v>
      </c>
      <c r="D4598">
        <v>150681.81</v>
      </c>
      <c r="E4598" t="s">
        <v>16</v>
      </c>
      <c r="F4598">
        <v>22</v>
      </c>
      <c r="G4598" t="s">
        <v>20</v>
      </c>
      <c r="H4598" s="1">
        <v>45337</v>
      </c>
      <c r="I4598" s="1">
        <v>45359</v>
      </c>
      <c r="J4598" t="str">
        <f t="shared" si="71"/>
        <v>Feb-2024</v>
      </c>
    </row>
    <row r="4599" spans="1:10">
      <c r="A4599">
        <v>4598</v>
      </c>
      <c r="B4599">
        <v>10810</v>
      </c>
      <c r="C4599" t="s">
        <v>23</v>
      </c>
      <c r="D4599">
        <v>50109.02</v>
      </c>
      <c r="E4599" t="s">
        <v>19</v>
      </c>
      <c r="F4599">
        <v>33</v>
      </c>
      <c r="G4599" t="s">
        <v>21</v>
      </c>
      <c r="H4599" s="1">
        <v>45520</v>
      </c>
      <c r="I4599" s="1">
        <v>45553</v>
      </c>
      <c r="J4599" t="str">
        <f t="shared" si="71"/>
        <v>Aug-2024</v>
      </c>
    </row>
    <row r="4600" spans="1:10">
      <c r="A4600">
        <v>4599</v>
      </c>
      <c r="B4600">
        <v>14984</v>
      </c>
      <c r="C4600" t="s">
        <v>23</v>
      </c>
      <c r="D4600">
        <v>70130.14</v>
      </c>
      <c r="E4600" t="s">
        <v>19</v>
      </c>
      <c r="F4600">
        <v>44</v>
      </c>
      <c r="G4600" t="s">
        <v>25</v>
      </c>
      <c r="H4600" s="1">
        <v>45396</v>
      </c>
      <c r="I4600" s="1">
        <v>45440</v>
      </c>
      <c r="J4600" t="str">
        <f t="shared" si="71"/>
        <v>Apr-2024</v>
      </c>
    </row>
    <row r="4601" spans="1:10">
      <c r="A4601">
        <v>4600</v>
      </c>
      <c r="B4601">
        <v>17348</v>
      </c>
      <c r="C4601" t="s">
        <v>15</v>
      </c>
      <c r="D4601">
        <v>11982.81</v>
      </c>
      <c r="E4601" t="s">
        <v>16</v>
      </c>
      <c r="F4601">
        <v>16</v>
      </c>
      <c r="G4601" t="s">
        <v>17</v>
      </c>
      <c r="H4601" s="1">
        <v>45400</v>
      </c>
      <c r="I4601" s="1">
        <v>45416</v>
      </c>
      <c r="J4601" t="str">
        <f t="shared" si="71"/>
        <v>Apr-2024</v>
      </c>
    </row>
    <row r="4602" spans="1:10">
      <c r="A4602">
        <v>4601</v>
      </c>
      <c r="B4602">
        <v>17556</v>
      </c>
      <c r="C4602" t="s">
        <v>23</v>
      </c>
      <c r="D4602">
        <v>167133.38</v>
      </c>
      <c r="E4602" t="s">
        <v>16</v>
      </c>
      <c r="F4602">
        <v>3</v>
      </c>
      <c r="G4602" t="s">
        <v>21</v>
      </c>
      <c r="H4602" s="1">
        <v>45608</v>
      </c>
      <c r="I4602" s="1">
        <v>45611</v>
      </c>
      <c r="J4602" t="str">
        <f t="shared" si="71"/>
        <v>Nov-2024</v>
      </c>
    </row>
    <row r="4603" spans="1:10">
      <c r="A4603">
        <v>4602</v>
      </c>
      <c r="B4603">
        <v>13713</v>
      </c>
      <c r="C4603" t="s">
        <v>23</v>
      </c>
      <c r="D4603">
        <v>170674.18</v>
      </c>
      <c r="E4603" t="s">
        <v>16</v>
      </c>
      <c r="F4603">
        <v>16</v>
      </c>
      <c r="G4603" t="s">
        <v>21</v>
      </c>
      <c r="H4603" s="1">
        <v>45412</v>
      </c>
      <c r="I4603" s="1">
        <v>45428</v>
      </c>
      <c r="J4603" t="str">
        <f t="shared" si="71"/>
        <v>Apr-2024</v>
      </c>
    </row>
    <row r="4604" spans="1:10">
      <c r="A4604">
        <v>4603</v>
      </c>
      <c r="B4604">
        <v>13704</v>
      </c>
      <c r="C4604" t="s">
        <v>22</v>
      </c>
      <c r="D4604">
        <v>128378.51</v>
      </c>
      <c r="E4604" t="s">
        <v>24</v>
      </c>
      <c r="G4604" t="s">
        <v>21</v>
      </c>
      <c r="H4604" s="1">
        <v>45334</v>
      </c>
      <c r="J4604" t="str">
        <f t="shared" si="71"/>
        <v>Feb-2024</v>
      </c>
    </row>
    <row r="4605" spans="1:10">
      <c r="A4605">
        <v>4604</v>
      </c>
      <c r="B4605">
        <v>11210</v>
      </c>
      <c r="C4605" t="s">
        <v>18</v>
      </c>
      <c r="D4605">
        <v>73742.929999999993</v>
      </c>
      <c r="E4605" t="s">
        <v>19</v>
      </c>
      <c r="F4605">
        <v>21</v>
      </c>
      <c r="G4605" t="s">
        <v>20</v>
      </c>
      <c r="H4605" s="1">
        <v>45390</v>
      </c>
      <c r="I4605" s="1">
        <v>45411</v>
      </c>
      <c r="J4605" t="str">
        <f t="shared" si="71"/>
        <v>Apr-2024</v>
      </c>
    </row>
    <row r="4606" spans="1:10">
      <c r="A4606">
        <v>4605</v>
      </c>
      <c r="B4606">
        <v>13745</v>
      </c>
      <c r="C4606" t="s">
        <v>23</v>
      </c>
      <c r="D4606">
        <v>19978.150000000001</v>
      </c>
      <c r="E4606" t="s">
        <v>16</v>
      </c>
      <c r="F4606">
        <v>7</v>
      </c>
      <c r="G4606" t="s">
        <v>25</v>
      </c>
      <c r="H4606" s="1">
        <v>45485</v>
      </c>
      <c r="I4606" s="1">
        <v>45492</v>
      </c>
      <c r="J4606" t="str">
        <f t="shared" si="71"/>
        <v>Jul-2024</v>
      </c>
    </row>
    <row r="4607" spans="1:10">
      <c r="A4607">
        <v>4606</v>
      </c>
      <c r="B4607">
        <v>17791</v>
      </c>
      <c r="C4607" t="s">
        <v>23</v>
      </c>
      <c r="D4607">
        <v>151846.23000000001</v>
      </c>
      <c r="E4607" t="s">
        <v>19</v>
      </c>
      <c r="F4607">
        <v>16</v>
      </c>
      <c r="G4607" t="s">
        <v>25</v>
      </c>
      <c r="H4607" s="1">
        <v>45602</v>
      </c>
      <c r="I4607" s="1">
        <v>45618</v>
      </c>
      <c r="J4607" t="str">
        <f t="shared" si="71"/>
        <v>Nov-2024</v>
      </c>
    </row>
    <row r="4608" spans="1:10">
      <c r="A4608">
        <v>4607</v>
      </c>
      <c r="B4608">
        <v>11491</v>
      </c>
      <c r="C4608" t="s">
        <v>23</v>
      </c>
      <c r="D4608">
        <v>146672.60999999999</v>
      </c>
      <c r="E4608" t="s">
        <v>19</v>
      </c>
      <c r="F4608">
        <v>18</v>
      </c>
      <c r="G4608" t="s">
        <v>17</v>
      </c>
      <c r="H4608" s="1">
        <v>45505</v>
      </c>
      <c r="I4608" s="1">
        <v>45523</v>
      </c>
      <c r="J4608" t="str">
        <f t="shared" si="71"/>
        <v>Aug-2024</v>
      </c>
    </row>
    <row r="4609" spans="1:10">
      <c r="A4609">
        <v>4608</v>
      </c>
      <c r="B4609">
        <v>17301</v>
      </c>
      <c r="C4609" t="s">
        <v>23</v>
      </c>
      <c r="D4609">
        <v>182957.49</v>
      </c>
      <c r="E4609" t="s">
        <v>16</v>
      </c>
      <c r="F4609">
        <v>27</v>
      </c>
      <c r="G4609" t="s">
        <v>25</v>
      </c>
      <c r="H4609" s="1">
        <v>45520</v>
      </c>
      <c r="I4609" s="1">
        <v>45547</v>
      </c>
      <c r="J4609" t="str">
        <f t="shared" si="71"/>
        <v>Aug-2024</v>
      </c>
    </row>
    <row r="4610" spans="1:10">
      <c r="A4610">
        <v>4609</v>
      </c>
      <c r="B4610">
        <v>16460</v>
      </c>
      <c r="C4610" t="s">
        <v>15</v>
      </c>
      <c r="D4610">
        <v>147453.74</v>
      </c>
      <c r="E4610" t="s">
        <v>16</v>
      </c>
      <c r="F4610">
        <v>23</v>
      </c>
      <c r="G4610" t="s">
        <v>25</v>
      </c>
      <c r="H4610" s="1">
        <v>45476</v>
      </c>
      <c r="I4610" s="1">
        <v>45499</v>
      </c>
      <c r="J4610" t="str">
        <f t="shared" si="71"/>
        <v>Jul-2024</v>
      </c>
    </row>
    <row r="4611" spans="1:10">
      <c r="A4611">
        <v>4610</v>
      </c>
      <c r="B4611">
        <v>13048</v>
      </c>
      <c r="C4611" t="s">
        <v>23</v>
      </c>
      <c r="D4611">
        <v>166595.51</v>
      </c>
      <c r="E4611" t="s">
        <v>16</v>
      </c>
      <c r="F4611">
        <v>10</v>
      </c>
      <c r="G4611" t="s">
        <v>21</v>
      </c>
      <c r="H4611" s="1">
        <v>45403</v>
      </c>
      <c r="I4611" s="1">
        <v>45413</v>
      </c>
      <c r="J4611" t="str">
        <f t="shared" ref="J4611:J4674" si="72">TEXT(H4611,"mmm-yyyy")</f>
        <v>Apr-2024</v>
      </c>
    </row>
    <row r="4612" spans="1:10">
      <c r="A4612">
        <v>4611</v>
      </c>
      <c r="B4612">
        <v>14919</v>
      </c>
      <c r="C4612" t="s">
        <v>18</v>
      </c>
      <c r="D4612">
        <v>150461.15</v>
      </c>
      <c r="E4612" t="s">
        <v>16</v>
      </c>
      <c r="F4612">
        <v>13</v>
      </c>
      <c r="G4612" t="s">
        <v>21</v>
      </c>
      <c r="H4612" s="1">
        <v>45638</v>
      </c>
      <c r="I4612" s="1">
        <v>45651</v>
      </c>
      <c r="J4612" t="str">
        <f t="shared" si="72"/>
        <v>Dec-2024</v>
      </c>
    </row>
    <row r="4613" spans="1:10">
      <c r="A4613">
        <v>4612</v>
      </c>
      <c r="B4613">
        <v>12934</v>
      </c>
      <c r="C4613" t="s">
        <v>22</v>
      </c>
      <c r="D4613">
        <v>127984</v>
      </c>
      <c r="E4613" t="s">
        <v>19</v>
      </c>
      <c r="F4613">
        <v>23</v>
      </c>
      <c r="G4613" t="s">
        <v>20</v>
      </c>
      <c r="H4613" s="1">
        <v>45563</v>
      </c>
      <c r="I4613" s="1">
        <v>45586</v>
      </c>
      <c r="J4613" t="str">
        <f t="shared" si="72"/>
        <v>Sep-2024</v>
      </c>
    </row>
    <row r="4614" spans="1:10">
      <c r="A4614">
        <v>4613</v>
      </c>
      <c r="B4614">
        <v>16110</v>
      </c>
      <c r="C4614" t="s">
        <v>23</v>
      </c>
      <c r="D4614">
        <v>88258.45</v>
      </c>
      <c r="E4614" t="s">
        <v>16</v>
      </c>
      <c r="F4614">
        <v>24</v>
      </c>
      <c r="G4614" t="s">
        <v>21</v>
      </c>
      <c r="H4614" s="1">
        <v>45604</v>
      </c>
      <c r="I4614" s="1">
        <v>45628</v>
      </c>
      <c r="J4614" t="str">
        <f t="shared" si="72"/>
        <v>Nov-2024</v>
      </c>
    </row>
    <row r="4615" spans="1:10">
      <c r="A4615">
        <v>4614</v>
      </c>
      <c r="B4615">
        <v>11817</v>
      </c>
      <c r="C4615" t="s">
        <v>23</v>
      </c>
      <c r="D4615">
        <v>180912.88</v>
      </c>
      <c r="E4615" t="s">
        <v>19</v>
      </c>
      <c r="F4615">
        <v>38</v>
      </c>
      <c r="G4615" t="s">
        <v>21</v>
      </c>
      <c r="H4615" s="1">
        <v>45393</v>
      </c>
      <c r="I4615" s="1">
        <v>45431</v>
      </c>
      <c r="J4615" t="str">
        <f t="shared" si="72"/>
        <v>Apr-2024</v>
      </c>
    </row>
    <row r="4616" spans="1:10">
      <c r="A4616">
        <v>4615</v>
      </c>
      <c r="B4616">
        <v>16613</v>
      </c>
      <c r="C4616" t="s">
        <v>18</v>
      </c>
      <c r="D4616">
        <v>131938.87</v>
      </c>
      <c r="E4616" t="s">
        <v>24</v>
      </c>
      <c r="G4616" t="s">
        <v>21</v>
      </c>
      <c r="H4616" s="1">
        <v>45501</v>
      </c>
      <c r="J4616" t="str">
        <f t="shared" si="72"/>
        <v>Jul-2024</v>
      </c>
    </row>
    <row r="4617" spans="1:10">
      <c r="A4617">
        <v>4616</v>
      </c>
      <c r="B4617">
        <v>14319</v>
      </c>
      <c r="C4617" t="s">
        <v>22</v>
      </c>
      <c r="D4617">
        <v>82679.289999999994</v>
      </c>
      <c r="E4617" t="s">
        <v>16</v>
      </c>
      <c r="F4617">
        <v>25</v>
      </c>
      <c r="G4617" t="s">
        <v>21</v>
      </c>
      <c r="H4617" s="1">
        <v>45518</v>
      </c>
      <c r="I4617" s="1">
        <v>45543</v>
      </c>
      <c r="J4617" t="str">
        <f t="shared" si="72"/>
        <v>Aug-2024</v>
      </c>
    </row>
    <row r="4618" spans="1:10">
      <c r="A4618">
        <v>4617</v>
      </c>
      <c r="B4618">
        <v>11275</v>
      </c>
      <c r="C4618" t="s">
        <v>15</v>
      </c>
      <c r="D4618">
        <v>21276.51</v>
      </c>
      <c r="E4618" t="s">
        <v>16</v>
      </c>
      <c r="F4618">
        <v>9</v>
      </c>
      <c r="G4618" t="s">
        <v>20</v>
      </c>
      <c r="H4618" s="1">
        <v>45572</v>
      </c>
      <c r="I4618" s="1">
        <v>45581</v>
      </c>
      <c r="J4618" t="str">
        <f t="shared" si="72"/>
        <v>Oct-2024</v>
      </c>
    </row>
    <row r="4619" spans="1:10">
      <c r="A4619">
        <v>4618</v>
      </c>
      <c r="B4619">
        <v>17231</v>
      </c>
      <c r="C4619" t="s">
        <v>23</v>
      </c>
      <c r="D4619">
        <v>61687.45</v>
      </c>
      <c r="E4619" t="s">
        <v>19</v>
      </c>
      <c r="F4619">
        <v>27</v>
      </c>
      <c r="G4619" t="s">
        <v>21</v>
      </c>
      <c r="H4619" s="1">
        <v>45313</v>
      </c>
      <c r="I4619" s="1">
        <v>45340</v>
      </c>
      <c r="J4619" t="str">
        <f t="shared" si="72"/>
        <v>Jan-2024</v>
      </c>
    </row>
    <row r="4620" spans="1:10">
      <c r="A4620">
        <v>4619</v>
      </c>
      <c r="B4620">
        <v>12877</v>
      </c>
      <c r="C4620" t="s">
        <v>18</v>
      </c>
      <c r="D4620">
        <v>111026.71</v>
      </c>
      <c r="E4620" t="s">
        <v>19</v>
      </c>
      <c r="F4620">
        <v>33</v>
      </c>
      <c r="G4620" t="s">
        <v>17</v>
      </c>
      <c r="H4620" s="1">
        <v>45539</v>
      </c>
      <c r="I4620" s="1">
        <v>45572</v>
      </c>
      <c r="J4620" t="str">
        <f t="shared" si="72"/>
        <v>Sep-2024</v>
      </c>
    </row>
    <row r="4621" spans="1:10">
      <c r="A4621">
        <v>4620</v>
      </c>
      <c r="B4621">
        <v>14014</v>
      </c>
      <c r="C4621" t="s">
        <v>18</v>
      </c>
      <c r="D4621">
        <v>58748.9</v>
      </c>
      <c r="E4621" t="s">
        <v>19</v>
      </c>
      <c r="F4621">
        <v>29</v>
      </c>
      <c r="G4621" t="s">
        <v>17</v>
      </c>
      <c r="H4621" s="1">
        <v>45450</v>
      </c>
      <c r="I4621" s="1">
        <v>45479</v>
      </c>
      <c r="J4621" t="str">
        <f t="shared" si="72"/>
        <v>Jun-2024</v>
      </c>
    </row>
    <row r="4622" spans="1:10">
      <c r="A4622">
        <v>4621</v>
      </c>
      <c r="B4622">
        <v>14087</v>
      </c>
      <c r="C4622" t="s">
        <v>22</v>
      </c>
      <c r="D4622">
        <v>48140.89</v>
      </c>
      <c r="E4622" t="s">
        <v>16</v>
      </c>
      <c r="F4622">
        <v>33</v>
      </c>
      <c r="G4622" t="s">
        <v>17</v>
      </c>
      <c r="H4622" s="1">
        <v>45520</v>
      </c>
      <c r="I4622" s="1">
        <v>45553</v>
      </c>
      <c r="J4622" t="str">
        <f t="shared" si="72"/>
        <v>Aug-2024</v>
      </c>
    </row>
    <row r="4623" spans="1:10">
      <c r="A4623">
        <v>4622</v>
      </c>
      <c r="B4623">
        <v>11147</v>
      </c>
      <c r="C4623" t="s">
        <v>23</v>
      </c>
      <c r="D4623">
        <v>107841.74</v>
      </c>
      <c r="E4623" t="s">
        <v>16</v>
      </c>
      <c r="F4623">
        <v>23</v>
      </c>
      <c r="G4623" t="s">
        <v>17</v>
      </c>
      <c r="H4623" s="1">
        <v>45634</v>
      </c>
      <c r="I4623" s="1">
        <v>45657</v>
      </c>
      <c r="J4623" t="str">
        <f t="shared" si="72"/>
        <v>Dec-2024</v>
      </c>
    </row>
    <row r="4624" spans="1:10">
      <c r="A4624">
        <v>4623</v>
      </c>
      <c r="B4624">
        <v>10237</v>
      </c>
      <c r="C4624" t="s">
        <v>18</v>
      </c>
      <c r="D4624">
        <v>38114.97</v>
      </c>
      <c r="E4624" t="s">
        <v>16</v>
      </c>
      <c r="F4624">
        <v>10</v>
      </c>
      <c r="G4624" t="s">
        <v>21</v>
      </c>
      <c r="H4624" s="1">
        <v>45478</v>
      </c>
      <c r="I4624" s="1">
        <v>45488</v>
      </c>
      <c r="J4624" t="str">
        <f t="shared" si="72"/>
        <v>Jul-2024</v>
      </c>
    </row>
    <row r="4625" spans="1:10">
      <c r="A4625">
        <v>4624</v>
      </c>
      <c r="B4625">
        <v>12122</v>
      </c>
      <c r="C4625" t="s">
        <v>15</v>
      </c>
      <c r="D4625">
        <v>161079.96</v>
      </c>
      <c r="E4625" t="s">
        <v>24</v>
      </c>
      <c r="G4625" t="s">
        <v>17</v>
      </c>
      <c r="H4625" s="1">
        <v>45434</v>
      </c>
      <c r="J4625" t="str">
        <f t="shared" si="72"/>
        <v>May-2024</v>
      </c>
    </row>
    <row r="4626" spans="1:10">
      <c r="A4626">
        <v>4625</v>
      </c>
      <c r="B4626">
        <v>17609</v>
      </c>
      <c r="C4626" t="s">
        <v>23</v>
      </c>
      <c r="D4626">
        <v>99451.79</v>
      </c>
      <c r="E4626" t="s">
        <v>16</v>
      </c>
      <c r="F4626">
        <v>26</v>
      </c>
      <c r="G4626" t="s">
        <v>21</v>
      </c>
      <c r="H4626" s="1">
        <v>45629</v>
      </c>
      <c r="I4626" s="1">
        <v>45655</v>
      </c>
      <c r="J4626" t="str">
        <f t="shared" si="72"/>
        <v>Dec-2024</v>
      </c>
    </row>
    <row r="4627" spans="1:10">
      <c r="A4627">
        <v>4626</v>
      </c>
      <c r="B4627">
        <v>14595</v>
      </c>
      <c r="C4627" t="s">
        <v>23</v>
      </c>
      <c r="D4627">
        <v>116903.24</v>
      </c>
      <c r="E4627" t="s">
        <v>24</v>
      </c>
      <c r="G4627" t="s">
        <v>20</v>
      </c>
      <c r="H4627" s="1">
        <v>45649</v>
      </c>
      <c r="J4627" t="str">
        <f t="shared" si="72"/>
        <v>Dec-2024</v>
      </c>
    </row>
    <row r="4628" spans="1:10">
      <c r="A4628">
        <v>4627</v>
      </c>
      <c r="B4628">
        <v>19737</v>
      </c>
      <c r="C4628" t="s">
        <v>23</v>
      </c>
      <c r="D4628">
        <v>33739.74</v>
      </c>
      <c r="E4628" t="s">
        <v>16</v>
      </c>
      <c r="F4628">
        <v>13</v>
      </c>
      <c r="G4628" t="s">
        <v>17</v>
      </c>
      <c r="H4628" s="1">
        <v>45315</v>
      </c>
      <c r="I4628" s="1">
        <v>45328</v>
      </c>
      <c r="J4628" t="str">
        <f t="shared" si="72"/>
        <v>Jan-2024</v>
      </c>
    </row>
    <row r="4629" spans="1:10">
      <c r="A4629">
        <v>4628</v>
      </c>
      <c r="B4629">
        <v>13983</v>
      </c>
      <c r="C4629" t="s">
        <v>23</v>
      </c>
      <c r="D4629">
        <v>68292.39</v>
      </c>
      <c r="E4629" t="s">
        <v>24</v>
      </c>
      <c r="G4629" t="s">
        <v>25</v>
      </c>
      <c r="H4629" s="1">
        <v>45432</v>
      </c>
      <c r="J4629" t="str">
        <f t="shared" si="72"/>
        <v>May-2024</v>
      </c>
    </row>
    <row r="4630" spans="1:10">
      <c r="A4630">
        <v>4629</v>
      </c>
      <c r="B4630">
        <v>18134</v>
      </c>
      <c r="C4630" t="s">
        <v>23</v>
      </c>
      <c r="D4630">
        <v>84967.49</v>
      </c>
      <c r="E4630" t="s">
        <v>16</v>
      </c>
      <c r="F4630">
        <v>4</v>
      </c>
      <c r="G4630" t="s">
        <v>17</v>
      </c>
      <c r="H4630" s="1">
        <v>45531</v>
      </c>
      <c r="I4630" s="1">
        <v>45535</v>
      </c>
      <c r="J4630" t="str">
        <f t="shared" si="72"/>
        <v>Aug-2024</v>
      </c>
    </row>
    <row r="4631" spans="1:10">
      <c r="A4631">
        <v>4630</v>
      </c>
      <c r="B4631">
        <v>15606</v>
      </c>
      <c r="C4631" t="s">
        <v>22</v>
      </c>
      <c r="D4631">
        <v>162601.5</v>
      </c>
      <c r="E4631" t="s">
        <v>16</v>
      </c>
      <c r="F4631">
        <v>42</v>
      </c>
      <c r="G4631" t="s">
        <v>17</v>
      </c>
      <c r="H4631" s="1">
        <v>45583</v>
      </c>
      <c r="I4631" s="1">
        <v>45625</v>
      </c>
      <c r="J4631" t="str">
        <f t="shared" si="72"/>
        <v>Oct-2024</v>
      </c>
    </row>
    <row r="4632" spans="1:10">
      <c r="A4632">
        <v>4631</v>
      </c>
      <c r="B4632">
        <v>19178</v>
      </c>
      <c r="C4632" t="s">
        <v>23</v>
      </c>
      <c r="D4632">
        <v>155181.10999999999</v>
      </c>
      <c r="E4632" t="s">
        <v>16</v>
      </c>
      <c r="F4632">
        <v>24</v>
      </c>
      <c r="G4632" t="s">
        <v>21</v>
      </c>
      <c r="H4632" s="1">
        <v>45596</v>
      </c>
      <c r="I4632" s="1">
        <v>45620</v>
      </c>
      <c r="J4632" t="str">
        <f t="shared" si="72"/>
        <v>Oct-2024</v>
      </c>
    </row>
    <row r="4633" spans="1:10">
      <c r="A4633">
        <v>4632</v>
      </c>
      <c r="B4633">
        <v>11623</v>
      </c>
      <c r="C4633" t="s">
        <v>23</v>
      </c>
      <c r="D4633">
        <v>48480.61</v>
      </c>
      <c r="E4633" t="s">
        <v>16</v>
      </c>
      <c r="F4633">
        <v>24</v>
      </c>
      <c r="G4633" t="s">
        <v>17</v>
      </c>
      <c r="H4633" s="1">
        <v>45373</v>
      </c>
      <c r="I4633" s="1">
        <v>45397</v>
      </c>
      <c r="J4633" t="str">
        <f t="shared" si="72"/>
        <v>Mar-2024</v>
      </c>
    </row>
    <row r="4634" spans="1:10">
      <c r="A4634">
        <v>4633</v>
      </c>
      <c r="B4634">
        <v>17226</v>
      </c>
      <c r="C4634" t="s">
        <v>18</v>
      </c>
      <c r="D4634">
        <v>125154.92</v>
      </c>
      <c r="E4634" t="s">
        <v>16</v>
      </c>
      <c r="F4634">
        <v>19</v>
      </c>
      <c r="G4634" t="s">
        <v>25</v>
      </c>
      <c r="H4634" s="1">
        <v>45339</v>
      </c>
      <c r="I4634" s="1">
        <v>45358</v>
      </c>
      <c r="J4634" t="str">
        <f t="shared" si="72"/>
        <v>Feb-2024</v>
      </c>
    </row>
    <row r="4635" spans="1:10">
      <c r="A4635">
        <v>4634</v>
      </c>
      <c r="B4635">
        <v>10722</v>
      </c>
      <c r="C4635" t="s">
        <v>23</v>
      </c>
      <c r="D4635">
        <v>52473.99</v>
      </c>
      <c r="E4635" t="s">
        <v>16</v>
      </c>
      <c r="F4635">
        <v>12</v>
      </c>
      <c r="G4635" t="s">
        <v>21</v>
      </c>
      <c r="H4635" s="1">
        <v>45644</v>
      </c>
      <c r="I4635" s="1">
        <v>45656</v>
      </c>
      <c r="J4635" t="str">
        <f t="shared" si="72"/>
        <v>Dec-2024</v>
      </c>
    </row>
    <row r="4636" spans="1:10">
      <c r="A4636">
        <v>4635</v>
      </c>
      <c r="B4636">
        <v>11095</v>
      </c>
      <c r="C4636" t="s">
        <v>23</v>
      </c>
      <c r="D4636">
        <v>197708.2</v>
      </c>
      <c r="E4636" t="s">
        <v>16</v>
      </c>
      <c r="F4636">
        <v>37</v>
      </c>
      <c r="G4636" t="s">
        <v>21</v>
      </c>
      <c r="H4636" s="1">
        <v>45649</v>
      </c>
      <c r="I4636" s="1">
        <v>45686</v>
      </c>
      <c r="J4636" t="str">
        <f t="shared" si="72"/>
        <v>Dec-2024</v>
      </c>
    </row>
    <row r="4637" spans="1:10">
      <c r="A4637">
        <v>4636</v>
      </c>
      <c r="B4637">
        <v>13827</v>
      </c>
      <c r="C4637" t="s">
        <v>18</v>
      </c>
      <c r="D4637">
        <v>190664.16</v>
      </c>
      <c r="E4637" t="s">
        <v>16</v>
      </c>
      <c r="F4637">
        <v>27</v>
      </c>
      <c r="G4637" t="s">
        <v>20</v>
      </c>
      <c r="H4637" s="1">
        <v>45462</v>
      </c>
      <c r="I4637" s="1">
        <v>45489</v>
      </c>
      <c r="J4637" t="str">
        <f t="shared" si="72"/>
        <v>Jun-2024</v>
      </c>
    </row>
    <row r="4638" spans="1:10">
      <c r="A4638">
        <v>4637</v>
      </c>
      <c r="B4638">
        <v>14285</v>
      </c>
      <c r="C4638" t="s">
        <v>15</v>
      </c>
      <c r="D4638">
        <v>114836.62</v>
      </c>
      <c r="E4638" t="s">
        <v>19</v>
      </c>
      <c r="F4638">
        <v>9</v>
      </c>
      <c r="G4638" t="s">
        <v>20</v>
      </c>
      <c r="H4638" s="1">
        <v>45553</v>
      </c>
      <c r="I4638" s="1">
        <v>45562</v>
      </c>
      <c r="J4638" t="str">
        <f t="shared" si="72"/>
        <v>Sep-2024</v>
      </c>
    </row>
    <row r="4639" spans="1:10">
      <c r="A4639">
        <v>4638</v>
      </c>
      <c r="B4639">
        <v>10995</v>
      </c>
      <c r="C4639" t="s">
        <v>18</v>
      </c>
      <c r="D4639">
        <v>141286</v>
      </c>
      <c r="E4639" t="s">
        <v>16</v>
      </c>
      <c r="F4639">
        <v>29</v>
      </c>
      <c r="G4639" t="s">
        <v>17</v>
      </c>
      <c r="H4639" s="1">
        <v>45359</v>
      </c>
      <c r="I4639" s="1">
        <v>45388</v>
      </c>
      <c r="J4639" t="str">
        <f t="shared" si="72"/>
        <v>Mar-2024</v>
      </c>
    </row>
    <row r="4640" spans="1:10">
      <c r="A4640">
        <v>4639</v>
      </c>
      <c r="B4640">
        <v>15681</v>
      </c>
      <c r="C4640" t="s">
        <v>18</v>
      </c>
      <c r="D4640">
        <v>161278.92000000001</v>
      </c>
      <c r="E4640" t="s">
        <v>16</v>
      </c>
      <c r="F4640">
        <v>19</v>
      </c>
      <c r="G4640" t="s">
        <v>20</v>
      </c>
      <c r="H4640" s="1">
        <v>45305</v>
      </c>
      <c r="I4640" s="1">
        <v>45324</v>
      </c>
      <c r="J4640" t="str">
        <f t="shared" si="72"/>
        <v>Jan-2024</v>
      </c>
    </row>
    <row r="4641" spans="1:10">
      <c r="A4641">
        <v>4640</v>
      </c>
      <c r="B4641">
        <v>14661</v>
      </c>
      <c r="C4641" t="s">
        <v>23</v>
      </c>
      <c r="D4641">
        <v>145594.69</v>
      </c>
      <c r="E4641" t="s">
        <v>19</v>
      </c>
      <c r="F4641">
        <v>14</v>
      </c>
      <c r="G4641" t="s">
        <v>20</v>
      </c>
      <c r="H4641" s="1">
        <v>45321</v>
      </c>
      <c r="I4641" s="1">
        <v>45335</v>
      </c>
      <c r="J4641" t="str">
        <f t="shared" si="72"/>
        <v>Jan-2024</v>
      </c>
    </row>
    <row r="4642" spans="1:10">
      <c r="A4642">
        <v>4641</v>
      </c>
      <c r="B4642">
        <v>10992</v>
      </c>
      <c r="C4642" t="s">
        <v>22</v>
      </c>
      <c r="D4642">
        <v>141466.59</v>
      </c>
      <c r="E4642" t="s">
        <v>16</v>
      </c>
      <c r="F4642">
        <v>37</v>
      </c>
      <c r="G4642" t="s">
        <v>20</v>
      </c>
      <c r="H4642" s="1">
        <v>45401</v>
      </c>
      <c r="I4642" s="1">
        <v>45438</v>
      </c>
      <c r="J4642" t="str">
        <f t="shared" si="72"/>
        <v>Apr-2024</v>
      </c>
    </row>
    <row r="4643" spans="1:10">
      <c r="A4643">
        <v>4642</v>
      </c>
      <c r="B4643">
        <v>12783</v>
      </c>
      <c r="C4643" t="s">
        <v>23</v>
      </c>
      <c r="D4643">
        <v>191918.03</v>
      </c>
      <c r="E4643" t="s">
        <v>24</v>
      </c>
      <c r="G4643" t="s">
        <v>21</v>
      </c>
      <c r="H4643" s="1">
        <v>45503</v>
      </c>
      <c r="J4643" t="str">
        <f t="shared" si="72"/>
        <v>Jul-2024</v>
      </c>
    </row>
    <row r="4644" spans="1:10">
      <c r="A4644">
        <v>4643</v>
      </c>
      <c r="B4644">
        <v>18347</v>
      </c>
      <c r="C4644" t="s">
        <v>18</v>
      </c>
      <c r="D4644">
        <v>121308.94</v>
      </c>
      <c r="E4644" t="s">
        <v>16</v>
      </c>
      <c r="F4644">
        <v>41</v>
      </c>
      <c r="G4644" t="s">
        <v>21</v>
      </c>
      <c r="H4644" s="1">
        <v>45555</v>
      </c>
      <c r="I4644" s="1">
        <v>45596</v>
      </c>
      <c r="J4644" t="str">
        <f t="shared" si="72"/>
        <v>Sep-2024</v>
      </c>
    </row>
    <row r="4645" spans="1:10">
      <c r="A4645">
        <v>4644</v>
      </c>
      <c r="B4645">
        <v>15682</v>
      </c>
      <c r="C4645" t="s">
        <v>23</v>
      </c>
      <c r="D4645">
        <v>129079.02</v>
      </c>
      <c r="E4645" t="s">
        <v>16</v>
      </c>
      <c r="F4645">
        <v>13</v>
      </c>
      <c r="G4645" t="s">
        <v>21</v>
      </c>
      <c r="H4645" s="1">
        <v>45613</v>
      </c>
      <c r="I4645" s="1">
        <v>45626</v>
      </c>
      <c r="J4645" t="str">
        <f t="shared" si="72"/>
        <v>Nov-2024</v>
      </c>
    </row>
    <row r="4646" spans="1:10">
      <c r="A4646">
        <v>4645</v>
      </c>
      <c r="B4646">
        <v>19968</v>
      </c>
      <c r="C4646" t="s">
        <v>22</v>
      </c>
      <c r="D4646">
        <v>170607.41</v>
      </c>
      <c r="E4646" t="s">
        <v>16</v>
      </c>
      <c r="F4646">
        <v>23</v>
      </c>
      <c r="G4646" t="s">
        <v>20</v>
      </c>
      <c r="H4646" s="1">
        <v>45493</v>
      </c>
      <c r="I4646" s="1">
        <v>45516</v>
      </c>
      <c r="J4646" t="str">
        <f t="shared" si="72"/>
        <v>Jul-2024</v>
      </c>
    </row>
    <row r="4647" spans="1:10">
      <c r="A4647">
        <v>4646</v>
      </c>
      <c r="B4647">
        <v>15961</v>
      </c>
      <c r="C4647" t="s">
        <v>18</v>
      </c>
      <c r="D4647">
        <v>135628.72</v>
      </c>
      <c r="E4647" t="s">
        <v>16</v>
      </c>
      <c r="F4647">
        <v>3</v>
      </c>
      <c r="G4647" t="s">
        <v>21</v>
      </c>
      <c r="H4647" s="1">
        <v>45375</v>
      </c>
      <c r="I4647" s="1">
        <v>45378</v>
      </c>
      <c r="J4647" t="str">
        <f t="shared" si="72"/>
        <v>Mar-2024</v>
      </c>
    </row>
    <row r="4648" spans="1:10">
      <c r="A4648">
        <v>4647</v>
      </c>
      <c r="B4648">
        <v>14768</v>
      </c>
      <c r="C4648" t="s">
        <v>18</v>
      </c>
      <c r="D4648">
        <v>147921.85999999999</v>
      </c>
      <c r="E4648" t="s">
        <v>16</v>
      </c>
      <c r="F4648">
        <v>41</v>
      </c>
      <c r="G4648" t="s">
        <v>20</v>
      </c>
      <c r="H4648" s="1">
        <v>45344</v>
      </c>
      <c r="I4648" s="1">
        <v>45385</v>
      </c>
      <c r="J4648" t="str">
        <f t="shared" si="72"/>
        <v>Feb-2024</v>
      </c>
    </row>
    <row r="4649" spans="1:10">
      <c r="A4649">
        <v>4648</v>
      </c>
      <c r="B4649">
        <v>15760</v>
      </c>
      <c r="C4649" t="s">
        <v>23</v>
      </c>
      <c r="D4649">
        <v>50662.89</v>
      </c>
      <c r="E4649" t="s">
        <v>16</v>
      </c>
      <c r="F4649">
        <v>29</v>
      </c>
      <c r="G4649" t="s">
        <v>21</v>
      </c>
      <c r="H4649" s="1">
        <v>45646</v>
      </c>
      <c r="I4649" s="1">
        <v>45675</v>
      </c>
      <c r="J4649" t="str">
        <f t="shared" si="72"/>
        <v>Dec-2024</v>
      </c>
    </row>
    <row r="4650" spans="1:10">
      <c r="A4650">
        <v>4649</v>
      </c>
      <c r="B4650">
        <v>15204</v>
      </c>
      <c r="C4650" t="s">
        <v>23</v>
      </c>
      <c r="D4650">
        <v>77397.05</v>
      </c>
      <c r="E4650" t="s">
        <v>16</v>
      </c>
      <c r="F4650">
        <v>14</v>
      </c>
      <c r="G4650" t="s">
        <v>21</v>
      </c>
      <c r="H4650" s="1">
        <v>45547</v>
      </c>
      <c r="I4650" s="1">
        <v>45561</v>
      </c>
      <c r="J4650" t="str">
        <f t="shared" si="72"/>
        <v>Sep-2024</v>
      </c>
    </row>
    <row r="4651" spans="1:10">
      <c r="A4651">
        <v>4650</v>
      </c>
      <c r="B4651">
        <v>17552</v>
      </c>
      <c r="C4651" t="s">
        <v>18</v>
      </c>
      <c r="D4651">
        <v>33723.760000000002</v>
      </c>
      <c r="E4651" t="s">
        <v>16</v>
      </c>
      <c r="F4651">
        <v>34</v>
      </c>
      <c r="G4651" t="s">
        <v>25</v>
      </c>
      <c r="H4651" s="1">
        <v>45365</v>
      </c>
      <c r="I4651" s="1">
        <v>45399</v>
      </c>
      <c r="J4651" t="str">
        <f t="shared" si="72"/>
        <v>Mar-2024</v>
      </c>
    </row>
    <row r="4652" spans="1:10">
      <c r="A4652">
        <v>4651</v>
      </c>
      <c r="B4652">
        <v>18246</v>
      </c>
      <c r="C4652" t="s">
        <v>18</v>
      </c>
      <c r="D4652">
        <v>103624.26</v>
      </c>
      <c r="E4652" t="s">
        <v>16</v>
      </c>
      <c r="F4652">
        <v>4</v>
      </c>
      <c r="G4652" t="s">
        <v>17</v>
      </c>
      <c r="H4652" s="1">
        <v>45511</v>
      </c>
      <c r="I4652" s="1">
        <v>45515</v>
      </c>
      <c r="J4652" t="str">
        <f t="shared" si="72"/>
        <v>Aug-2024</v>
      </c>
    </row>
    <row r="4653" spans="1:10">
      <c r="A4653">
        <v>4652</v>
      </c>
      <c r="B4653">
        <v>10084</v>
      </c>
      <c r="C4653" t="s">
        <v>23</v>
      </c>
      <c r="D4653">
        <v>93866.84</v>
      </c>
      <c r="E4653" t="s">
        <v>16</v>
      </c>
      <c r="F4653">
        <v>35</v>
      </c>
      <c r="G4653" t="s">
        <v>20</v>
      </c>
      <c r="H4653" s="1">
        <v>45434</v>
      </c>
      <c r="I4653" s="1">
        <v>45469</v>
      </c>
      <c r="J4653" t="str">
        <f t="shared" si="72"/>
        <v>May-2024</v>
      </c>
    </row>
    <row r="4654" spans="1:10">
      <c r="A4654">
        <v>4653</v>
      </c>
      <c r="B4654">
        <v>15976</v>
      </c>
      <c r="C4654" t="s">
        <v>22</v>
      </c>
      <c r="D4654">
        <v>199446.75</v>
      </c>
      <c r="E4654" t="s">
        <v>16</v>
      </c>
      <c r="F4654">
        <v>24</v>
      </c>
      <c r="G4654" t="s">
        <v>25</v>
      </c>
      <c r="H4654" s="1">
        <v>45391</v>
      </c>
      <c r="I4654" s="1">
        <v>45415</v>
      </c>
      <c r="J4654" t="str">
        <f t="shared" si="72"/>
        <v>Apr-2024</v>
      </c>
    </row>
    <row r="4655" spans="1:10">
      <c r="A4655">
        <v>4654</v>
      </c>
      <c r="B4655">
        <v>18147</v>
      </c>
      <c r="C4655" t="s">
        <v>15</v>
      </c>
      <c r="D4655">
        <v>124185.69</v>
      </c>
      <c r="E4655" t="s">
        <v>16</v>
      </c>
      <c r="F4655">
        <v>33</v>
      </c>
      <c r="G4655" t="s">
        <v>21</v>
      </c>
      <c r="H4655" s="1">
        <v>45420</v>
      </c>
      <c r="I4655" s="1">
        <v>45453</v>
      </c>
      <c r="J4655" t="str">
        <f t="shared" si="72"/>
        <v>May-2024</v>
      </c>
    </row>
    <row r="4656" spans="1:10">
      <c r="A4656">
        <v>4655</v>
      </c>
      <c r="B4656">
        <v>17084</v>
      </c>
      <c r="C4656" t="s">
        <v>23</v>
      </c>
      <c r="D4656">
        <v>158356.74</v>
      </c>
      <c r="E4656" t="s">
        <v>16</v>
      </c>
      <c r="F4656">
        <v>21</v>
      </c>
      <c r="G4656" t="s">
        <v>20</v>
      </c>
      <c r="H4656" s="1">
        <v>45510</v>
      </c>
      <c r="I4656" s="1">
        <v>45531</v>
      </c>
      <c r="J4656" t="str">
        <f t="shared" si="72"/>
        <v>Aug-2024</v>
      </c>
    </row>
    <row r="4657" spans="1:10">
      <c r="A4657">
        <v>4656</v>
      </c>
      <c r="B4657">
        <v>12779</v>
      </c>
      <c r="C4657" t="s">
        <v>15</v>
      </c>
      <c r="D4657">
        <v>70132.86</v>
      </c>
      <c r="E4657" t="s">
        <v>16</v>
      </c>
      <c r="F4657">
        <v>29</v>
      </c>
      <c r="G4657" t="s">
        <v>21</v>
      </c>
      <c r="H4657" s="1">
        <v>45562</v>
      </c>
      <c r="I4657" s="1">
        <v>45591</v>
      </c>
      <c r="J4657" t="str">
        <f t="shared" si="72"/>
        <v>Sep-2024</v>
      </c>
    </row>
    <row r="4658" spans="1:10">
      <c r="A4658">
        <v>4657</v>
      </c>
      <c r="B4658">
        <v>16055</v>
      </c>
      <c r="C4658" t="s">
        <v>18</v>
      </c>
      <c r="D4658">
        <v>167151.34</v>
      </c>
      <c r="E4658" t="s">
        <v>16</v>
      </c>
      <c r="F4658">
        <v>9</v>
      </c>
      <c r="G4658" t="s">
        <v>17</v>
      </c>
      <c r="H4658" s="1">
        <v>45313</v>
      </c>
      <c r="I4658" s="1">
        <v>45322</v>
      </c>
      <c r="J4658" t="str">
        <f t="shared" si="72"/>
        <v>Jan-2024</v>
      </c>
    </row>
    <row r="4659" spans="1:10">
      <c r="A4659">
        <v>4658</v>
      </c>
      <c r="B4659">
        <v>12669</v>
      </c>
      <c r="C4659" t="s">
        <v>23</v>
      </c>
      <c r="D4659">
        <v>124941.57</v>
      </c>
      <c r="E4659" t="s">
        <v>16</v>
      </c>
      <c r="F4659">
        <v>4</v>
      </c>
      <c r="G4659" t="s">
        <v>25</v>
      </c>
      <c r="H4659" s="1">
        <v>45469</v>
      </c>
      <c r="I4659" s="1">
        <v>45473</v>
      </c>
      <c r="J4659" t="str">
        <f t="shared" si="72"/>
        <v>Jun-2024</v>
      </c>
    </row>
    <row r="4660" spans="1:10">
      <c r="A4660">
        <v>4659</v>
      </c>
      <c r="B4660">
        <v>11008</v>
      </c>
      <c r="C4660" t="s">
        <v>23</v>
      </c>
      <c r="D4660">
        <v>140913.5</v>
      </c>
      <c r="E4660" t="s">
        <v>16</v>
      </c>
      <c r="F4660">
        <v>31</v>
      </c>
      <c r="G4660" t="s">
        <v>17</v>
      </c>
      <c r="H4660" s="1">
        <v>45339</v>
      </c>
      <c r="I4660" s="1">
        <v>45370</v>
      </c>
      <c r="J4660" t="str">
        <f t="shared" si="72"/>
        <v>Feb-2024</v>
      </c>
    </row>
    <row r="4661" spans="1:10">
      <c r="A4661">
        <v>4660</v>
      </c>
      <c r="B4661">
        <v>12364</v>
      </c>
      <c r="C4661" t="s">
        <v>18</v>
      </c>
      <c r="D4661">
        <v>62414</v>
      </c>
      <c r="E4661" t="s">
        <v>16</v>
      </c>
      <c r="F4661">
        <v>26</v>
      </c>
      <c r="G4661" t="s">
        <v>25</v>
      </c>
      <c r="H4661" s="1">
        <v>45408</v>
      </c>
      <c r="I4661" s="1">
        <v>45434</v>
      </c>
      <c r="J4661" t="str">
        <f t="shared" si="72"/>
        <v>Apr-2024</v>
      </c>
    </row>
    <row r="4662" spans="1:10">
      <c r="A4662">
        <v>4661</v>
      </c>
      <c r="B4662">
        <v>13686</v>
      </c>
      <c r="C4662" t="s">
        <v>18</v>
      </c>
      <c r="D4662">
        <v>111984.49</v>
      </c>
      <c r="E4662" t="s">
        <v>16</v>
      </c>
      <c r="F4662">
        <v>31</v>
      </c>
      <c r="G4662" t="s">
        <v>21</v>
      </c>
      <c r="H4662" s="1">
        <v>45620</v>
      </c>
      <c r="I4662" s="1">
        <v>45651</v>
      </c>
      <c r="J4662" t="str">
        <f t="shared" si="72"/>
        <v>Nov-2024</v>
      </c>
    </row>
    <row r="4663" spans="1:10">
      <c r="A4663">
        <v>4662</v>
      </c>
      <c r="B4663">
        <v>16768</v>
      </c>
      <c r="C4663" t="s">
        <v>23</v>
      </c>
      <c r="D4663">
        <v>128637.21</v>
      </c>
      <c r="E4663" t="s">
        <v>16</v>
      </c>
      <c r="F4663">
        <v>30</v>
      </c>
      <c r="G4663" t="s">
        <v>17</v>
      </c>
      <c r="H4663" s="1">
        <v>45470</v>
      </c>
      <c r="I4663" s="1">
        <v>45500</v>
      </c>
      <c r="J4663" t="str">
        <f t="shared" si="72"/>
        <v>Jun-2024</v>
      </c>
    </row>
    <row r="4664" spans="1:10">
      <c r="A4664">
        <v>4663</v>
      </c>
      <c r="B4664">
        <v>12199</v>
      </c>
      <c r="C4664" t="s">
        <v>18</v>
      </c>
      <c r="D4664">
        <v>119873.46</v>
      </c>
      <c r="E4664" t="s">
        <v>16</v>
      </c>
      <c r="F4664">
        <v>31</v>
      </c>
      <c r="G4664" t="s">
        <v>17</v>
      </c>
      <c r="H4664" s="1">
        <v>45564</v>
      </c>
      <c r="I4664" s="1">
        <v>45595</v>
      </c>
      <c r="J4664" t="str">
        <f t="shared" si="72"/>
        <v>Sep-2024</v>
      </c>
    </row>
    <row r="4665" spans="1:10">
      <c r="A4665">
        <v>4664</v>
      </c>
      <c r="B4665">
        <v>19551</v>
      </c>
      <c r="C4665" t="s">
        <v>18</v>
      </c>
      <c r="D4665">
        <v>183462.77</v>
      </c>
      <c r="E4665" t="s">
        <v>16</v>
      </c>
      <c r="F4665">
        <v>35</v>
      </c>
      <c r="G4665" t="s">
        <v>21</v>
      </c>
      <c r="H4665" s="1">
        <v>45653</v>
      </c>
      <c r="I4665" s="1">
        <v>45688</v>
      </c>
      <c r="J4665" t="str">
        <f t="shared" si="72"/>
        <v>Dec-2024</v>
      </c>
    </row>
    <row r="4666" spans="1:10">
      <c r="A4666">
        <v>4665</v>
      </c>
      <c r="B4666">
        <v>10909</v>
      </c>
      <c r="C4666" t="s">
        <v>18</v>
      </c>
      <c r="D4666">
        <v>180163.17</v>
      </c>
      <c r="E4666" t="s">
        <v>16</v>
      </c>
      <c r="F4666">
        <v>26</v>
      </c>
      <c r="G4666" t="s">
        <v>17</v>
      </c>
      <c r="H4666" s="1">
        <v>45630</v>
      </c>
      <c r="I4666" s="1">
        <v>45656</v>
      </c>
      <c r="J4666" t="str">
        <f t="shared" si="72"/>
        <v>Dec-2024</v>
      </c>
    </row>
    <row r="4667" spans="1:10">
      <c r="A4667">
        <v>4666</v>
      </c>
      <c r="B4667">
        <v>13439</v>
      </c>
      <c r="C4667" t="s">
        <v>23</v>
      </c>
      <c r="D4667">
        <v>194341.89</v>
      </c>
      <c r="E4667" t="s">
        <v>16</v>
      </c>
      <c r="F4667">
        <v>18</v>
      </c>
      <c r="G4667" t="s">
        <v>20</v>
      </c>
      <c r="H4667" s="1">
        <v>45651</v>
      </c>
      <c r="I4667" s="1">
        <v>45669</v>
      </c>
      <c r="J4667" t="str">
        <f t="shared" si="72"/>
        <v>Dec-2024</v>
      </c>
    </row>
    <row r="4668" spans="1:10">
      <c r="A4668">
        <v>4667</v>
      </c>
      <c r="B4668">
        <v>15882</v>
      </c>
      <c r="C4668" t="s">
        <v>15</v>
      </c>
      <c r="D4668">
        <v>135148.46</v>
      </c>
      <c r="E4668" t="s">
        <v>19</v>
      </c>
      <c r="F4668">
        <v>25</v>
      </c>
      <c r="G4668" t="s">
        <v>25</v>
      </c>
      <c r="H4668" s="1">
        <v>45638</v>
      </c>
      <c r="I4668" s="1">
        <v>45663</v>
      </c>
      <c r="J4668" t="str">
        <f t="shared" si="72"/>
        <v>Dec-2024</v>
      </c>
    </row>
    <row r="4669" spans="1:10">
      <c r="A4669">
        <v>4668</v>
      </c>
      <c r="B4669">
        <v>12913</v>
      </c>
      <c r="C4669" t="s">
        <v>23</v>
      </c>
      <c r="D4669">
        <v>194523.26</v>
      </c>
      <c r="E4669" t="s">
        <v>19</v>
      </c>
      <c r="F4669">
        <v>39</v>
      </c>
      <c r="G4669" t="s">
        <v>25</v>
      </c>
      <c r="H4669" s="1">
        <v>45470</v>
      </c>
      <c r="I4669" s="1">
        <v>45509</v>
      </c>
      <c r="J4669" t="str">
        <f t="shared" si="72"/>
        <v>Jun-2024</v>
      </c>
    </row>
    <row r="4670" spans="1:10">
      <c r="A4670">
        <v>4669</v>
      </c>
      <c r="B4670">
        <v>14695</v>
      </c>
      <c r="C4670" t="s">
        <v>23</v>
      </c>
      <c r="D4670">
        <v>167333.21</v>
      </c>
      <c r="E4670" t="s">
        <v>16</v>
      </c>
      <c r="F4670">
        <v>29</v>
      </c>
      <c r="G4670" t="s">
        <v>25</v>
      </c>
      <c r="H4670" s="1">
        <v>45340</v>
      </c>
      <c r="I4670" s="1">
        <v>45369</v>
      </c>
      <c r="J4670" t="str">
        <f t="shared" si="72"/>
        <v>Feb-2024</v>
      </c>
    </row>
    <row r="4671" spans="1:10">
      <c r="A4671">
        <v>4670</v>
      </c>
      <c r="B4671">
        <v>11006</v>
      </c>
      <c r="C4671" t="s">
        <v>23</v>
      </c>
      <c r="D4671">
        <v>57812.27</v>
      </c>
      <c r="E4671" t="s">
        <v>16</v>
      </c>
      <c r="F4671">
        <v>34</v>
      </c>
      <c r="G4671" t="s">
        <v>20</v>
      </c>
      <c r="H4671" s="1">
        <v>45606</v>
      </c>
      <c r="I4671" s="1">
        <v>45640</v>
      </c>
      <c r="J4671" t="str">
        <f t="shared" si="72"/>
        <v>Nov-2024</v>
      </c>
    </row>
    <row r="4672" spans="1:10">
      <c r="A4672">
        <v>4671</v>
      </c>
      <c r="B4672">
        <v>17114</v>
      </c>
      <c r="C4672" t="s">
        <v>23</v>
      </c>
      <c r="D4672">
        <v>88349.96</v>
      </c>
      <c r="E4672" t="s">
        <v>16</v>
      </c>
      <c r="F4672">
        <v>37</v>
      </c>
      <c r="G4672" t="s">
        <v>25</v>
      </c>
      <c r="H4672" s="1">
        <v>45546</v>
      </c>
      <c r="I4672" s="1">
        <v>45583</v>
      </c>
      <c r="J4672" t="str">
        <f t="shared" si="72"/>
        <v>Sep-2024</v>
      </c>
    </row>
    <row r="4673" spans="1:10">
      <c r="A4673">
        <v>4672</v>
      </c>
      <c r="B4673">
        <v>11143</v>
      </c>
      <c r="C4673" t="s">
        <v>15</v>
      </c>
      <c r="D4673">
        <v>51486.53</v>
      </c>
      <c r="E4673" t="s">
        <v>19</v>
      </c>
      <c r="F4673">
        <v>8</v>
      </c>
      <c r="G4673" t="s">
        <v>21</v>
      </c>
      <c r="H4673" s="1">
        <v>45321</v>
      </c>
      <c r="I4673" s="1">
        <v>45329</v>
      </c>
      <c r="J4673" t="str">
        <f t="shared" si="72"/>
        <v>Jan-2024</v>
      </c>
    </row>
    <row r="4674" spans="1:10">
      <c r="A4674">
        <v>4673</v>
      </c>
      <c r="B4674">
        <v>17552</v>
      </c>
      <c r="C4674" t="s">
        <v>23</v>
      </c>
      <c r="D4674">
        <v>5818.45</v>
      </c>
      <c r="E4674" t="s">
        <v>16</v>
      </c>
      <c r="F4674">
        <v>24</v>
      </c>
      <c r="G4674" t="s">
        <v>17</v>
      </c>
      <c r="H4674" s="1">
        <v>45376</v>
      </c>
      <c r="I4674" s="1">
        <v>45400</v>
      </c>
      <c r="J4674" t="str">
        <f t="shared" si="72"/>
        <v>Mar-2024</v>
      </c>
    </row>
    <row r="4675" spans="1:10">
      <c r="A4675">
        <v>4674</v>
      </c>
      <c r="B4675">
        <v>11224</v>
      </c>
      <c r="C4675" t="s">
        <v>18</v>
      </c>
      <c r="D4675">
        <v>41669.51</v>
      </c>
      <c r="E4675" t="s">
        <v>24</v>
      </c>
      <c r="G4675" t="s">
        <v>20</v>
      </c>
      <c r="H4675" s="1">
        <v>45568</v>
      </c>
      <c r="J4675" t="str">
        <f t="shared" ref="J4675:J4738" si="73">TEXT(H4675,"mmm-yyyy")</f>
        <v>Oct-2024</v>
      </c>
    </row>
    <row r="4676" spans="1:10">
      <c r="A4676">
        <v>4675</v>
      </c>
      <c r="B4676">
        <v>14495</v>
      </c>
      <c r="C4676" t="s">
        <v>23</v>
      </c>
      <c r="D4676">
        <v>5791.81</v>
      </c>
      <c r="E4676" t="s">
        <v>16</v>
      </c>
      <c r="F4676">
        <v>15</v>
      </c>
      <c r="G4676" t="s">
        <v>25</v>
      </c>
      <c r="H4676" s="1">
        <v>45325</v>
      </c>
      <c r="I4676" s="1">
        <v>45340</v>
      </c>
      <c r="J4676" t="str">
        <f t="shared" si="73"/>
        <v>Feb-2024</v>
      </c>
    </row>
    <row r="4677" spans="1:10">
      <c r="A4677">
        <v>4676</v>
      </c>
      <c r="B4677">
        <v>18259</v>
      </c>
      <c r="C4677" t="s">
        <v>23</v>
      </c>
      <c r="D4677">
        <v>145368.5</v>
      </c>
      <c r="E4677" t="s">
        <v>16</v>
      </c>
      <c r="F4677">
        <v>43</v>
      </c>
      <c r="G4677" t="s">
        <v>21</v>
      </c>
      <c r="H4677" s="1">
        <v>45620</v>
      </c>
      <c r="I4677" s="1">
        <v>45663</v>
      </c>
      <c r="J4677" t="str">
        <f t="shared" si="73"/>
        <v>Nov-2024</v>
      </c>
    </row>
    <row r="4678" spans="1:10">
      <c r="A4678">
        <v>4677</v>
      </c>
      <c r="B4678">
        <v>19206</v>
      </c>
      <c r="C4678" t="s">
        <v>22</v>
      </c>
      <c r="D4678">
        <v>87979.19</v>
      </c>
      <c r="E4678" t="s">
        <v>16</v>
      </c>
      <c r="F4678">
        <v>29</v>
      </c>
      <c r="G4678" t="s">
        <v>17</v>
      </c>
      <c r="H4678" s="1">
        <v>45389</v>
      </c>
      <c r="I4678" s="1">
        <v>45418</v>
      </c>
      <c r="J4678" t="str">
        <f t="shared" si="73"/>
        <v>Apr-2024</v>
      </c>
    </row>
    <row r="4679" spans="1:10">
      <c r="A4679">
        <v>4678</v>
      </c>
      <c r="B4679">
        <v>10181</v>
      </c>
      <c r="C4679" t="s">
        <v>18</v>
      </c>
      <c r="D4679">
        <v>65952.070000000007</v>
      </c>
      <c r="E4679" t="s">
        <v>16</v>
      </c>
      <c r="F4679">
        <v>25</v>
      </c>
      <c r="G4679" t="s">
        <v>17</v>
      </c>
      <c r="H4679" s="1">
        <v>45367</v>
      </c>
      <c r="I4679" s="1">
        <v>45392</v>
      </c>
      <c r="J4679" t="str">
        <f t="shared" si="73"/>
        <v>Mar-2024</v>
      </c>
    </row>
    <row r="4680" spans="1:10">
      <c r="A4680">
        <v>4679</v>
      </c>
      <c r="B4680">
        <v>16332</v>
      </c>
      <c r="C4680" t="s">
        <v>23</v>
      </c>
      <c r="D4680">
        <v>153535.57</v>
      </c>
      <c r="E4680" t="s">
        <v>16</v>
      </c>
      <c r="F4680">
        <v>8</v>
      </c>
      <c r="G4680" t="s">
        <v>20</v>
      </c>
      <c r="H4680" s="1">
        <v>45466</v>
      </c>
      <c r="I4680" s="1">
        <v>45474</v>
      </c>
      <c r="J4680" t="str">
        <f t="shared" si="73"/>
        <v>Jun-2024</v>
      </c>
    </row>
    <row r="4681" spans="1:10">
      <c r="A4681">
        <v>4680</v>
      </c>
      <c r="B4681">
        <v>14946</v>
      </c>
      <c r="C4681" t="s">
        <v>18</v>
      </c>
      <c r="D4681">
        <v>167334.92000000001</v>
      </c>
      <c r="E4681" t="s">
        <v>16</v>
      </c>
      <c r="F4681">
        <v>37</v>
      </c>
      <c r="G4681" t="s">
        <v>20</v>
      </c>
      <c r="H4681" s="1">
        <v>45632</v>
      </c>
      <c r="I4681" s="1">
        <v>45669</v>
      </c>
      <c r="J4681" t="str">
        <f t="shared" si="73"/>
        <v>Dec-2024</v>
      </c>
    </row>
    <row r="4682" spans="1:10">
      <c r="A4682">
        <v>4681</v>
      </c>
      <c r="B4682">
        <v>17450</v>
      </c>
      <c r="C4682" t="s">
        <v>23</v>
      </c>
      <c r="D4682">
        <v>195183.41</v>
      </c>
      <c r="E4682" t="s">
        <v>16</v>
      </c>
      <c r="F4682">
        <v>40</v>
      </c>
      <c r="G4682" t="s">
        <v>20</v>
      </c>
      <c r="H4682" s="1">
        <v>45540</v>
      </c>
      <c r="I4682" s="1">
        <v>45580</v>
      </c>
      <c r="J4682" t="str">
        <f t="shared" si="73"/>
        <v>Sep-2024</v>
      </c>
    </row>
    <row r="4683" spans="1:10">
      <c r="A4683">
        <v>4682</v>
      </c>
      <c r="B4683">
        <v>12945</v>
      </c>
      <c r="C4683" t="s">
        <v>23</v>
      </c>
      <c r="D4683">
        <v>130192.65</v>
      </c>
      <c r="E4683" t="s">
        <v>19</v>
      </c>
      <c r="F4683">
        <v>16</v>
      </c>
      <c r="G4683" t="s">
        <v>21</v>
      </c>
      <c r="H4683" s="1">
        <v>45631</v>
      </c>
      <c r="I4683" s="1">
        <v>45647</v>
      </c>
      <c r="J4683" t="str">
        <f t="shared" si="73"/>
        <v>Dec-2024</v>
      </c>
    </row>
    <row r="4684" spans="1:10">
      <c r="A4684">
        <v>4683</v>
      </c>
      <c r="B4684">
        <v>18846</v>
      </c>
      <c r="C4684" t="s">
        <v>18</v>
      </c>
      <c r="D4684">
        <v>94998.15</v>
      </c>
      <c r="E4684" t="s">
        <v>16</v>
      </c>
      <c r="F4684">
        <v>4</v>
      </c>
      <c r="G4684" t="s">
        <v>21</v>
      </c>
      <c r="H4684" s="1">
        <v>45425</v>
      </c>
      <c r="I4684" s="1">
        <v>45429</v>
      </c>
      <c r="J4684" t="str">
        <f t="shared" si="73"/>
        <v>May-2024</v>
      </c>
    </row>
    <row r="4685" spans="1:10">
      <c r="A4685">
        <v>4684</v>
      </c>
      <c r="B4685">
        <v>13686</v>
      </c>
      <c r="C4685" t="s">
        <v>18</v>
      </c>
      <c r="D4685">
        <v>64526.54</v>
      </c>
      <c r="E4685" t="s">
        <v>16</v>
      </c>
      <c r="F4685">
        <v>3</v>
      </c>
      <c r="G4685" t="s">
        <v>20</v>
      </c>
      <c r="H4685" s="1">
        <v>45469</v>
      </c>
      <c r="I4685" s="1">
        <v>45472</v>
      </c>
      <c r="J4685" t="str">
        <f t="shared" si="73"/>
        <v>Jun-2024</v>
      </c>
    </row>
    <row r="4686" spans="1:10">
      <c r="A4686">
        <v>4685</v>
      </c>
      <c r="B4686">
        <v>12288</v>
      </c>
      <c r="C4686" t="s">
        <v>23</v>
      </c>
      <c r="D4686">
        <v>48352.05</v>
      </c>
      <c r="E4686" t="s">
        <v>16</v>
      </c>
      <c r="F4686">
        <v>8</v>
      </c>
      <c r="G4686" t="s">
        <v>25</v>
      </c>
      <c r="H4686" s="1">
        <v>45656</v>
      </c>
      <c r="I4686" s="1">
        <v>45664</v>
      </c>
      <c r="J4686" t="str">
        <f t="shared" si="73"/>
        <v>Dec-2024</v>
      </c>
    </row>
    <row r="4687" spans="1:10">
      <c r="A4687">
        <v>4686</v>
      </c>
      <c r="B4687">
        <v>12831</v>
      </c>
      <c r="C4687" t="s">
        <v>22</v>
      </c>
      <c r="D4687">
        <v>46520.56</v>
      </c>
      <c r="E4687" t="s">
        <v>19</v>
      </c>
      <c r="F4687">
        <v>17</v>
      </c>
      <c r="G4687" t="s">
        <v>17</v>
      </c>
      <c r="H4687" s="1">
        <v>45519</v>
      </c>
      <c r="I4687" s="1">
        <v>45536</v>
      </c>
      <c r="J4687" t="str">
        <f t="shared" si="73"/>
        <v>Aug-2024</v>
      </c>
    </row>
    <row r="4688" spans="1:10">
      <c r="A4688">
        <v>4687</v>
      </c>
      <c r="B4688">
        <v>18913</v>
      </c>
      <c r="C4688" t="s">
        <v>18</v>
      </c>
      <c r="D4688">
        <v>84791.93</v>
      </c>
      <c r="E4688" t="s">
        <v>19</v>
      </c>
      <c r="F4688">
        <v>22</v>
      </c>
      <c r="G4688" t="s">
        <v>17</v>
      </c>
      <c r="H4688" s="1">
        <v>45354</v>
      </c>
      <c r="I4688" s="1">
        <v>45376</v>
      </c>
      <c r="J4688" t="str">
        <f t="shared" si="73"/>
        <v>Mar-2024</v>
      </c>
    </row>
    <row r="4689" spans="1:10">
      <c r="A4689">
        <v>4688</v>
      </c>
      <c r="B4689">
        <v>13248</v>
      </c>
      <c r="C4689" t="s">
        <v>23</v>
      </c>
      <c r="D4689">
        <v>198398.34</v>
      </c>
      <c r="E4689" t="s">
        <v>16</v>
      </c>
      <c r="F4689">
        <v>10</v>
      </c>
      <c r="G4689" t="s">
        <v>21</v>
      </c>
      <c r="H4689" s="1">
        <v>45559</v>
      </c>
      <c r="I4689" s="1">
        <v>45569</v>
      </c>
      <c r="J4689" t="str">
        <f t="shared" si="73"/>
        <v>Sep-2024</v>
      </c>
    </row>
    <row r="4690" spans="1:10">
      <c r="A4690">
        <v>4689</v>
      </c>
      <c r="B4690">
        <v>19392</v>
      </c>
      <c r="C4690" t="s">
        <v>18</v>
      </c>
      <c r="D4690">
        <v>5166.47</v>
      </c>
      <c r="E4690" t="s">
        <v>16</v>
      </c>
      <c r="F4690">
        <v>13</v>
      </c>
      <c r="G4690" t="s">
        <v>17</v>
      </c>
      <c r="H4690" s="1">
        <v>45549</v>
      </c>
      <c r="I4690" s="1">
        <v>45562</v>
      </c>
      <c r="J4690" t="str">
        <f t="shared" si="73"/>
        <v>Sep-2024</v>
      </c>
    </row>
    <row r="4691" spans="1:10">
      <c r="A4691">
        <v>4690</v>
      </c>
      <c r="B4691">
        <v>18501</v>
      </c>
      <c r="C4691" t="s">
        <v>18</v>
      </c>
      <c r="D4691">
        <v>43455.15</v>
      </c>
      <c r="E4691" t="s">
        <v>16</v>
      </c>
      <c r="F4691">
        <v>30</v>
      </c>
      <c r="G4691" t="s">
        <v>25</v>
      </c>
      <c r="H4691" s="1">
        <v>45435</v>
      </c>
      <c r="I4691" s="1">
        <v>45465</v>
      </c>
      <c r="J4691" t="str">
        <f t="shared" si="73"/>
        <v>May-2024</v>
      </c>
    </row>
    <row r="4692" spans="1:10">
      <c r="A4692">
        <v>4691</v>
      </c>
      <c r="B4692">
        <v>11025</v>
      </c>
      <c r="C4692" t="s">
        <v>18</v>
      </c>
      <c r="D4692">
        <v>41736.629999999997</v>
      </c>
      <c r="E4692" t="s">
        <v>16</v>
      </c>
      <c r="F4692">
        <v>25</v>
      </c>
      <c r="G4692" t="s">
        <v>17</v>
      </c>
      <c r="H4692" s="1">
        <v>45594</v>
      </c>
      <c r="I4692" s="1">
        <v>45619</v>
      </c>
      <c r="J4692" t="str">
        <f t="shared" si="73"/>
        <v>Oct-2024</v>
      </c>
    </row>
    <row r="4693" spans="1:10">
      <c r="A4693">
        <v>4692</v>
      </c>
      <c r="B4693">
        <v>14412</v>
      </c>
      <c r="C4693" t="s">
        <v>23</v>
      </c>
      <c r="D4693">
        <v>144838.29999999999</v>
      </c>
      <c r="E4693" t="s">
        <v>16</v>
      </c>
      <c r="F4693">
        <v>34</v>
      </c>
      <c r="G4693" t="s">
        <v>21</v>
      </c>
      <c r="H4693" s="1">
        <v>45343</v>
      </c>
      <c r="I4693" s="1">
        <v>45377</v>
      </c>
      <c r="J4693" t="str">
        <f t="shared" si="73"/>
        <v>Feb-2024</v>
      </c>
    </row>
    <row r="4694" spans="1:10">
      <c r="A4694">
        <v>4693</v>
      </c>
      <c r="B4694">
        <v>15902</v>
      </c>
      <c r="C4694" t="s">
        <v>18</v>
      </c>
      <c r="D4694">
        <v>73734.52</v>
      </c>
      <c r="E4694" t="s">
        <v>24</v>
      </c>
      <c r="G4694" t="s">
        <v>21</v>
      </c>
      <c r="H4694" s="1">
        <v>45594</v>
      </c>
      <c r="J4694" t="str">
        <f t="shared" si="73"/>
        <v>Oct-2024</v>
      </c>
    </row>
    <row r="4695" spans="1:10">
      <c r="A4695">
        <v>4694</v>
      </c>
      <c r="B4695">
        <v>19724</v>
      </c>
      <c r="C4695" t="s">
        <v>23</v>
      </c>
      <c r="D4695">
        <v>94165.86</v>
      </c>
      <c r="E4695" t="s">
        <v>16</v>
      </c>
      <c r="F4695">
        <v>44</v>
      </c>
      <c r="G4695" t="s">
        <v>25</v>
      </c>
      <c r="H4695" s="1">
        <v>45390</v>
      </c>
      <c r="I4695" s="1">
        <v>45434</v>
      </c>
      <c r="J4695" t="str">
        <f t="shared" si="73"/>
        <v>Apr-2024</v>
      </c>
    </row>
    <row r="4696" spans="1:10">
      <c r="A4696">
        <v>4695</v>
      </c>
      <c r="B4696">
        <v>13643</v>
      </c>
      <c r="C4696" t="s">
        <v>15</v>
      </c>
      <c r="D4696">
        <v>33981.71</v>
      </c>
      <c r="E4696" t="s">
        <v>16</v>
      </c>
      <c r="F4696">
        <v>19</v>
      </c>
      <c r="G4696" t="s">
        <v>25</v>
      </c>
      <c r="H4696" s="1">
        <v>45597</v>
      </c>
      <c r="I4696" s="1">
        <v>45616</v>
      </c>
      <c r="J4696" t="str">
        <f t="shared" si="73"/>
        <v>Nov-2024</v>
      </c>
    </row>
    <row r="4697" spans="1:10">
      <c r="A4697">
        <v>4696</v>
      </c>
      <c r="B4697">
        <v>18559</v>
      </c>
      <c r="C4697" t="s">
        <v>18</v>
      </c>
      <c r="D4697">
        <v>83974.42</v>
      </c>
      <c r="E4697" t="s">
        <v>16</v>
      </c>
      <c r="F4697">
        <v>6</v>
      </c>
      <c r="G4697" t="s">
        <v>17</v>
      </c>
      <c r="H4697" s="1">
        <v>45336</v>
      </c>
      <c r="I4697" s="1">
        <v>45342</v>
      </c>
      <c r="J4697" t="str">
        <f t="shared" si="73"/>
        <v>Feb-2024</v>
      </c>
    </row>
    <row r="4698" spans="1:10">
      <c r="A4698">
        <v>4697</v>
      </c>
      <c r="B4698">
        <v>14650</v>
      </c>
      <c r="C4698" t="s">
        <v>23</v>
      </c>
      <c r="D4698">
        <v>25123.96</v>
      </c>
      <c r="E4698" t="s">
        <v>19</v>
      </c>
      <c r="F4698">
        <v>16</v>
      </c>
      <c r="G4698" t="s">
        <v>17</v>
      </c>
      <c r="H4698" s="1">
        <v>45333</v>
      </c>
      <c r="I4698" s="1">
        <v>45349</v>
      </c>
      <c r="J4698" t="str">
        <f t="shared" si="73"/>
        <v>Feb-2024</v>
      </c>
    </row>
    <row r="4699" spans="1:10">
      <c r="A4699">
        <v>4698</v>
      </c>
      <c r="B4699">
        <v>11249</v>
      </c>
      <c r="C4699" t="s">
        <v>18</v>
      </c>
      <c r="D4699">
        <v>108943.44</v>
      </c>
      <c r="E4699" t="s">
        <v>16</v>
      </c>
      <c r="F4699">
        <v>8</v>
      </c>
      <c r="G4699" t="s">
        <v>21</v>
      </c>
      <c r="H4699" s="1">
        <v>45618</v>
      </c>
      <c r="I4699" s="1">
        <v>45626</v>
      </c>
      <c r="J4699" t="str">
        <f t="shared" si="73"/>
        <v>Nov-2024</v>
      </c>
    </row>
    <row r="4700" spans="1:10">
      <c r="A4700">
        <v>4699</v>
      </c>
      <c r="B4700">
        <v>12983</v>
      </c>
      <c r="C4700" t="s">
        <v>22</v>
      </c>
      <c r="D4700">
        <v>24097.98</v>
      </c>
      <c r="E4700" t="s">
        <v>16</v>
      </c>
      <c r="F4700">
        <v>26</v>
      </c>
      <c r="G4700" t="s">
        <v>25</v>
      </c>
      <c r="H4700" s="1">
        <v>45348</v>
      </c>
      <c r="I4700" s="1">
        <v>45374</v>
      </c>
      <c r="J4700" t="str">
        <f t="shared" si="73"/>
        <v>Feb-2024</v>
      </c>
    </row>
    <row r="4701" spans="1:10">
      <c r="A4701">
        <v>4700</v>
      </c>
      <c r="B4701">
        <v>14575</v>
      </c>
      <c r="C4701" t="s">
        <v>22</v>
      </c>
      <c r="D4701">
        <v>159149.13</v>
      </c>
      <c r="E4701" t="s">
        <v>16</v>
      </c>
      <c r="F4701">
        <v>15</v>
      </c>
      <c r="G4701" t="s">
        <v>25</v>
      </c>
      <c r="H4701" s="1">
        <v>45324</v>
      </c>
      <c r="I4701" s="1">
        <v>45339</v>
      </c>
      <c r="J4701" t="str">
        <f t="shared" si="73"/>
        <v>Feb-2024</v>
      </c>
    </row>
    <row r="4702" spans="1:10">
      <c r="A4702">
        <v>4701</v>
      </c>
      <c r="B4702">
        <v>17447</v>
      </c>
      <c r="C4702" t="s">
        <v>23</v>
      </c>
      <c r="D4702">
        <v>115487.33</v>
      </c>
      <c r="E4702" t="s">
        <v>16</v>
      </c>
      <c r="F4702">
        <v>41</v>
      </c>
      <c r="G4702" t="s">
        <v>25</v>
      </c>
      <c r="H4702" s="1">
        <v>45405</v>
      </c>
      <c r="I4702" s="1">
        <v>45446</v>
      </c>
      <c r="J4702" t="str">
        <f t="shared" si="73"/>
        <v>Apr-2024</v>
      </c>
    </row>
    <row r="4703" spans="1:10">
      <c r="A4703">
        <v>4702</v>
      </c>
      <c r="B4703">
        <v>19131</v>
      </c>
      <c r="C4703" t="s">
        <v>23</v>
      </c>
      <c r="D4703">
        <v>146173.74</v>
      </c>
      <c r="E4703" t="s">
        <v>19</v>
      </c>
      <c r="F4703">
        <v>37</v>
      </c>
      <c r="G4703" t="s">
        <v>17</v>
      </c>
      <c r="H4703" s="1">
        <v>45591</v>
      </c>
      <c r="I4703" s="1">
        <v>45628</v>
      </c>
      <c r="J4703" t="str">
        <f t="shared" si="73"/>
        <v>Oct-2024</v>
      </c>
    </row>
    <row r="4704" spans="1:10">
      <c r="A4704">
        <v>4703</v>
      </c>
      <c r="B4704">
        <v>14109</v>
      </c>
      <c r="C4704" t="s">
        <v>18</v>
      </c>
      <c r="D4704">
        <v>86610.7</v>
      </c>
      <c r="E4704" t="s">
        <v>16</v>
      </c>
      <c r="F4704">
        <v>36</v>
      </c>
      <c r="G4704" t="s">
        <v>25</v>
      </c>
      <c r="H4704" s="1">
        <v>45405</v>
      </c>
      <c r="I4704" s="1">
        <v>45441</v>
      </c>
      <c r="J4704" t="str">
        <f t="shared" si="73"/>
        <v>Apr-2024</v>
      </c>
    </row>
    <row r="4705" spans="1:10">
      <c r="A4705">
        <v>4704</v>
      </c>
      <c r="B4705">
        <v>14023</v>
      </c>
      <c r="C4705" t="s">
        <v>23</v>
      </c>
      <c r="D4705">
        <v>79390.8</v>
      </c>
      <c r="E4705" t="s">
        <v>19</v>
      </c>
      <c r="F4705">
        <v>25</v>
      </c>
      <c r="G4705" t="s">
        <v>21</v>
      </c>
      <c r="H4705" s="1">
        <v>45347</v>
      </c>
      <c r="I4705" s="1">
        <v>45372</v>
      </c>
      <c r="J4705" t="str">
        <f t="shared" si="73"/>
        <v>Feb-2024</v>
      </c>
    </row>
    <row r="4706" spans="1:10">
      <c r="A4706">
        <v>4705</v>
      </c>
      <c r="B4706">
        <v>17969</v>
      </c>
      <c r="C4706" t="s">
        <v>22</v>
      </c>
      <c r="D4706">
        <v>24150.73</v>
      </c>
      <c r="E4706" t="s">
        <v>16</v>
      </c>
      <c r="F4706">
        <v>16</v>
      </c>
      <c r="G4706" t="s">
        <v>21</v>
      </c>
      <c r="H4706" s="1">
        <v>45335</v>
      </c>
      <c r="I4706" s="1">
        <v>45351</v>
      </c>
      <c r="J4706" t="str">
        <f t="shared" si="73"/>
        <v>Feb-2024</v>
      </c>
    </row>
    <row r="4707" spans="1:10">
      <c r="A4707">
        <v>4706</v>
      </c>
      <c r="B4707">
        <v>10589</v>
      </c>
      <c r="C4707" t="s">
        <v>23</v>
      </c>
      <c r="D4707">
        <v>107151.84</v>
      </c>
      <c r="E4707" t="s">
        <v>16</v>
      </c>
      <c r="F4707">
        <v>12</v>
      </c>
      <c r="G4707" t="s">
        <v>17</v>
      </c>
      <c r="H4707" s="1">
        <v>45503</v>
      </c>
      <c r="I4707" s="1">
        <v>45515</v>
      </c>
      <c r="J4707" t="str">
        <f t="shared" si="73"/>
        <v>Jul-2024</v>
      </c>
    </row>
    <row r="4708" spans="1:10">
      <c r="A4708">
        <v>4707</v>
      </c>
      <c r="B4708">
        <v>11782</v>
      </c>
      <c r="C4708" t="s">
        <v>23</v>
      </c>
      <c r="D4708">
        <v>105327.92</v>
      </c>
      <c r="E4708" t="s">
        <v>19</v>
      </c>
      <c r="F4708">
        <v>25</v>
      </c>
      <c r="G4708" t="s">
        <v>20</v>
      </c>
      <c r="H4708" s="1">
        <v>45643</v>
      </c>
      <c r="I4708" s="1">
        <v>45668</v>
      </c>
      <c r="J4708" t="str">
        <f t="shared" si="73"/>
        <v>Dec-2024</v>
      </c>
    </row>
    <row r="4709" spans="1:10">
      <c r="A4709">
        <v>4708</v>
      </c>
      <c r="B4709">
        <v>14568</v>
      </c>
      <c r="C4709" t="s">
        <v>23</v>
      </c>
      <c r="D4709">
        <v>96279.9</v>
      </c>
      <c r="E4709" t="s">
        <v>16</v>
      </c>
      <c r="F4709">
        <v>12</v>
      </c>
      <c r="G4709" t="s">
        <v>17</v>
      </c>
      <c r="H4709" s="1">
        <v>45620</v>
      </c>
      <c r="I4709" s="1">
        <v>45632</v>
      </c>
      <c r="J4709" t="str">
        <f t="shared" si="73"/>
        <v>Nov-2024</v>
      </c>
    </row>
    <row r="4710" spans="1:10">
      <c r="A4710">
        <v>4709</v>
      </c>
      <c r="B4710">
        <v>19399</v>
      </c>
      <c r="C4710" t="s">
        <v>23</v>
      </c>
      <c r="D4710">
        <v>149401.07999999999</v>
      </c>
      <c r="E4710" t="s">
        <v>16</v>
      </c>
      <c r="F4710">
        <v>18</v>
      </c>
      <c r="G4710" t="s">
        <v>20</v>
      </c>
      <c r="H4710" s="1">
        <v>45325</v>
      </c>
      <c r="I4710" s="1">
        <v>45343</v>
      </c>
      <c r="J4710" t="str">
        <f t="shared" si="73"/>
        <v>Feb-2024</v>
      </c>
    </row>
    <row r="4711" spans="1:10">
      <c r="A4711">
        <v>4710</v>
      </c>
      <c r="B4711">
        <v>14412</v>
      </c>
      <c r="C4711" t="s">
        <v>18</v>
      </c>
      <c r="D4711">
        <v>167338.35999999999</v>
      </c>
      <c r="E4711" t="s">
        <v>16</v>
      </c>
      <c r="F4711">
        <v>7</v>
      </c>
      <c r="G4711" t="s">
        <v>25</v>
      </c>
      <c r="H4711" s="1">
        <v>45561</v>
      </c>
      <c r="I4711" s="1">
        <v>45568</v>
      </c>
      <c r="J4711" t="str">
        <f t="shared" si="73"/>
        <v>Sep-2024</v>
      </c>
    </row>
    <row r="4712" spans="1:10">
      <c r="A4712">
        <v>4711</v>
      </c>
      <c r="B4712">
        <v>19038</v>
      </c>
      <c r="C4712" t="s">
        <v>23</v>
      </c>
      <c r="D4712">
        <v>151403.99</v>
      </c>
      <c r="E4712" t="s">
        <v>16</v>
      </c>
      <c r="F4712">
        <v>22</v>
      </c>
      <c r="G4712" t="s">
        <v>17</v>
      </c>
      <c r="H4712" s="1">
        <v>45487</v>
      </c>
      <c r="I4712" s="1">
        <v>45509</v>
      </c>
      <c r="J4712" t="str">
        <f t="shared" si="73"/>
        <v>Jul-2024</v>
      </c>
    </row>
    <row r="4713" spans="1:10">
      <c r="A4713">
        <v>4712</v>
      </c>
      <c r="B4713">
        <v>14680</v>
      </c>
      <c r="C4713" t="s">
        <v>23</v>
      </c>
      <c r="D4713">
        <v>33053.82</v>
      </c>
      <c r="E4713" t="s">
        <v>16</v>
      </c>
      <c r="F4713">
        <v>9</v>
      </c>
      <c r="G4713" t="s">
        <v>21</v>
      </c>
      <c r="H4713" s="1">
        <v>45416</v>
      </c>
      <c r="I4713" s="1">
        <v>45425</v>
      </c>
      <c r="J4713" t="str">
        <f t="shared" si="73"/>
        <v>May-2024</v>
      </c>
    </row>
    <row r="4714" spans="1:10">
      <c r="A4714">
        <v>4713</v>
      </c>
      <c r="B4714">
        <v>18990</v>
      </c>
      <c r="C4714" t="s">
        <v>23</v>
      </c>
      <c r="D4714">
        <v>126301.6</v>
      </c>
      <c r="E4714" t="s">
        <v>24</v>
      </c>
      <c r="G4714" t="s">
        <v>25</v>
      </c>
      <c r="H4714" s="1">
        <v>45370</v>
      </c>
      <c r="J4714" t="str">
        <f t="shared" si="73"/>
        <v>Mar-2024</v>
      </c>
    </row>
    <row r="4715" spans="1:10">
      <c r="A4715">
        <v>4714</v>
      </c>
      <c r="B4715">
        <v>10470</v>
      </c>
      <c r="C4715" t="s">
        <v>18</v>
      </c>
      <c r="D4715">
        <v>20663.009999999998</v>
      </c>
      <c r="E4715" t="s">
        <v>24</v>
      </c>
      <c r="G4715" t="s">
        <v>21</v>
      </c>
      <c r="H4715" s="1">
        <v>45546</v>
      </c>
      <c r="J4715" t="str">
        <f t="shared" si="73"/>
        <v>Sep-2024</v>
      </c>
    </row>
    <row r="4716" spans="1:10">
      <c r="A4716">
        <v>4715</v>
      </c>
      <c r="B4716">
        <v>14827</v>
      </c>
      <c r="C4716" t="s">
        <v>23</v>
      </c>
      <c r="D4716">
        <v>140451.35</v>
      </c>
      <c r="E4716" t="s">
        <v>16</v>
      </c>
      <c r="F4716">
        <v>11</v>
      </c>
      <c r="G4716" t="s">
        <v>25</v>
      </c>
      <c r="H4716" s="1">
        <v>45436</v>
      </c>
      <c r="I4716" s="1">
        <v>45447</v>
      </c>
      <c r="J4716" t="str">
        <f t="shared" si="73"/>
        <v>May-2024</v>
      </c>
    </row>
    <row r="4717" spans="1:10">
      <c r="A4717">
        <v>4716</v>
      </c>
      <c r="B4717">
        <v>15067</v>
      </c>
      <c r="C4717" t="s">
        <v>18</v>
      </c>
      <c r="D4717">
        <v>79458.62</v>
      </c>
      <c r="E4717" t="s">
        <v>16</v>
      </c>
      <c r="F4717">
        <v>29</v>
      </c>
      <c r="G4717" t="s">
        <v>17</v>
      </c>
      <c r="H4717" s="1">
        <v>45374</v>
      </c>
      <c r="I4717" s="1">
        <v>45403</v>
      </c>
      <c r="J4717" t="str">
        <f t="shared" si="73"/>
        <v>Mar-2024</v>
      </c>
    </row>
    <row r="4718" spans="1:10">
      <c r="A4718">
        <v>4717</v>
      </c>
      <c r="B4718">
        <v>12994</v>
      </c>
      <c r="C4718" t="s">
        <v>18</v>
      </c>
      <c r="D4718">
        <v>30837.3</v>
      </c>
      <c r="E4718" t="s">
        <v>16</v>
      </c>
      <c r="F4718">
        <v>16</v>
      </c>
      <c r="G4718" t="s">
        <v>20</v>
      </c>
      <c r="H4718" s="1">
        <v>45521</v>
      </c>
      <c r="I4718" s="1">
        <v>45537</v>
      </c>
      <c r="J4718" t="str">
        <f t="shared" si="73"/>
        <v>Aug-2024</v>
      </c>
    </row>
    <row r="4719" spans="1:10">
      <c r="A4719">
        <v>4718</v>
      </c>
      <c r="B4719">
        <v>13129</v>
      </c>
      <c r="C4719" t="s">
        <v>18</v>
      </c>
      <c r="D4719">
        <v>173099.92</v>
      </c>
      <c r="E4719" t="s">
        <v>16</v>
      </c>
      <c r="F4719">
        <v>13</v>
      </c>
      <c r="G4719" t="s">
        <v>25</v>
      </c>
      <c r="H4719" s="1">
        <v>45428</v>
      </c>
      <c r="I4719" s="1">
        <v>45441</v>
      </c>
      <c r="J4719" t="str">
        <f t="shared" si="73"/>
        <v>May-2024</v>
      </c>
    </row>
    <row r="4720" spans="1:10">
      <c r="A4720">
        <v>4719</v>
      </c>
      <c r="B4720">
        <v>16167</v>
      </c>
      <c r="C4720" t="s">
        <v>22</v>
      </c>
      <c r="D4720">
        <v>124731.63</v>
      </c>
      <c r="E4720" t="s">
        <v>16</v>
      </c>
      <c r="F4720">
        <v>44</v>
      </c>
      <c r="G4720" t="s">
        <v>20</v>
      </c>
      <c r="H4720" s="1">
        <v>45318</v>
      </c>
      <c r="I4720" s="1">
        <v>45362</v>
      </c>
      <c r="J4720" t="str">
        <f t="shared" si="73"/>
        <v>Jan-2024</v>
      </c>
    </row>
    <row r="4721" spans="1:10">
      <c r="A4721">
        <v>4720</v>
      </c>
      <c r="B4721">
        <v>11313</v>
      </c>
      <c r="C4721" t="s">
        <v>22</v>
      </c>
      <c r="D4721">
        <v>74171.37</v>
      </c>
      <c r="E4721" t="s">
        <v>16</v>
      </c>
      <c r="F4721">
        <v>19</v>
      </c>
      <c r="G4721" t="s">
        <v>25</v>
      </c>
      <c r="H4721" s="1">
        <v>45468</v>
      </c>
      <c r="I4721" s="1">
        <v>45487</v>
      </c>
      <c r="J4721" t="str">
        <f t="shared" si="73"/>
        <v>Jun-2024</v>
      </c>
    </row>
    <row r="4722" spans="1:10">
      <c r="A4722">
        <v>4721</v>
      </c>
      <c r="B4722">
        <v>16546</v>
      </c>
      <c r="C4722" t="s">
        <v>22</v>
      </c>
      <c r="D4722">
        <v>10991.8</v>
      </c>
      <c r="E4722" t="s">
        <v>16</v>
      </c>
      <c r="F4722">
        <v>38</v>
      </c>
      <c r="G4722" t="s">
        <v>21</v>
      </c>
      <c r="H4722" s="1">
        <v>45498</v>
      </c>
      <c r="I4722" s="1">
        <v>45536</v>
      </c>
      <c r="J4722" t="str">
        <f t="shared" si="73"/>
        <v>Jul-2024</v>
      </c>
    </row>
    <row r="4723" spans="1:10">
      <c r="A4723">
        <v>4722</v>
      </c>
      <c r="B4723">
        <v>19239</v>
      </c>
      <c r="C4723" t="s">
        <v>23</v>
      </c>
      <c r="D4723">
        <v>109775.5</v>
      </c>
      <c r="E4723" t="s">
        <v>16</v>
      </c>
      <c r="F4723">
        <v>25</v>
      </c>
      <c r="G4723" t="s">
        <v>21</v>
      </c>
      <c r="H4723" s="1">
        <v>45597</v>
      </c>
      <c r="I4723" s="1">
        <v>45622</v>
      </c>
      <c r="J4723" t="str">
        <f t="shared" si="73"/>
        <v>Nov-2024</v>
      </c>
    </row>
    <row r="4724" spans="1:10">
      <c r="A4724">
        <v>4723</v>
      </c>
      <c r="B4724">
        <v>19279</v>
      </c>
      <c r="C4724" t="s">
        <v>23</v>
      </c>
      <c r="D4724">
        <v>185029.05</v>
      </c>
      <c r="E4724" t="s">
        <v>16</v>
      </c>
      <c r="F4724">
        <v>38</v>
      </c>
      <c r="G4724" t="s">
        <v>25</v>
      </c>
      <c r="H4724" s="1">
        <v>45602</v>
      </c>
      <c r="I4724" s="1">
        <v>45640</v>
      </c>
      <c r="J4724" t="str">
        <f t="shared" si="73"/>
        <v>Nov-2024</v>
      </c>
    </row>
    <row r="4725" spans="1:10">
      <c r="A4725">
        <v>4724</v>
      </c>
      <c r="B4725">
        <v>17934</v>
      </c>
      <c r="C4725" t="s">
        <v>23</v>
      </c>
      <c r="D4725">
        <v>121294.07</v>
      </c>
      <c r="E4725" t="s">
        <v>16</v>
      </c>
      <c r="F4725">
        <v>30</v>
      </c>
      <c r="G4725" t="s">
        <v>20</v>
      </c>
      <c r="H4725" s="1">
        <v>45504</v>
      </c>
      <c r="I4725" s="1">
        <v>45534</v>
      </c>
      <c r="J4725" t="str">
        <f t="shared" si="73"/>
        <v>Jul-2024</v>
      </c>
    </row>
    <row r="4726" spans="1:10">
      <c r="A4726">
        <v>4725</v>
      </c>
      <c r="B4726">
        <v>15358</v>
      </c>
      <c r="C4726" t="s">
        <v>15</v>
      </c>
      <c r="D4726">
        <v>194471.87</v>
      </c>
      <c r="E4726" t="s">
        <v>19</v>
      </c>
      <c r="F4726">
        <v>11</v>
      </c>
      <c r="G4726" t="s">
        <v>17</v>
      </c>
      <c r="H4726" s="1">
        <v>45645</v>
      </c>
      <c r="I4726" s="1">
        <v>45656</v>
      </c>
      <c r="J4726" t="str">
        <f t="shared" si="73"/>
        <v>Dec-2024</v>
      </c>
    </row>
    <row r="4727" spans="1:10">
      <c r="A4727">
        <v>4726</v>
      </c>
      <c r="B4727">
        <v>10282</v>
      </c>
      <c r="C4727" t="s">
        <v>22</v>
      </c>
      <c r="D4727">
        <v>31607.97</v>
      </c>
      <c r="E4727" t="s">
        <v>16</v>
      </c>
      <c r="F4727">
        <v>15</v>
      </c>
      <c r="G4727" t="s">
        <v>17</v>
      </c>
      <c r="H4727" s="1">
        <v>45328</v>
      </c>
      <c r="I4727" s="1">
        <v>45343</v>
      </c>
      <c r="J4727" t="str">
        <f t="shared" si="73"/>
        <v>Feb-2024</v>
      </c>
    </row>
    <row r="4728" spans="1:10">
      <c r="A4728">
        <v>4727</v>
      </c>
      <c r="B4728">
        <v>17609</v>
      </c>
      <c r="C4728" t="s">
        <v>15</v>
      </c>
      <c r="D4728">
        <v>115819.5</v>
      </c>
      <c r="E4728" t="s">
        <v>16</v>
      </c>
      <c r="F4728">
        <v>17</v>
      </c>
      <c r="G4728" t="s">
        <v>21</v>
      </c>
      <c r="H4728" s="1">
        <v>45584</v>
      </c>
      <c r="I4728" s="1">
        <v>45601</v>
      </c>
      <c r="J4728" t="str">
        <f t="shared" si="73"/>
        <v>Oct-2024</v>
      </c>
    </row>
    <row r="4729" spans="1:10">
      <c r="A4729">
        <v>4728</v>
      </c>
      <c r="B4729">
        <v>11398</v>
      </c>
      <c r="C4729" t="s">
        <v>23</v>
      </c>
      <c r="D4729">
        <v>160634.38</v>
      </c>
      <c r="E4729" t="s">
        <v>16</v>
      </c>
      <c r="F4729">
        <v>38</v>
      </c>
      <c r="G4729" t="s">
        <v>17</v>
      </c>
      <c r="H4729" s="1">
        <v>45470</v>
      </c>
      <c r="I4729" s="1">
        <v>45508</v>
      </c>
      <c r="J4729" t="str">
        <f t="shared" si="73"/>
        <v>Jun-2024</v>
      </c>
    </row>
    <row r="4730" spans="1:10">
      <c r="A4730">
        <v>4729</v>
      </c>
      <c r="B4730">
        <v>12733</v>
      </c>
      <c r="C4730" t="s">
        <v>22</v>
      </c>
      <c r="D4730">
        <v>107480.44</v>
      </c>
      <c r="E4730" t="s">
        <v>16</v>
      </c>
      <c r="F4730">
        <v>12</v>
      </c>
      <c r="G4730" t="s">
        <v>21</v>
      </c>
      <c r="H4730" s="1">
        <v>45451</v>
      </c>
      <c r="I4730" s="1">
        <v>45463</v>
      </c>
      <c r="J4730" t="str">
        <f t="shared" si="73"/>
        <v>Jun-2024</v>
      </c>
    </row>
    <row r="4731" spans="1:10">
      <c r="A4731">
        <v>4730</v>
      </c>
      <c r="B4731">
        <v>14067</v>
      </c>
      <c r="C4731" t="s">
        <v>23</v>
      </c>
      <c r="D4731">
        <v>22757.94</v>
      </c>
      <c r="E4731" t="s">
        <v>16</v>
      </c>
      <c r="F4731">
        <v>27</v>
      </c>
      <c r="G4731" t="s">
        <v>17</v>
      </c>
      <c r="H4731" s="1">
        <v>45303</v>
      </c>
      <c r="I4731" s="1">
        <v>45330</v>
      </c>
      <c r="J4731" t="str">
        <f t="shared" si="73"/>
        <v>Jan-2024</v>
      </c>
    </row>
    <row r="4732" spans="1:10">
      <c r="A4732">
        <v>4731</v>
      </c>
      <c r="B4732">
        <v>12357</v>
      </c>
      <c r="C4732" t="s">
        <v>23</v>
      </c>
      <c r="D4732">
        <v>118662.77</v>
      </c>
      <c r="E4732" t="s">
        <v>16</v>
      </c>
      <c r="F4732">
        <v>41</v>
      </c>
      <c r="G4732" t="s">
        <v>25</v>
      </c>
      <c r="H4732" s="1">
        <v>45460</v>
      </c>
      <c r="I4732" s="1">
        <v>45501</v>
      </c>
      <c r="J4732" t="str">
        <f t="shared" si="73"/>
        <v>Jun-2024</v>
      </c>
    </row>
    <row r="4733" spans="1:10">
      <c r="A4733">
        <v>4732</v>
      </c>
      <c r="B4733">
        <v>13238</v>
      </c>
      <c r="C4733" t="s">
        <v>23</v>
      </c>
      <c r="D4733">
        <v>124288.89</v>
      </c>
      <c r="E4733" t="s">
        <v>24</v>
      </c>
      <c r="G4733" t="s">
        <v>21</v>
      </c>
      <c r="H4733" s="1">
        <v>45603</v>
      </c>
      <c r="J4733" t="str">
        <f t="shared" si="73"/>
        <v>Nov-2024</v>
      </c>
    </row>
    <row r="4734" spans="1:10">
      <c r="A4734">
        <v>4733</v>
      </c>
      <c r="B4734">
        <v>19964</v>
      </c>
      <c r="C4734" t="s">
        <v>23</v>
      </c>
      <c r="D4734">
        <v>147098.29999999999</v>
      </c>
      <c r="E4734" t="s">
        <v>16</v>
      </c>
      <c r="F4734">
        <v>19</v>
      </c>
      <c r="G4734" t="s">
        <v>21</v>
      </c>
      <c r="H4734" s="1">
        <v>45371</v>
      </c>
      <c r="I4734" s="1">
        <v>45390</v>
      </c>
      <c r="J4734" t="str">
        <f t="shared" si="73"/>
        <v>Mar-2024</v>
      </c>
    </row>
    <row r="4735" spans="1:10">
      <c r="A4735">
        <v>4734</v>
      </c>
      <c r="B4735">
        <v>17989</v>
      </c>
      <c r="C4735" t="s">
        <v>18</v>
      </c>
      <c r="D4735">
        <v>153436.25</v>
      </c>
      <c r="E4735" t="s">
        <v>16</v>
      </c>
      <c r="F4735">
        <v>31</v>
      </c>
      <c r="G4735" t="s">
        <v>25</v>
      </c>
      <c r="H4735" s="1">
        <v>45305</v>
      </c>
      <c r="I4735" s="1">
        <v>45336</v>
      </c>
      <c r="J4735" t="str">
        <f t="shared" si="73"/>
        <v>Jan-2024</v>
      </c>
    </row>
    <row r="4736" spans="1:10">
      <c r="A4736">
        <v>4735</v>
      </c>
      <c r="B4736">
        <v>17210</v>
      </c>
      <c r="C4736" t="s">
        <v>23</v>
      </c>
      <c r="D4736">
        <v>155300.67000000001</v>
      </c>
      <c r="E4736" t="s">
        <v>16</v>
      </c>
      <c r="F4736">
        <v>33</v>
      </c>
      <c r="G4736" t="s">
        <v>21</v>
      </c>
      <c r="H4736" s="1">
        <v>45345</v>
      </c>
      <c r="I4736" s="1">
        <v>45378</v>
      </c>
      <c r="J4736" t="str">
        <f t="shared" si="73"/>
        <v>Feb-2024</v>
      </c>
    </row>
    <row r="4737" spans="1:10">
      <c r="A4737">
        <v>4736</v>
      </c>
      <c r="B4737">
        <v>10787</v>
      </c>
      <c r="C4737" t="s">
        <v>23</v>
      </c>
      <c r="D4737">
        <v>134371.66</v>
      </c>
      <c r="E4737" t="s">
        <v>24</v>
      </c>
      <c r="G4737" t="s">
        <v>17</v>
      </c>
      <c r="H4737" s="1">
        <v>45545</v>
      </c>
      <c r="J4737" t="str">
        <f t="shared" si="73"/>
        <v>Sep-2024</v>
      </c>
    </row>
    <row r="4738" spans="1:10">
      <c r="A4738">
        <v>4737</v>
      </c>
      <c r="B4738">
        <v>18234</v>
      </c>
      <c r="C4738" t="s">
        <v>18</v>
      </c>
      <c r="D4738">
        <v>47083.18</v>
      </c>
      <c r="E4738" t="s">
        <v>19</v>
      </c>
      <c r="F4738">
        <v>13</v>
      </c>
      <c r="G4738" t="s">
        <v>17</v>
      </c>
      <c r="H4738" s="1">
        <v>45356</v>
      </c>
      <c r="I4738" s="1">
        <v>45369</v>
      </c>
      <c r="J4738" t="str">
        <f t="shared" si="73"/>
        <v>Mar-2024</v>
      </c>
    </row>
    <row r="4739" spans="1:10">
      <c r="A4739">
        <v>4738</v>
      </c>
      <c r="B4739">
        <v>15784</v>
      </c>
      <c r="C4739" t="s">
        <v>15</v>
      </c>
      <c r="D4739">
        <v>83825.97</v>
      </c>
      <c r="E4739" t="s">
        <v>19</v>
      </c>
      <c r="F4739">
        <v>14</v>
      </c>
      <c r="G4739" t="s">
        <v>21</v>
      </c>
      <c r="H4739" s="1">
        <v>45349</v>
      </c>
      <c r="I4739" s="1">
        <v>45363</v>
      </c>
      <c r="J4739" t="str">
        <f t="shared" ref="J4739:J4802" si="74">TEXT(H4739,"mmm-yyyy")</f>
        <v>Feb-2024</v>
      </c>
    </row>
    <row r="4740" spans="1:10">
      <c r="A4740">
        <v>4739</v>
      </c>
      <c r="B4740">
        <v>14643</v>
      </c>
      <c r="C4740" t="s">
        <v>18</v>
      </c>
      <c r="D4740">
        <v>156345.34</v>
      </c>
      <c r="E4740" t="s">
        <v>16</v>
      </c>
      <c r="F4740">
        <v>22</v>
      </c>
      <c r="G4740" t="s">
        <v>17</v>
      </c>
      <c r="H4740" s="1">
        <v>45387</v>
      </c>
      <c r="I4740" s="1">
        <v>45409</v>
      </c>
      <c r="J4740" t="str">
        <f t="shared" si="74"/>
        <v>Apr-2024</v>
      </c>
    </row>
    <row r="4741" spans="1:10">
      <c r="A4741">
        <v>4740</v>
      </c>
      <c r="B4741">
        <v>14321</v>
      </c>
      <c r="C4741" t="s">
        <v>23</v>
      </c>
      <c r="D4741">
        <v>190918.26</v>
      </c>
      <c r="E4741" t="s">
        <v>24</v>
      </c>
      <c r="G4741" t="s">
        <v>20</v>
      </c>
      <c r="H4741" s="1">
        <v>45312</v>
      </c>
      <c r="J4741" t="str">
        <f t="shared" si="74"/>
        <v>Jan-2024</v>
      </c>
    </row>
    <row r="4742" spans="1:10">
      <c r="A4742">
        <v>4741</v>
      </c>
      <c r="B4742">
        <v>14728</v>
      </c>
      <c r="C4742" t="s">
        <v>15</v>
      </c>
      <c r="D4742">
        <v>20394.66</v>
      </c>
      <c r="E4742" t="s">
        <v>16</v>
      </c>
      <c r="F4742">
        <v>30</v>
      </c>
      <c r="G4742" t="s">
        <v>21</v>
      </c>
      <c r="H4742" s="1">
        <v>45551</v>
      </c>
      <c r="I4742" s="1">
        <v>45581</v>
      </c>
      <c r="J4742" t="str">
        <f t="shared" si="74"/>
        <v>Sep-2024</v>
      </c>
    </row>
    <row r="4743" spans="1:10">
      <c r="A4743">
        <v>4742</v>
      </c>
      <c r="B4743">
        <v>15640</v>
      </c>
      <c r="C4743" t="s">
        <v>22</v>
      </c>
      <c r="D4743">
        <v>109429.65</v>
      </c>
      <c r="E4743" t="s">
        <v>16</v>
      </c>
      <c r="F4743">
        <v>30</v>
      </c>
      <c r="G4743" t="s">
        <v>25</v>
      </c>
      <c r="H4743" s="1">
        <v>45364</v>
      </c>
      <c r="I4743" s="1">
        <v>45394</v>
      </c>
      <c r="J4743" t="str">
        <f t="shared" si="74"/>
        <v>Mar-2024</v>
      </c>
    </row>
    <row r="4744" spans="1:10">
      <c r="A4744">
        <v>4743</v>
      </c>
      <c r="B4744">
        <v>13410</v>
      </c>
      <c r="C4744" t="s">
        <v>23</v>
      </c>
      <c r="D4744">
        <v>65941.84</v>
      </c>
      <c r="E4744" t="s">
        <v>19</v>
      </c>
      <c r="F4744">
        <v>28</v>
      </c>
      <c r="G4744" t="s">
        <v>20</v>
      </c>
      <c r="H4744" s="1">
        <v>45539</v>
      </c>
      <c r="I4744" s="1">
        <v>45567</v>
      </c>
      <c r="J4744" t="str">
        <f t="shared" si="74"/>
        <v>Sep-2024</v>
      </c>
    </row>
    <row r="4745" spans="1:10">
      <c r="A4745">
        <v>4744</v>
      </c>
      <c r="B4745">
        <v>11358</v>
      </c>
      <c r="C4745" t="s">
        <v>18</v>
      </c>
      <c r="D4745">
        <v>48951.81</v>
      </c>
      <c r="E4745" t="s">
        <v>24</v>
      </c>
      <c r="G4745" t="s">
        <v>21</v>
      </c>
      <c r="H4745" s="1">
        <v>45418</v>
      </c>
      <c r="J4745" t="str">
        <f t="shared" si="74"/>
        <v>May-2024</v>
      </c>
    </row>
    <row r="4746" spans="1:10">
      <c r="A4746">
        <v>4745</v>
      </c>
      <c r="B4746">
        <v>19396</v>
      </c>
      <c r="C4746" t="s">
        <v>23</v>
      </c>
      <c r="D4746">
        <v>103633.08</v>
      </c>
      <c r="E4746" t="s">
        <v>16</v>
      </c>
      <c r="F4746">
        <v>16</v>
      </c>
      <c r="G4746" t="s">
        <v>25</v>
      </c>
      <c r="H4746" s="1">
        <v>45337</v>
      </c>
      <c r="I4746" s="1">
        <v>45353</v>
      </c>
      <c r="J4746" t="str">
        <f t="shared" si="74"/>
        <v>Feb-2024</v>
      </c>
    </row>
    <row r="4747" spans="1:10">
      <c r="A4747">
        <v>4746</v>
      </c>
      <c r="B4747">
        <v>10537</v>
      </c>
      <c r="C4747" t="s">
        <v>23</v>
      </c>
      <c r="D4747">
        <v>123187.42</v>
      </c>
      <c r="E4747" t="s">
        <v>16</v>
      </c>
      <c r="F4747">
        <v>13</v>
      </c>
      <c r="G4747" t="s">
        <v>17</v>
      </c>
      <c r="H4747" s="1">
        <v>45559</v>
      </c>
      <c r="I4747" s="1">
        <v>45572</v>
      </c>
      <c r="J4747" t="str">
        <f t="shared" si="74"/>
        <v>Sep-2024</v>
      </c>
    </row>
    <row r="4748" spans="1:10">
      <c r="A4748">
        <v>4747</v>
      </c>
      <c r="B4748">
        <v>13868</v>
      </c>
      <c r="C4748" t="s">
        <v>18</v>
      </c>
      <c r="D4748">
        <v>6905.59</v>
      </c>
      <c r="E4748" t="s">
        <v>16</v>
      </c>
      <c r="F4748">
        <v>42</v>
      </c>
      <c r="G4748" t="s">
        <v>25</v>
      </c>
      <c r="H4748" s="1">
        <v>45419</v>
      </c>
      <c r="I4748" s="1">
        <v>45461</v>
      </c>
      <c r="J4748" t="str">
        <f t="shared" si="74"/>
        <v>May-2024</v>
      </c>
    </row>
    <row r="4749" spans="1:10">
      <c r="A4749">
        <v>4748</v>
      </c>
      <c r="B4749">
        <v>14576</v>
      </c>
      <c r="C4749" t="s">
        <v>15</v>
      </c>
      <c r="D4749">
        <v>157140.28</v>
      </c>
      <c r="E4749" t="s">
        <v>16</v>
      </c>
      <c r="F4749">
        <v>20</v>
      </c>
      <c r="G4749" t="s">
        <v>20</v>
      </c>
      <c r="H4749" s="1">
        <v>45321</v>
      </c>
      <c r="I4749" s="1">
        <v>45341</v>
      </c>
      <c r="J4749" t="str">
        <f t="shared" si="74"/>
        <v>Jan-2024</v>
      </c>
    </row>
    <row r="4750" spans="1:10">
      <c r="A4750">
        <v>4749</v>
      </c>
      <c r="B4750">
        <v>14525</v>
      </c>
      <c r="C4750" t="s">
        <v>23</v>
      </c>
      <c r="D4750">
        <v>164877.01999999999</v>
      </c>
      <c r="E4750" t="s">
        <v>16</v>
      </c>
      <c r="F4750">
        <v>13</v>
      </c>
      <c r="G4750" t="s">
        <v>17</v>
      </c>
      <c r="H4750" s="1">
        <v>45385</v>
      </c>
      <c r="I4750" s="1">
        <v>45398</v>
      </c>
      <c r="J4750" t="str">
        <f t="shared" si="74"/>
        <v>Apr-2024</v>
      </c>
    </row>
    <row r="4751" spans="1:10">
      <c r="A4751">
        <v>4750</v>
      </c>
      <c r="B4751">
        <v>13583</v>
      </c>
      <c r="C4751" t="s">
        <v>15</v>
      </c>
      <c r="D4751">
        <v>193274.61</v>
      </c>
      <c r="E4751" t="s">
        <v>24</v>
      </c>
      <c r="G4751" t="s">
        <v>21</v>
      </c>
      <c r="H4751" s="1">
        <v>45515</v>
      </c>
      <c r="J4751" t="str">
        <f t="shared" si="74"/>
        <v>Aug-2024</v>
      </c>
    </row>
    <row r="4752" spans="1:10">
      <c r="A4752">
        <v>4751</v>
      </c>
      <c r="B4752">
        <v>17898</v>
      </c>
      <c r="C4752" t="s">
        <v>15</v>
      </c>
      <c r="D4752">
        <v>40225.53</v>
      </c>
      <c r="E4752" t="s">
        <v>16</v>
      </c>
      <c r="F4752">
        <v>6</v>
      </c>
      <c r="G4752" t="s">
        <v>17</v>
      </c>
      <c r="H4752" s="1">
        <v>45607</v>
      </c>
      <c r="I4752" s="1">
        <v>45613</v>
      </c>
      <c r="J4752" t="str">
        <f t="shared" si="74"/>
        <v>Nov-2024</v>
      </c>
    </row>
    <row r="4753" spans="1:10">
      <c r="A4753">
        <v>4752</v>
      </c>
      <c r="B4753">
        <v>11350</v>
      </c>
      <c r="C4753" t="s">
        <v>22</v>
      </c>
      <c r="D4753">
        <v>120937.75</v>
      </c>
      <c r="E4753" t="s">
        <v>19</v>
      </c>
      <c r="F4753">
        <v>27</v>
      </c>
      <c r="G4753" t="s">
        <v>21</v>
      </c>
      <c r="H4753" s="1">
        <v>45391</v>
      </c>
      <c r="I4753" s="1">
        <v>45418</v>
      </c>
      <c r="J4753" t="str">
        <f t="shared" si="74"/>
        <v>Apr-2024</v>
      </c>
    </row>
    <row r="4754" spans="1:10">
      <c r="A4754">
        <v>4753</v>
      </c>
      <c r="B4754">
        <v>19136</v>
      </c>
      <c r="C4754" t="s">
        <v>23</v>
      </c>
      <c r="D4754">
        <v>88191.95</v>
      </c>
      <c r="E4754" t="s">
        <v>19</v>
      </c>
      <c r="F4754">
        <v>11</v>
      </c>
      <c r="G4754" t="s">
        <v>21</v>
      </c>
      <c r="H4754" s="1">
        <v>45362</v>
      </c>
      <c r="I4754" s="1">
        <v>45373</v>
      </c>
      <c r="J4754" t="str">
        <f t="shared" si="74"/>
        <v>Mar-2024</v>
      </c>
    </row>
    <row r="4755" spans="1:10">
      <c r="A4755">
        <v>4754</v>
      </c>
      <c r="B4755">
        <v>13856</v>
      </c>
      <c r="C4755" t="s">
        <v>22</v>
      </c>
      <c r="D4755">
        <v>70291.429999999993</v>
      </c>
      <c r="E4755" t="s">
        <v>16</v>
      </c>
      <c r="F4755">
        <v>23</v>
      </c>
      <c r="G4755" t="s">
        <v>25</v>
      </c>
      <c r="H4755" s="1">
        <v>45372</v>
      </c>
      <c r="I4755" s="1">
        <v>45395</v>
      </c>
      <c r="J4755" t="str">
        <f t="shared" si="74"/>
        <v>Mar-2024</v>
      </c>
    </row>
    <row r="4756" spans="1:10">
      <c r="A4756">
        <v>4755</v>
      </c>
      <c r="B4756">
        <v>12625</v>
      </c>
      <c r="C4756" t="s">
        <v>23</v>
      </c>
      <c r="D4756">
        <v>115298.52</v>
      </c>
      <c r="E4756" t="s">
        <v>19</v>
      </c>
      <c r="F4756">
        <v>40</v>
      </c>
      <c r="G4756" t="s">
        <v>25</v>
      </c>
      <c r="H4756" s="1">
        <v>45591</v>
      </c>
      <c r="I4756" s="1">
        <v>45631</v>
      </c>
      <c r="J4756" t="str">
        <f t="shared" si="74"/>
        <v>Oct-2024</v>
      </c>
    </row>
    <row r="4757" spans="1:10">
      <c r="A4757">
        <v>4756</v>
      </c>
      <c r="B4757">
        <v>14307</v>
      </c>
      <c r="C4757" t="s">
        <v>18</v>
      </c>
      <c r="D4757">
        <v>157564.70000000001</v>
      </c>
      <c r="E4757" t="s">
        <v>16</v>
      </c>
      <c r="F4757">
        <v>24</v>
      </c>
      <c r="G4757" t="s">
        <v>25</v>
      </c>
      <c r="H4757" s="1">
        <v>45399</v>
      </c>
      <c r="I4757" s="1">
        <v>45423</v>
      </c>
      <c r="J4757" t="str">
        <f t="shared" si="74"/>
        <v>Apr-2024</v>
      </c>
    </row>
    <row r="4758" spans="1:10">
      <c r="A4758">
        <v>4757</v>
      </c>
      <c r="B4758">
        <v>19042</v>
      </c>
      <c r="C4758" t="s">
        <v>23</v>
      </c>
      <c r="D4758">
        <v>9495.2900000000009</v>
      </c>
      <c r="E4758" t="s">
        <v>16</v>
      </c>
      <c r="F4758">
        <v>12</v>
      </c>
      <c r="G4758" t="s">
        <v>20</v>
      </c>
      <c r="H4758" s="1">
        <v>45393</v>
      </c>
      <c r="I4758" s="1">
        <v>45405</v>
      </c>
      <c r="J4758" t="str">
        <f t="shared" si="74"/>
        <v>Apr-2024</v>
      </c>
    </row>
    <row r="4759" spans="1:10">
      <c r="A4759">
        <v>4758</v>
      </c>
      <c r="B4759">
        <v>12925</v>
      </c>
      <c r="C4759" t="s">
        <v>23</v>
      </c>
      <c r="D4759">
        <v>194033.02</v>
      </c>
      <c r="E4759" t="s">
        <v>16</v>
      </c>
      <c r="F4759">
        <v>29</v>
      </c>
      <c r="G4759" t="s">
        <v>20</v>
      </c>
      <c r="H4759" s="1">
        <v>45382</v>
      </c>
      <c r="I4759" s="1">
        <v>45411</v>
      </c>
      <c r="J4759" t="str">
        <f t="shared" si="74"/>
        <v>Mar-2024</v>
      </c>
    </row>
    <row r="4760" spans="1:10">
      <c r="A4760">
        <v>4759</v>
      </c>
      <c r="B4760">
        <v>19187</v>
      </c>
      <c r="C4760" t="s">
        <v>18</v>
      </c>
      <c r="D4760">
        <v>162926.91</v>
      </c>
      <c r="E4760" t="s">
        <v>16</v>
      </c>
      <c r="F4760">
        <v>32</v>
      </c>
      <c r="G4760" t="s">
        <v>25</v>
      </c>
      <c r="H4760" s="1">
        <v>45656</v>
      </c>
      <c r="I4760" s="1">
        <v>45688</v>
      </c>
      <c r="J4760" t="str">
        <f t="shared" si="74"/>
        <v>Dec-2024</v>
      </c>
    </row>
    <row r="4761" spans="1:10">
      <c r="A4761">
        <v>4760</v>
      </c>
      <c r="B4761">
        <v>16714</v>
      </c>
      <c r="C4761" t="s">
        <v>23</v>
      </c>
      <c r="D4761">
        <v>151474.97</v>
      </c>
      <c r="E4761" t="s">
        <v>19</v>
      </c>
      <c r="F4761">
        <v>9</v>
      </c>
      <c r="G4761" t="s">
        <v>20</v>
      </c>
      <c r="H4761" s="1">
        <v>45307</v>
      </c>
      <c r="I4761" s="1">
        <v>45316</v>
      </c>
      <c r="J4761" t="str">
        <f t="shared" si="74"/>
        <v>Jan-2024</v>
      </c>
    </row>
    <row r="4762" spans="1:10">
      <c r="A4762">
        <v>4761</v>
      </c>
      <c r="B4762">
        <v>17197</v>
      </c>
      <c r="C4762" t="s">
        <v>23</v>
      </c>
      <c r="D4762">
        <v>153275.54</v>
      </c>
      <c r="E4762" t="s">
        <v>24</v>
      </c>
      <c r="G4762" t="s">
        <v>17</v>
      </c>
      <c r="H4762" s="1">
        <v>45401</v>
      </c>
      <c r="J4762" t="str">
        <f t="shared" si="74"/>
        <v>Apr-2024</v>
      </c>
    </row>
    <row r="4763" spans="1:10">
      <c r="A4763">
        <v>4762</v>
      </c>
      <c r="B4763">
        <v>16006</v>
      </c>
      <c r="C4763" t="s">
        <v>23</v>
      </c>
      <c r="D4763">
        <v>80866.84</v>
      </c>
      <c r="E4763" t="s">
        <v>16</v>
      </c>
      <c r="F4763">
        <v>29</v>
      </c>
      <c r="G4763" t="s">
        <v>17</v>
      </c>
      <c r="H4763" s="1">
        <v>45554</v>
      </c>
      <c r="I4763" s="1">
        <v>45583</v>
      </c>
      <c r="J4763" t="str">
        <f t="shared" si="74"/>
        <v>Sep-2024</v>
      </c>
    </row>
    <row r="4764" spans="1:10">
      <c r="A4764">
        <v>4763</v>
      </c>
      <c r="B4764">
        <v>18541</v>
      </c>
      <c r="C4764" t="s">
        <v>18</v>
      </c>
      <c r="D4764">
        <v>151566.01</v>
      </c>
      <c r="E4764" t="s">
        <v>19</v>
      </c>
      <c r="F4764">
        <v>17</v>
      </c>
      <c r="G4764" t="s">
        <v>20</v>
      </c>
      <c r="H4764" s="1">
        <v>45451</v>
      </c>
      <c r="I4764" s="1">
        <v>45468</v>
      </c>
      <c r="J4764" t="str">
        <f t="shared" si="74"/>
        <v>Jun-2024</v>
      </c>
    </row>
    <row r="4765" spans="1:10">
      <c r="A4765">
        <v>4764</v>
      </c>
      <c r="B4765">
        <v>11537</v>
      </c>
      <c r="C4765" t="s">
        <v>23</v>
      </c>
      <c r="D4765">
        <v>80420.19</v>
      </c>
      <c r="E4765" t="s">
        <v>16</v>
      </c>
      <c r="F4765">
        <v>32</v>
      </c>
      <c r="G4765" t="s">
        <v>20</v>
      </c>
      <c r="H4765" s="1">
        <v>45544</v>
      </c>
      <c r="I4765" s="1">
        <v>45576</v>
      </c>
      <c r="J4765" t="str">
        <f t="shared" si="74"/>
        <v>Sep-2024</v>
      </c>
    </row>
    <row r="4766" spans="1:10">
      <c r="A4766">
        <v>4765</v>
      </c>
      <c r="B4766">
        <v>12728</v>
      </c>
      <c r="C4766" t="s">
        <v>15</v>
      </c>
      <c r="D4766">
        <v>180247.83</v>
      </c>
      <c r="E4766" t="s">
        <v>19</v>
      </c>
      <c r="F4766">
        <v>42</v>
      </c>
      <c r="G4766" t="s">
        <v>17</v>
      </c>
      <c r="H4766" s="1">
        <v>45380</v>
      </c>
      <c r="I4766" s="1">
        <v>45422</v>
      </c>
      <c r="J4766" t="str">
        <f t="shared" si="74"/>
        <v>Mar-2024</v>
      </c>
    </row>
    <row r="4767" spans="1:10">
      <c r="A4767">
        <v>4766</v>
      </c>
      <c r="B4767">
        <v>17381</v>
      </c>
      <c r="C4767" t="s">
        <v>23</v>
      </c>
      <c r="D4767">
        <v>39558.36</v>
      </c>
      <c r="E4767" t="s">
        <v>16</v>
      </c>
      <c r="F4767">
        <v>17</v>
      </c>
      <c r="G4767" t="s">
        <v>21</v>
      </c>
      <c r="H4767" s="1">
        <v>45386</v>
      </c>
      <c r="I4767" s="1">
        <v>45403</v>
      </c>
      <c r="J4767" t="str">
        <f t="shared" si="74"/>
        <v>Apr-2024</v>
      </c>
    </row>
    <row r="4768" spans="1:10">
      <c r="A4768">
        <v>4767</v>
      </c>
      <c r="B4768">
        <v>14346</v>
      </c>
      <c r="C4768" t="s">
        <v>23</v>
      </c>
      <c r="D4768">
        <v>62007.75</v>
      </c>
      <c r="E4768" t="s">
        <v>16</v>
      </c>
      <c r="F4768">
        <v>6</v>
      </c>
      <c r="G4768" t="s">
        <v>17</v>
      </c>
      <c r="H4768" s="1">
        <v>45563</v>
      </c>
      <c r="I4768" s="1">
        <v>45569</v>
      </c>
      <c r="J4768" t="str">
        <f t="shared" si="74"/>
        <v>Sep-2024</v>
      </c>
    </row>
    <row r="4769" spans="1:10">
      <c r="A4769">
        <v>4768</v>
      </c>
      <c r="B4769">
        <v>12366</v>
      </c>
      <c r="C4769" t="s">
        <v>23</v>
      </c>
      <c r="D4769">
        <v>112510.82</v>
      </c>
      <c r="E4769" t="s">
        <v>16</v>
      </c>
      <c r="F4769">
        <v>36</v>
      </c>
      <c r="G4769" t="s">
        <v>17</v>
      </c>
      <c r="H4769" s="1">
        <v>45538</v>
      </c>
      <c r="I4769" s="1">
        <v>45574</v>
      </c>
      <c r="J4769" t="str">
        <f t="shared" si="74"/>
        <v>Sep-2024</v>
      </c>
    </row>
    <row r="4770" spans="1:10">
      <c r="A4770">
        <v>4769</v>
      </c>
      <c r="B4770">
        <v>17028</v>
      </c>
      <c r="C4770" t="s">
        <v>23</v>
      </c>
      <c r="D4770">
        <v>67246.149999999994</v>
      </c>
      <c r="E4770" t="s">
        <v>16</v>
      </c>
      <c r="F4770">
        <v>26</v>
      </c>
      <c r="G4770" t="s">
        <v>20</v>
      </c>
      <c r="H4770" s="1">
        <v>45652</v>
      </c>
      <c r="I4770" s="1">
        <v>45678</v>
      </c>
      <c r="J4770" t="str">
        <f t="shared" si="74"/>
        <v>Dec-2024</v>
      </c>
    </row>
    <row r="4771" spans="1:10">
      <c r="A4771">
        <v>4770</v>
      </c>
      <c r="B4771">
        <v>16868</v>
      </c>
      <c r="C4771" t="s">
        <v>23</v>
      </c>
      <c r="D4771">
        <v>87726.26</v>
      </c>
      <c r="E4771" t="s">
        <v>16</v>
      </c>
      <c r="F4771">
        <v>14</v>
      </c>
      <c r="G4771" t="s">
        <v>17</v>
      </c>
      <c r="H4771" s="1">
        <v>45497</v>
      </c>
      <c r="I4771" s="1">
        <v>45511</v>
      </c>
      <c r="J4771" t="str">
        <f t="shared" si="74"/>
        <v>Jul-2024</v>
      </c>
    </row>
    <row r="4772" spans="1:10">
      <c r="A4772">
        <v>4771</v>
      </c>
      <c r="B4772">
        <v>13875</v>
      </c>
      <c r="C4772" t="s">
        <v>23</v>
      </c>
      <c r="D4772">
        <v>101022.42</v>
      </c>
      <c r="E4772" t="s">
        <v>24</v>
      </c>
      <c r="G4772" t="s">
        <v>20</v>
      </c>
      <c r="H4772" s="1">
        <v>45636</v>
      </c>
      <c r="J4772" t="str">
        <f t="shared" si="74"/>
        <v>Dec-2024</v>
      </c>
    </row>
    <row r="4773" spans="1:10">
      <c r="A4773">
        <v>4772</v>
      </c>
      <c r="B4773">
        <v>16041</v>
      </c>
      <c r="C4773" t="s">
        <v>22</v>
      </c>
      <c r="D4773">
        <v>171988.9</v>
      </c>
      <c r="E4773" t="s">
        <v>16</v>
      </c>
      <c r="F4773">
        <v>28</v>
      </c>
      <c r="G4773" t="s">
        <v>20</v>
      </c>
      <c r="H4773" s="1">
        <v>45609</v>
      </c>
      <c r="I4773" s="1">
        <v>45637</v>
      </c>
      <c r="J4773" t="str">
        <f t="shared" si="74"/>
        <v>Nov-2024</v>
      </c>
    </row>
    <row r="4774" spans="1:10">
      <c r="A4774">
        <v>4773</v>
      </c>
      <c r="B4774">
        <v>13601</v>
      </c>
      <c r="C4774" t="s">
        <v>18</v>
      </c>
      <c r="D4774">
        <v>107022.49</v>
      </c>
      <c r="E4774" t="s">
        <v>24</v>
      </c>
      <c r="G4774" t="s">
        <v>25</v>
      </c>
      <c r="H4774" s="1">
        <v>45577</v>
      </c>
      <c r="J4774" t="str">
        <f t="shared" si="74"/>
        <v>Oct-2024</v>
      </c>
    </row>
    <row r="4775" spans="1:10">
      <c r="A4775">
        <v>4774</v>
      </c>
      <c r="B4775">
        <v>14174</v>
      </c>
      <c r="C4775" t="s">
        <v>23</v>
      </c>
      <c r="D4775">
        <v>75679.67</v>
      </c>
      <c r="E4775" t="s">
        <v>19</v>
      </c>
      <c r="F4775">
        <v>18</v>
      </c>
      <c r="G4775" t="s">
        <v>17</v>
      </c>
      <c r="H4775" s="1">
        <v>45539</v>
      </c>
      <c r="I4775" s="1">
        <v>45557</v>
      </c>
      <c r="J4775" t="str">
        <f t="shared" si="74"/>
        <v>Sep-2024</v>
      </c>
    </row>
    <row r="4776" spans="1:10">
      <c r="A4776">
        <v>4775</v>
      </c>
      <c r="B4776">
        <v>10923</v>
      </c>
      <c r="C4776" t="s">
        <v>23</v>
      </c>
      <c r="D4776">
        <v>53308.55</v>
      </c>
      <c r="E4776" t="s">
        <v>16</v>
      </c>
      <c r="F4776">
        <v>38</v>
      </c>
      <c r="G4776" t="s">
        <v>21</v>
      </c>
      <c r="H4776" s="1">
        <v>45358</v>
      </c>
      <c r="I4776" s="1">
        <v>45396</v>
      </c>
      <c r="J4776" t="str">
        <f t="shared" si="74"/>
        <v>Mar-2024</v>
      </c>
    </row>
    <row r="4777" spans="1:10">
      <c r="A4777">
        <v>4776</v>
      </c>
      <c r="B4777">
        <v>10618</v>
      </c>
      <c r="C4777" t="s">
        <v>15</v>
      </c>
      <c r="D4777">
        <v>84691.82</v>
      </c>
      <c r="E4777" t="s">
        <v>16</v>
      </c>
      <c r="F4777">
        <v>39</v>
      </c>
      <c r="G4777" t="s">
        <v>25</v>
      </c>
      <c r="H4777" s="1">
        <v>45337</v>
      </c>
      <c r="I4777" s="1">
        <v>45376</v>
      </c>
      <c r="J4777" t="str">
        <f t="shared" si="74"/>
        <v>Feb-2024</v>
      </c>
    </row>
    <row r="4778" spans="1:10">
      <c r="A4778">
        <v>4777</v>
      </c>
      <c r="B4778">
        <v>14400</v>
      </c>
      <c r="C4778" t="s">
        <v>23</v>
      </c>
      <c r="D4778">
        <v>105568.54</v>
      </c>
      <c r="E4778" t="s">
        <v>19</v>
      </c>
      <c r="F4778">
        <v>30</v>
      </c>
      <c r="G4778" t="s">
        <v>20</v>
      </c>
      <c r="H4778" s="1">
        <v>45334</v>
      </c>
      <c r="I4778" s="1">
        <v>45364</v>
      </c>
      <c r="J4778" t="str">
        <f t="shared" si="74"/>
        <v>Feb-2024</v>
      </c>
    </row>
    <row r="4779" spans="1:10">
      <c r="A4779">
        <v>4778</v>
      </c>
      <c r="B4779">
        <v>16342</v>
      </c>
      <c r="C4779" t="s">
        <v>23</v>
      </c>
      <c r="D4779">
        <v>150492.4</v>
      </c>
      <c r="E4779" t="s">
        <v>16</v>
      </c>
      <c r="F4779">
        <v>35</v>
      </c>
      <c r="G4779" t="s">
        <v>20</v>
      </c>
      <c r="H4779" s="1">
        <v>45520</v>
      </c>
      <c r="I4779" s="1">
        <v>45555</v>
      </c>
      <c r="J4779" t="str">
        <f t="shared" si="74"/>
        <v>Aug-2024</v>
      </c>
    </row>
    <row r="4780" spans="1:10">
      <c r="A4780">
        <v>4779</v>
      </c>
      <c r="B4780">
        <v>13303</v>
      </c>
      <c r="C4780" t="s">
        <v>18</v>
      </c>
      <c r="D4780">
        <v>28604.51</v>
      </c>
      <c r="E4780" t="s">
        <v>16</v>
      </c>
      <c r="F4780">
        <v>31</v>
      </c>
      <c r="G4780" t="s">
        <v>21</v>
      </c>
      <c r="H4780" s="1">
        <v>45592</v>
      </c>
      <c r="I4780" s="1">
        <v>45623</v>
      </c>
      <c r="J4780" t="str">
        <f t="shared" si="74"/>
        <v>Oct-2024</v>
      </c>
    </row>
    <row r="4781" spans="1:10">
      <c r="A4781">
        <v>4780</v>
      </c>
      <c r="B4781">
        <v>19239</v>
      </c>
      <c r="C4781" t="s">
        <v>18</v>
      </c>
      <c r="D4781">
        <v>48213.79</v>
      </c>
      <c r="E4781" t="s">
        <v>16</v>
      </c>
      <c r="F4781">
        <v>32</v>
      </c>
      <c r="G4781" t="s">
        <v>20</v>
      </c>
      <c r="H4781" s="1">
        <v>45525</v>
      </c>
      <c r="I4781" s="1">
        <v>45557</v>
      </c>
      <c r="J4781" t="str">
        <f t="shared" si="74"/>
        <v>Aug-2024</v>
      </c>
    </row>
    <row r="4782" spans="1:10">
      <c r="A4782">
        <v>4781</v>
      </c>
      <c r="B4782">
        <v>19890</v>
      </c>
      <c r="C4782" t="s">
        <v>18</v>
      </c>
      <c r="D4782">
        <v>79032.53</v>
      </c>
      <c r="E4782" t="s">
        <v>16</v>
      </c>
      <c r="F4782">
        <v>23</v>
      </c>
      <c r="G4782" t="s">
        <v>17</v>
      </c>
      <c r="H4782" s="1">
        <v>45490</v>
      </c>
      <c r="I4782" s="1">
        <v>45513</v>
      </c>
      <c r="J4782" t="str">
        <f t="shared" si="74"/>
        <v>Jul-2024</v>
      </c>
    </row>
    <row r="4783" spans="1:10">
      <c r="A4783">
        <v>4782</v>
      </c>
      <c r="B4783">
        <v>15580</v>
      </c>
      <c r="C4783" t="s">
        <v>23</v>
      </c>
      <c r="D4783">
        <v>75277.69</v>
      </c>
      <c r="E4783" t="s">
        <v>24</v>
      </c>
      <c r="G4783" t="s">
        <v>25</v>
      </c>
      <c r="H4783" s="1">
        <v>45627</v>
      </c>
      <c r="J4783" t="str">
        <f t="shared" si="74"/>
        <v>Dec-2024</v>
      </c>
    </row>
    <row r="4784" spans="1:10">
      <c r="A4784">
        <v>4783</v>
      </c>
      <c r="B4784">
        <v>17600</v>
      </c>
      <c r="C4784" t="s">
        <v>23</v>
      </c>
      <c r="D4784">
        <v>81390.880000000005</v>
      </c>
      <c r="E4784" t="s">
        <v>16</v>
      </c>
      <c r="F4784">
        <v>5</v>
      </c>
      <c r="G4784" t="s">
        <v>20</v>
      </c>
      <c r="H4784" s="1">
        <v>45323</v>
      </c>
      <c r="I4784" s="1">
        <v>45328</v>
      </c>
      <c r="J4784" t="str">
        <f t="shared" si="74"/>
        <v>Feb-2024</v>
      </c>
    </row>
    <row r="4785" spans="1:10">
      <c r="A4785">
        <v>4784</v>
      </c>
      <c r="B4785">
        <v>18122</v>
      </c>
      <c r="C4785" t="s">
        <v>18</v>
      </c>
      <c r="D4785">
        <v>159736.65</v>
      </c>
      <c r="E4785" t="s">
        <v>16</v>
      </c>
      <c r="F4785">
        <v>36</v>
      </c>
      <c r="G4785" t="s">
        <v>20</v>
      </c>
      <c r="H4785" s="1">
        <v>45555</v>
      </c>
      <c r="I4785" s="1">
        <v>45591</v>
      </c>
      <c r="J4785" t="str">
        <f t="shared" si="74"/>
        <v>Sep-2024</v>
      </c>
    </row>
    <row r="4786" spans="1:10">
      <c r="A4786">
        <v>4785</v>
      </c>
      <c r="B4786">
        <v>10082</v>
      </c>
      <c r="C4786" t="s">
        <v>23</v>
      </c>
      <c r="D4786">
        <v>68210.11</v>
      </c>
      <c r="E4786" t="s">
        <v>16</v>
      </c>
      <c r="F4786">
        <v>42</v>
      </c>
      <c r="G4786" t="s">
        <v>21</v>
      </c>
      <c r="H4786" s="1">
        <v>45404</v>
      </c>
      <c r="I4786" s="1">
        <v>45446</v>
      </c>
      <c r="J4786" t="str">
        <f t="shared" si="74"/>
        <v>Apr-2024</v>
      </c>
    </row>
    <row r="4787" spans="1:10">
      <c r="A4787">
        <v>4786</v>
      </c>
      <c r="B4787">
        <v>10092</v>
      </c>
      <c r="C4787" t="s">
        <v>18</v>
      </c>
      <c r="D4787">
        <v>102870.15</v>
      </c>
      <c r="E4787" t="s">
        <v>19</v>
      </c>
      <c r="F4787">
        <v>10</v>
      </c>
      <c r="G4787" t="s">
        <v>17</v>
      </c>
      <c r="H4787" s="1">
        <v>45609</v>
      </c>
      <c r="I4787" s="1">
        <v>45619</v>
      </c>
      <c r="J4787" t="str">
        <f t="shared" si="74"/>
        <v>Nov-2024</v>
      </c>
    </row>
    <row r="4788" spans="1:10">
      <c r="A4788">
        <v>4787</v>
      </c>
      <c r="B4788">
        <v>16760</v>
      </c>
      <c r="C4788" t="s">
        <v>18</v>
      </c>
      <c r="D4788">
        <v>126661.87</v>
      </c>
      <c r="E4788" t="s">
        <v>19</v>
      </c>
      <c r="F4788">
        <v>27</v>
      </c>
      <c r="G4788" t="s">
        <v>20</v>
      </c>
      <c r="H4788" s="1">
        <v>45567</v>
      </c>
      <c r="I4788" s="1">
        <v>45594</v>
      </c>
      <c r="J4788" t="str">
        <f t="shared" si="74"/>
        <v>Oct-2024</v>
      </c>
    </row>
    <row r="4789" spans="1:10">
      <c r="A4789">
        <v>4788</v>
      </c>
      <c r="B4789">
        <v>17375</v>
      </c>
      <c r="C4789" t="s">
        <v>23</v>
      </c>
      <c r="D4789">
        <v>50274.82</v>
      </c>
      <c r="E4789" t="s">
        <v>16</v>
      </c>
      <c r="F4789">
        <v>28</v>
      </c>
      <c r="G4789" t="s">
        <v>21</v>
      </c>
      <c r="H4789" s="1">
        <v>45437</v>
      </c>
      <c r="I4789" s="1">
        <v>45465</v>
      </c>
      <c r="J4789" t="str">
        <f t="shared" si="74"/>
        <v>May-2024</v>
      </c>
    </row>
    <row r="4790" spans="1:10">
      <c r="A4790">
        <v>4789</v>
      </c>
      <c r="B4790">
        <v>17837</v>
      </c>
      <c r="C4790" t="s">
        <v>22</v>
      </c>
      <c r="D4790">
        <v>145145.60000000001</v>
      </c>
      <c r="E4790" t="s">
        <v>16</v>
      </c>
      <c r="F4790">
        <v>28</v>
      </c>
      <c r="G4790" t="s">
        <v>20</v>
      </c>
      <c r="H4790" s="1">
        <v>45648</v>
      </c>
      <c r="I4790" s="1">
        <v>45676</v>
      </c>
      <c r="J4790" t="str">
        <f t="shared" si="74"/>
        <v>Dec-2024</v>
      </c>
    </row>
    <row r="4791" spans="1:10">
      <c r="A4791">
        <v>4790</v>
      </c>
      <c r="B4791">
        <v>16724</v>
      </c>
      <c r="C4791" t="s">
        <v>15</v>
      </c>
      <c r="D4791">
        <v>111686.71</v>
      </c>
      <c r="E4791" t="s">
        <v>16</v>
      </c>
      <c r="F4791">
        <v>19</v>
      </c>
      <c r="G4791" t="s">
        <v>21</v>
      </c>
      <c r="H4791" s="1">
        <v>45297</v>
      </c>
      <c r="I4791" s="1">
        <v>45316</v>
      </c>
      <c r="J4791" t="str">
        <f t="shared" si="74"/>
        <v>Jan-2024</v>
      </c>
    </row>
    <row r="4792" spans="1:10">
      <c r="A4792">
        <v>4791</v>
      </c>
      <c r="B4792">
        <v>13048</v>
      </c>
      <c r="C4792" t="s">
        <v>18</v>
      </c>
      <c r="D4792">
        <v>92122.33</v>
      </c>
      <c r="E4792" t="s">
        <v>16</v>
      </c>
      <c r="F4792">
        <v>31</v>
      </c>
      <c r="G4792" t="s">
        <v>21</v>
      </c>
      <c r="H4792" s="1">
        <v>45631</v>
      </c>
      <c r="I4792" s="1">
        <v>45662</v>
      </c>
      <c r="J4792" t="str">
        <f t="shared" si="74"/>
        <v>Dec-2024</v>
      </c>
    </row>
    <row r="4793" spans="1:10">
      <c r="A4793">
        <v>4792</v>
      </c>
      <c r="B4793">
        <v>11467</v>
      </c>
      <c r="C4793" t="s">
        <v>23</v>
      </c>
      <c r="D4793">
        <v>162907.89000000001</v>
      </c>
      <c r="E4793" t="s">
        <v>16</v>
      </c>
      <c r="F4793">
        <v>32</v>
      </c>
      <c r="G4793" t="s">
        <v>17</v>
      </c>
      <c r="H4793" s="1">
        <v>45399</v>
      </c>
      <c r="I4793" s="1">
        <v>45431</v>
      </c>
      <c r="J4793" t="str">
        <f t="shared" si="74"/>
        <v>Apr-2024</v>
      </c>
    </row>
    <row r="4794" spans="1:10">
      <c r="A4794">
        <v>4793</v>
      </c>
      <c r="B4794">
        <v>15489</v>
      </c>
      <c r="C4794" t="s">
        <v>23</v>
      </c>
      <c r="D4794">
        <v>52481.58</v>
      </c>
      <c r="E4794" t="s">
        <v>24</v>
      </c>
      <c r="G4794" t="s">
        <v>20</v>
      </c>
      <c r="H4794" s="1">
        <v>45551</v>
      </c>
      <c r="J4794" t="str">
        <f t="shared" si="74"/>
        <v>Sep-2024</v>
      </c>
    </row>
    <row r="4795" spans="1:10">
      <c r="A4795">
        <v>4794</v>
      </c>
      <c r="B4795">
        <v>12698</v>
      </c>
      <c r="C4795" t="s">
        <v>23</v>
      </c>
      <c r="D4795">
        <v>177219.31</v>
      </c>
      <c r="E4795" t="s">
        <v>16</v>
      </c>
      <c r="F4795">
        <v>4</v>
      </c>
      <c r="G4795" t="s">
        <v>17</v>
      </c>
      <c r="H4795" s="1">
        <v>45362</v>
      </c>
      <c r="I4795" s="1">
        <v>45366</v>
      </c>
      <c r="J4795" t="str">
        <f t="shared" si="74"/>
        <v>Mar-2024</v>
      </c>
    </row>
    <row r="4796" spans="1:10">
      <c r="A4796">
        <v>4795</v>
      </c>
      <c r="B4796">
        <v>18983</v>
      </c>
      <c r="C4796" t="s">
        <v>23</v>
      </c>
      <c r="D4796">
        <v>114404.5</v>
      </c>
      <c r="E4796" t="s">
        <v>16</v>
      </c>
      <c r="F4796">
        <v>30</v>
      </c>
      <c r="G4796" t="s">
        <v>21</v>
      </c>
      <c r="H4796" s="1">
        <v>45631</v>
      </c>
      <c r="I4796" s="1">
        <v>45661</v>
      </c>
      <c r="J4796" t="str">
        <f t="shared" si="74"/>
        <v>Dec-2024</v>
      </c>
    </row>
    <row r="4797" spans="1:10">
      <c r="A4797">
        <v>4796</v>
      </c>
      <c r="B4797">
        <v>10475</v>
      </c>
      <c r="C4797" t="s">
        <v>22</v>
      </c>
      <c r="D4797">
        <v>123789.1</v>
      </c>
      <c r="E4797" t="s">
        <v>19</v>
      </c>
      <c r="F4797">
        <v>8</v>
      </c>
      <c r="G4797" t="s">
        <v>25</v>
      </c>
      <c r="H4797" s="1">
        <v>45453</v>
      </c>
      <c r="I4797" s="1">
        <v>45461</v>
      </c>
      <c r="J4797" t="str">
        <f t="shared" si="74"/>
        <v>Jun-2024</v>
      </c>
    </row>
    <row r="4798" spans="1:10">
      <c r="A4798">
        <v>4797</v>
      </c>
      <c r="B4798">
        <v>18695</v>
      </c>
      <c r="C4798" t="s">
        <v>23</v>
      </c>
      <c r="D4798">
        <v>175636.5</v>
      </c>
      <c r="E4798" t="s">
        <v>16</v>
      </c>
      <c r="F4798">
        <v>19</v>
      </c>
      <c r="G4798" t="s">
        <v>20</v>
      </c>
      <c r="H4798" s="1">
        <v>45391</v>
      </c>
      <c r="I4798" s="1">
        <v>45410</v>
      </c>
      <c r="J4798" t="str">
        <f t="shared" si="74"/>
        <v>Apr-2024</v>
      </c>
    </row>
    <row r="4799" spans="1:10">
      <c r="A4799">
        <v>4798</v>
      </c>
      <c r="B4799">
        <v>10230</v>
      </c>
      <c r="C4799" t="s">
        <v>23</v>
      </c>
      <c r="D4799">
        <v>164428.62</v>
      </c>
      <c r="E4799" t="s">
        <v>16</v>
      </c>
      <c r="F4799">
        <v>17</v>
      </c>
      <c r="G4799" t="s">
        <v>25</v>
      </c>
      <c r="H4799" s="1">
        <v>45618</v>
      </c>
      <c r="I4799" s="1">
        <v>45635</v>
      </c>
      <c r="J4799" t="str">
        <f t="shared" si="74"/>
        <v>Nov-2024</v>
      </c>
    </row>
    <row r="4800" spans="1:10">
      <c r="A4800">
        <v>4799</v>
      </c>
      <c r="B4800">
        <v>17021</v>
      </c>
      <c r="C4800" t="s">
        <v>23</v>
      </c>
      <c r="D4800">
        <v>122304.6</v>
      </c>
      <c r="E4800" t="s">
        <v>16</v>
      </c>
      <c r="F4800">
        <v>33</v>
      </c>
      <c r="G4800" t="s">
        <v>20</v>
      </c>
      <c r="H4800" s="1">
        <v>45324</v>
      </c>
      <c r="I4800" s="1">
        <v>45357</v>
      </c>
      <c r="J4800" t="str">
        <f t="shared" si="74"/>
        <v>Feb-2024</v>
      </c>
    </row>
    <row r="4801" spans="1:10">
      <c r="A4801">
        <v>4800</v>
      </c>
      <c r="B4801">
        <v>19778</v>
      </c>
      <c r="C4801" t="s">
        <v>18</v>
      </c>
      <c r="D4801">
        <v>151871.6</v>
      </c>
      <c r="E4801" t="s">
        <v>16</v>
      </c>
      <c r="F4801">
        <v>39</v>
      </c>
      <c r="G4801" t="s">
        <v>17</v>
      </c>
      <c r="H4801" s="1">
        <v>45434</v>
      </c>
      <c r="I4801" s="1">
        <v>45473</v>
      </c>
      <c r="J4801" t="str">
        <f t="shared" si="74"/>
        <v>May-2024</v>
      </c>
    </row>
    <row r="4802" spans="1:10">
      <c r="A4802">
        <v>4801</v>
      </c>
      <c r="B4802">
        <v>19966</v>
      </c>
      <c r="C4802" t="s">
        <v>23</v>
      </c>
      <c r="D4802">
        <v>89497.3</v>
      </c>
      <c r="E4802" t="s">
        <v>24</v>
      </c>
      <c r="G4802" t="s">
        <v>17</v>
      </c>
      <c r="H4802" s="1">
        <v>45535</v>
      </c>
      <c r="J4802" t="str">
        <f t="shared" si="74"/>
        <v>Aug-2024</v>
      </c>
    </row>
    <row r="4803" spans="1:10">
      <c r="A4803">
        <v>4802</v>
      </c>
      <c r="B4803">
        <v>16833</v>
      </c>
      <c r="C4803" t="s">
        <v>23</v>
      </c>
      <c r="D4803">
        <v>111738.66</v>
      </c>
      <c r="E4803" t="s">
        <v>16</v>
      </c>
      <c r="F4803">
        <v>33</v>
      </c>
      <c r="G4803" t="s">
        <v>17</v>
      </c>
      <c r="H4803" s="1">
        <v>45515</v>
      </c>
      <c r="I4803" s="1">
        <v>45548</v>
      </c>
      <c r="J4803" t="str">
        <f t="shared" ref="J4803:J4866" si="75">TEXT(H4803,"mmm-yyyy")</f>
        <v>Aug-2024</v>
      </c>
    </row>
    <row r="4804" spans="1:10">
      <c r="A4804">
        <v>4803</v>
      </c>
      <c r="B4804">
        <v>12256</v>
      </c>
      <c r="C4804" t="s">
        <v>23</v>
      </c>
      <c r="D4804">
        <v>17103.68</v>
      </c>
      <c r="E4804" t="s">
        <v>16</v>
      </c>
      <c r="F4804">
        <v>20</v>
      </c>
      <c r="G4804" t="s">
        <v>17</v>
      </c>
      <c r="H4804" s="1">
        <v>45505</v>
      </c>
      <c r="I4804" s="1">
        <v>45525</v>
      </c>
      <c r="J4804" t="str">
        <f t="shared" si="75"/>
        <v>Aug-2024</v>
      </c>
    </row>
    <row r="4805" spans="1:10">
      <c r="A4805">
        <v>4804</v>
      </c>
      <c r="B4805">
        <v>13970</v>
      </c>
      <c r="C4805" t="s">
        <v>15</v>
      </c>
      <c r="D4805">
        <v>22522.29</v>
      </c>
      <c r="E4805" t="s">
        <v>16</v>
      </c>
      <c r="F4805">
        <v>4</v>
      </c>
      <c r="G4805" t="s">
        <v>17</v>
      </c>
      <c r="H4805" s="1">
        <v>45411</v>
      </c>
      <c r="I4805" s="1">
        <v>45415</v>
      </c>
      <c r="J4805" t="str">
        <f t="shared" si="75"/>
        <v>Apr-2024</v>
      </c>
    </row>
    <row r="4806" spans="1:10">
      <c r="A4806">
        <v>4805</v>
      </c>
      <c r="B4806">
        <v>14838</v>
      </c>
      <c r="C4806" t="s">
        <v>23</v>
      </c>
      <c r="D4806">
        <v>166737.95000000001</v>
      </c>
      <c r="E4806" t="s">
        <v>24</v>
      </c>
      <c r="G4806" t="s">
        <v>25</v>
      </c>
      <c r="H4806" s="1">
        <v>45459</v>
      </c>
      <c r="J4806" t="str">
        <f t="shared" si="75"/>
        <v>Jun-2024</v>
      </c>
    </row>
    <row r="4807" spans="1:10">
      <c r="A4807">
        <v>4806</v>
      </c>
      <c r="B4807">
        <v>10383</v>
      </c>
      <c r="C4807" t="s">
        <v>22</v>
      </c>
      <c r="D4807">
        <v>16635.97</v>
      </c>
      <c r="E4807" t="s">
        <v>16</v>
      </c>
      <c r="F4807">
        <v>30</v>
      </c>
      <c r="G4807" t="s">
        <v>17</v>
      </c>
      <c r="H4807" s="1">
        <v>45640</v>
      </c>
      <c r="I4807" s="1">
        <v>45670</v>
      </c>
      <c r="J4807" t="str">
        <f t="shared" si="75"/>
        <v>Dec-2024</v>
      </c>
    </row>
    <row r="4808" spans="1:10">
      <c r="A4808">
        <v>4807</v>
      </c>
      <c r="B4808">
        <v>10760</v>
      </c>
      <c r="C4808" t="s">
        <v>15</v>
      </c>
      <c r="D4808">
        <v>38032.83</v>
      </c>
      <c r="E4808" t="s">
        <v>16</v>
      </c>
      <c r="F4808">
        <v>12</v>
      </c>
      <c r="G4808" t="s">
        <v>21</v>
      </c>
      <c r="H4808" s="1">
        <v>45508</v>
      </c>
      <c r="I4808" s="1">
        <v>45520</v>
      </c>
      <c r="J4808" t="str">
        <f t="shared" si="75"/>
        <v>Aug-2024</v>
      </c>
    </row>
    <row r="4809" spans="1:10">
      <c r="A4809">
        <v>4808</v>
      </c>
      <c r="B4809">
        <v>15243</v>
      </c>
      <c r="C4809" t="s">
        <v>23</v>
      </c>
      <c r="D4809">
        <v>160187.37</v>
      </c>
      <c r="E4809" t="s">
        <v>24</v>
      </c>
      <c r="G4809" t="s">
        <v>21</v>
      </c>
      <c r="H4809" s="1">
        <v>45646</v>
      </c>
      <c r="J4809" t="str">
        <f t="shared" si="75"/>
        <v>Dec-2024</v>
      </c>
    </row>
    <row r="4810" spans="1:10">
      <c r="A4810">
        <v>4809</v>
      </c>
      <c r="B4810">
        <v>13952</v>
      </c>
      <c r="C4810" t="s">
        <v>18</v>
      </c>
      <c r="D4810">
        <v>5223.46</v>
      </c>
      <c r="E4810" t="s">
        <v>16</v>
      </c>
      <c r="F4810">
        <v>20</v>
      </c>
      <c r="G4810" t="s">
        <v>25</v>
      </c>
      <c r="H4810" s="1">
        <v>45613</v>
      </c>
      <c r="I4810" s="1">
        <v>45633</v>
      </c>
      <c r="J4810" t="str">
        <f t="shared" si="75"/>
        <v>Nov-2024</v>
      </c>
    </row>
    <row r="4811" spans="1:10">
      <c r="A4811">
        <v>4810</v>
      </c>
      <c r="B4811">
        <v>10942</v>
      </c>
      <c r="C4811" t="s">
        <v>23</v>
      </c>
      <c r="D4811">
        <v>60068.84</v>
      </c>
      <c r="E4811" t="s">
        <v>19</v>
      </c>
      <c r="F4811">
        <v>38</v>
      </c>
      <c r="G4811" t="s">
        <v>20</v>
      </c>
      <c r="H4811" s="1">
        <v>45508</v>
      </c>
      <c r="I4811" s="1">
        <v>45546</v>
      </c>
      <c r="J4811" t="str">
        <f t="shared" si="75"/>
        <v>Aug-2024</v>
      </c>
    </row>
    <row r="4812" spans="1:10">
      <c r="A4812">
        <v>4811</v>
      </c>
      <c r="B4812">
        <v>12695</v>
      </c>
      <c r="C4812" t="s">
        <v>22</v>
      </c>
      <c r="D4812">
        <v>118887.54</v>
      </c>
      <c r="E4812" t="s">
        <v>16</v>
      </c>
      <c r="F4812">
        <v>28</v>
      </c>
      <c r="G4812" t="s">
        <v>21</v>
      </c>
      <c r="H4812" s="1">
        <v>45345</v>
      </c>
      <c r="I4812" s="1">
        <v>45373</v>
      </c>
      <c r="J4812" t="str">
        <f t="shared" si="75"/>
        <v>Feb-2024</v>
      </c>
    </row>
    <row r="4813" spans="1:10">
      <c r="A4813">
        <v>4812</v>
      </c>
      <c r="B4813">
        <v>11296</v>
      </c>
      <c r="C4813" t="s">
        <v>18</v>
      </c>
      <c r="D4813">
        <v>121112.74</v>
      </c>
      <c r="E4813" t="s">
        <v>16</v>
      </c>
      <c r="F4813">
        <v>6</v>
      </c>
      <c r="G4813" t="s">
        <v>20</v>
      </c>
      <c r="H4813" s="1">
        <v>45499</v>
      </c>
      <c r="I4813" s="1">
        <v>45505</v>
      </c>
      <c r="J4813" t="str">
        <f t="shared" si="75"/>
        <v>Jul-2024</v>
      </c>
    </row>
    <row r="4814" spans="1:10">
      <c r="A4814">
        <v>4813</v>
      </c>
      <c r="B4814">
        <v>12147</v>
      </c>
      <c r="C4814" t="s">
        <v>23</v>
      </c>
      <c r="D4814">
        <v>156544.82</v>
      </c>
      <c r="E4814" t="s">
        <v>16</v>
      </c>
      <c r="F4814">
        <v>27</v>
      </c>
      <c r="G4814" t="s">
        <v>25</v>
      </c>
      <c r="H4814" s="1">
        <v>45371</v>
      </c>
      <c r="I4814" s="1">
        <v>45398</v>
      </c>
      <c r="J4814" t="str">
        <f t="shared" si="75"/>
        <v>Mar-2024</v>
      </c>
    </row>
    <row r="4815" spans="1:10">
      <c r="A4815">
        <v>4814</v>
      </c>
      <c r="B4815">
        <v>16874</v>
      </c>
      <c r="C4815" t="s">
        <v>23</v>
      </c>
      <c r="D4815">
        <v>103655.62</v>
      </c>
      <c r="E4815" t="s">
        <v>16</v>
      </c>
      <c r="F4815">
        <v>36</v>
      </c>
      <c r="G4815" t="s">
        <v>20</v>
      </c>
      <c r="H4815" s="1">
        <v>45442</v>
      </c>
      <c r="I4815" s="1">
        <v>45478</v>
      </c>
      <c r="J4815" t="str">
        <f t="shared" si="75"/>
        <v>May-2024</v>
      </c>
    </row>
    <row r="4816" spans="1:10">
      <c r="A4816">
        <v>4815</v>
      </c>
      <c r="B4816">
        <v>19831</v>
      </c>
      <c r="C4816" t="s">
        <v>23</v>
      </c>
      <c r="D4816">
        <v>104333.36</v>
      </c>
      <c r="E4816" t="s">
        <v>16</v>
      </c>
      <c r="F4816">
        <v>20</v>
      </c>
      <c r="G4816" t="s">
        <v>20</v>
      </c>
      <c r="H4816" s="1">
        <v>45346</v>
      </c>
      <c r="I4816" s="1">
        <v>45366</v>
      </c>
      <c r="J4816" t="str">
        <f t="shared" si="75"/>
        <v>Feb-2024</v>
      </c>
    </row>
    <row r="4817" spans="1:10">
      <c r="A4817">
        <v>4816</v>
      </c>
      <c r="B4817">
        <v>14396</v>
      </c>
      <c r="C4817" t="s">
        <v>22</v>
      </c>
      <c r="D4817">
        <v>146435.56</v>
      </c>
      <c r="E4817" t="s">
        <v>16</v>
      </c>
      <c r="F4817">
        <v>18</v>
      </c>
      <c r="G4817" t="s">
        <v>20</v>
      </c>
      <c r="H4817" s="1">
        <v>45296</v>
      </c>
      <c r="I4817" s="1">
        <v>45314</v>
      </c>
      <c r="J4817" t="str">
        <f t="shared" si="75"/>
        <v>Jan-2024</v>
      </c>
    </row>
    <row r="4818" spans="1:10">
      <c r="A4818">
        <v>4817</v>
      </c>
      <c r="B4818">
        <v>10608</v>
      </c>
      <c r="C4818" t="s">
        <v>23</v>
      </c>
      <c r="D4818">
        <v>102231.77</v>
      </c>
      <c r="E4818" t="s">
        <v>16</v>
      </c>
      <c r="F4818">
        <v>36</v>
      </c>
      <c r="G4818" t="s">
        <v>20</v>
      </c>
      <c r="H4818" s="1">
        <v>45326</v>
      </c>
      <c r="I4818" s="1">
        <v>45362</v>
      </c>
      <c r="J4818" t="str">
        <f t="shared" si="75"/>
        <v>Feb-2024</v>
      </c>
    </row>
    <row r="4819" spans="1:10">
      <c r="A4819">
        <v>4818</v>
      </c>
      <c r="B4819">
        <v>10881</v>
      </c>
      <c r="C4819" t="s">
        <v>18</v>
      </c>
      <c r="D4819">
        <v>123655.76</v>
      </c>
      <c r="E4819" t="s">
        <v>16</v>
      </c>
      <c r="F4819">
        <v>14</v>
      </c>
      <c r="G4819" t="s">
        <v>25</v>
      </c>
      <c r="H4819" s="1">
        <v>45640</v>
      </c>
      <c r="I4819" s="1">
        <v>45654</v>
      </c>
      <c r="J4819" t="str">
        <f t="shared" si="75"/>
        <v>Dec-2024</v>
      </c>
    </row>
    <row r="4820" spans="1:10">
      <c r="A4820">
        <v>4819</v>
      </c>
      <c r="B4820">
        <v>17316</v>
      </c>
      <c r="C4820" t="s">
        <v>23</v>
      </c>
      <c r="D4820">
        <v>180065.94</v>
      </c>
      <c r="E4820" t="s">
        <v>16</v>
      </c>
      <c r="F4820">
        <v>15</v>
      </c>
      <c r="G4820" t="s">
        <v>21</v>
      </c>
      <c r="H4820" s="1">
        <v>45410</v>
      </c>
      <c r="I4820" s="1">
        <v>45425</v>
      </c>
      <c r="J4820" t="str">
        <f t="shared" si="75"/>
        <v>Apr-2024</v>
      </c>
    </row>
    <row r="4821" spans="1:10">
      <c r="A4821">
        <v>4820</v>
      </c>
      <c r="B4821">
        <v>14891</v>
      </c>
      <c r="C4821" t="s">
        <v>22</v>
      </c>
      <c r="D4821">
        <v>83282.95</v>
      </c>
      <c r="E4821" t="s">
        <v>24</v>
      </c>
      <c r="G4821" t="s">
        <v>17</v>
      </c>
      <c r="H4821" s="1">
        <v>45488</v>
      </c>
      <c r="J4821" t="str">
        <f t="shared" si="75"/>
        <v>Jul-2024</v>
      </c>
    </row>
    <row r="4822" spans="1:10">
      <c r="A4822">
        <v>4821</v>
      </c>
      <c r="B4822">
        <v>16480</v>
      </c>
      <c r="C4822" t="s">
        <v>23</v>
      </c>
      <c r="D4822">
        <v>80099.39</v>
      </c>
      <c r="E4822" t="s">
        <v>16</v>
      </c>
      <c r="F4822">
        <v>44</v>
      </c>
      <c r="G4822" t="s">
        <v>20</v>
      </c>
      <c r="H4822" s="1">
        <v>45345</v>
      </c>
      <c r="I4822" s="1">
        <v>45389</v>
      </c>
      <c r="J4822" t="str">
        <f t="shared" si="75"/>
        <v>Feb-2024</v>
      </c>
    </row>
    <row r="4823" spans="1:10">
      <c r="A4823">
        <v>4822</v>
      </c>
      <c r="B4823">
        <v>17505</v>
      </c>
      <c r="C4823" t="s">
        <v>18</v>
      </c>
      <c r="D4823">
        <v>5692.05</v>
      </c>
      <c r="E4823" t="s">
        <v>24</v>
      </c>
      <c r="G4823" t="s">
        <v>21</v>
      </c>
      <c r="H4823" s="1">
        <v>45550</v>
      </c>
      <c r="J4823" t="str">
        <f t="shared" si="75"/>
        <v>Sep-2024</v>
      </c>
    </row>
    <row r="4824" spans="1:10">
      <c r="A4824">
        <v>4823</v>
      </c>
      <c r="B4824">
        <v>11994</v>
      </c>
      <c r="C4824" t="s">
        <v>23</v>
      </c>
      <c r="D4824">
        <v>124618.12</v>
      </c>
      <c r="E4824" t="s">
        <v>16</v>
      </c>
      <c r="F4824">
        <v>38</v>
      </c>
      <c r="G4824" t="s">
        <v>21</v>
      </c>
      <c r="H4824" s="1">
        <v>45553</v>
      </c>
      <c r="I4824" s="1">
        <v>45591</v>
      </c>
      <c r="J4824" t="str">
        <f t="shared" si="75"/>
        <v>Sep-2024</v>
      </c>
    </row>
    <row r="4825" spans="1:10">
      <c r="A4825">
        <v>4824</v>
      </c>
      <c r="B4825">
        <v>11323</v>
      </c>
      <c r="C4825" t="s">
        <v>18</v>
      </c>
      <c r="D4825">
        <v>10805.52</v>
      </c>
      <c r="E4825" t="s">
        <v>16</v>
      </c>
      <c r="F4825">
        <v>16</v>
      </c>
      <c r="G4825" t="s">
        <v>25</v>
      </c>
      <c r="H4825" s="1">
        <v>45634</v>
      </c>
      <c r="I4825" s="1">
        <v>45650</v>
      </c>
      <c r="J4825" t="str">
        <f t="shared" si="75"/>
        <v>Dec-2024</v>
      </c>
    </row>
    <row r="4826" spans="1:10">
      <c r="A4826">
        <v>4825</v>
      </c>
      <c r="B4826">
        <v>17768</v>
      </c>
      <c r="C4826" t="s">
        <v>23</v>
      </c>
      <c r="D4826">
        <v>103308.96</v>
      </c>
      <c r="E4826" t="s">
        <v>16</v>
      </c>
      <c r="F4826">
        <v>19</v>
      </c>
      <c r="G4826" t="s">
        <v>21</v>
      </c>
      <c r="H4826" s="1">
        <v>45603</v>
      </c>
      <c r="I4826" s="1">
        <v>45622</v>
      </c>
      <c r="J4826" t="str">
        <f t="shared" si="75"/>
        <v>Nov-2024</v>
      </c>
    </row>
    <row r="4827" spans="1:10">
      <c r="A4827">
        <v>4826</v>
      </c>
      <c r="B4827">
        <v>11011</v>
      </c>
      <c r="C4827" t="s">
        <v>23</v>
      </c>
      <c r="D4827">
        <v>161825.59</v>
      </c>
      <c r="E4827" t="s">
        <v>19</v>
      </c>
      <c r="F4827">
        <v>15</v>
      </c>
      <c r="G4827" t="s">
        <v>25</v>
      </c>
      <c r="H4827" s="1">
        <v>45293</v>
      </c>
      <c r="I4827" s="1">
        <v>45308</v>
      </c>
      <c r="J4827" t="str">
        <f t="shared" si="75"/>
        <v>Jan-2024</v>
      </c>
    </row>
    <row r="4828" spans="1:10">
      <c r="A4828">
        <v>4827</v>
      </c>
      <c r="B4828">
        <v>16903</v>
      </c>
      <c r="C4828" t="s">
        <v>23</v>
      </c>
      <c r="D4828">
        <v>112234.61</v>
      </c>
      <c r="E4828" t="s">
        <v>19</v>
      </c>
      <c r="F4828">
        <v>15</v>
      </c>
      <c r="G4828" t="s">
        <v>20</v>
      </c>
      <c r="H4828" s="1">
        <v>45373</v>
      </c>
      <c r="I4828" s="1">
        <v>45388</v>
      </c>
      <c r="J4828" t="str">
        <f t="shared" si="75"/>
        <v>Mar-2024</v>
      </c>
    </row>
    <row r="4829" spans="1:10">
      <c r="A4829">
        <v>4828</v>
      </c>
      <c r="B4829">
        <v>10688</v>
      </c>
      <c r="C4829" t="s">
        <v>18</v>
      </c>
      <c r="D4829">
        <v>57579.05</v>
      </c>
      <c r="E4829" t="s">
        <v>16</v>
      </c>
      <c r="F4829">
        <v>34</v>
      </c>
      <c r="G4829" t="s">
        <v>20</v>
      </c>
      <c r="H4829" s="1">
        <v>45641</v>
      </c>
      <c r="I4829" s="1">
        <v>45675</v>
      </c>
      <c r="J4829" t="str">
        <f t="shared" si="75"/>
        <v>Dec-2024</v>
      </c>
    </row>
    <row r="4830" spans="1:10">
      <c r="A4830">
        <v>4829</v>
      </c>
      <c r="B4830">
        <v>14068</v>
      </c>
      <c r="C4830" t="s">
        <v>23</v>
      </c>
      <c r="D4830">
        <v>158302.84</v>
      </c>
      <c r="E4830" t="s">
        <v>24</v>
      </c>
      <c r="G4830" t="s">
        <v>17</v>
      </c>
      <c r="H4830" s="1">
        <v>45296</v>
      </c>
      <c r="J4830" t="str">
        <f t="shared" si="75"/>
        <v>Jan-2024</v>
      </c>
    </row>
    <row r="4831" spans="1:10">
      <c r="A4831">
        <v>4830</v>
      </c>
      <c r="B4831">
        <v>19434</v>
      </c>
      <c r="C4831" t="s">
        <v>18</v>
      </c>
      <c r="D4831">
        <v>57594.82</v>
      </c>
      <c r="E4831" t="s">
        <v>16</v>
      </c>
      <c r="F4831">
        <v>12</v>
      </c>
      <c r="G4831" t="s">
        <v>17</v>
      </c>
      <c r="H4831" s="1">
        <v>45465</v>
      </c>
      <c r="I4831" s="1">
        <v>45477</v>
      </c>
      <c r="J4831" t="str">
        <f t="shared" si="75"/>
        <v>Jun-2024</v>
      </c>
    </row>
    <row r="4832" spans="1:10">
      <c r="A4832">
        <v>4831</v>
      </c>
      <c r="B4832">
        <v>13447</v>
      </c>
      <c r="C4832" t="s">
        <v>23</v>
      </c>
      <c r="D4832">
        <v>147941.20000000001</v>
      </c>
      <c r="E4832" t="s">
        <v>16</v>
      </c>
      <c r="F4832">
        <v>12</v>
      </c>
      <c r="G4832" t="s">
        <v>17</v>
      </c>
      <c r="H4832" s="1">
        <v>45430</v>
      </c>
      <c r="I4832" s="1">
        <v>45442</v>
      </c>
      <c r="J4832" t="str">
        <f t="shared" si="75"/>
        <v>May-2024</v>
      </c>
    </row>
    <row r="4833" spans="1:10">
      <c r="A4833">
        <v>4832</v>
      </c>
      <c r="B4833">
        <v>17897</v>
      </c>
      <c r="C4833" t="s">
        <v>15</v>
      </c>
      <c r="D4833">
        <v>124000.4</v>
      </c>
      <c r="E4833" t="s">
        <v>24</v>
      </c>
      <c r="G4833" t="s">
        <v>21</v>
      </c>
      <c r="H4833" s="1">
        <v>45484</v>
      </c>
      <c r="J4833" t="str">
        <f t="shared" si="75"/>
        <v>Jul-2024</v>
      </c>
    </row>
    <row r="4834" spans="1:10">
      <c r="A4834">
        <v>4833</v>
      </c>
      <c r="B4834">
        <v>17255</v>
      </c>
      <c r="C4834" t="s">
        <v>22</v>
      </c>
      <c r="D4834">
        <v>38149.279999999999</v>
      </c>
      <c r="E4834" t="s">
        <v>19</v>
      </c>
      <c r="F4834">
        <v>4</v>
      </c>
      <c r="G4834" t="s">
        <v>20</v>
      </c>
      <c r="H4834" s="1">
        <v>45429</v>
      </c>
      <c r="I4834" s="1">
        <v>45433</v>
      </c>
      <c r="J4834" t="str">
        <f t="shared" si="75"/>
        <v>May-2024</v>
      </c>
    </row>
    <row r="4835" spans="1:10">
      <c r="A4835">
        <v>4834</v>
      </c>
      <c r="B4835">
        <v>18075</v>
      </c>
      <c r="C4835" t="s">
        <v>18</v>
      </c>
      <c r="D4835">
        <v>181501.11</v>
      </c>
      <c r="E4835" t="s">
        <v>24</v>
      </c>
      <c r="G4835" t="s">
        <v>25</v>
      </c>
      <c r="H4835" s="1">
        <v>45588</v>
      </c>
      <c r="J4835" t="str">
        <f t="shared" si="75"/>
        <v>Oct-2024</v>
      </c>
    </row>
    <row r="4836" spans="1:10">
      <c r="A4836">
        <v>4835</v>
      </c>
      <c r="B4836">
        <v>18632</v>
      </c>
      <c r="C4836" t="s">
        <v>23</v>
      </c>
      <c r="D4836">
        <v>44125.52</v>
      </c>
      <c r="E4836" t="s">
        <v>16</v>
      </c>
      <c r="F4836">
        <v>18</v>
      </c>
      <c r="G4836" t="s">
        <v>17</v>
      </c>
      <c r="H4836" s="1">
        <v>45407</v>
      </c>
      <c r="I4836" s="1">
        <v>45425</v>
      </c>
      <c r="J4836" t="str">
        <f t="shared" si="75"/>
        <v>Apr-2024</v>
      </c>
    </row>
    <row r="4837" spans="1:10">
      <c r="A4837">
        <v>4836</v>
      </c>
      <c r="B4837">
        <v>19416</v>
      </c>
      <c r="C4837" t="s">
        <v>23</v>
      </c>
      <c r="D4837">
        <v>197969.48</v>
      </c>
      <c r="E4837" t="s">
        <v>16</v>
      </c>
      <c r="F4837">
        <v>23</v>
      </c>
      <c r="G4837" t="s">
        <v>25</v>
      </c>
      <c r="H4837" s="1">
        <v>45335</v>
      </c>
      <c r="I4837" s="1">
        <v>45358</v>
      </c>
      <c r="J4837" t="str">
        <f t="shared" si="75"/>
        <v>Feb-2024</v>
      </c>
    </row>
    <row r="4838" spans="1:10">
      <c r="A4838">
        <v>4837</v>
      </c>
      <c r="B4838">
        <v>12462</v>
      </c>
      <c r="C4838" t="s">
        <v>23</v>
      </c>
      <c r="D4838">
        <v>6425.55</v>
      </c>
      <c r="E4838" t="s">
        <v>16</v>
      </c>
      <c r="F4838">
        <v>30</v>
      </c>
      <c r="G4838" t="s">
        <v>25</v>
      </c>
      <c r="H4838" s="1">
        <v>45637</v>
      </c>
      <c r="I4838" s="1">
        <v>45667</v>
      </c>
      <c r="J4838" t="str">
        <f t="shared" si="75"/>
        <v>Dec-2024</v>
      </c>
    </row>
    <row r="4839" spans="1:10">
      <c r="A4839">
        <v>4838</v>
      </c>
      <c r="B4839">
        <v>15123</v>
      </c>
      <c r="C4839" t="s">
        <v>23</v>
      </c>
      <c r="D4839">
        <v>56379.26</v>
      </c>
      <c r="E4839" t="s">
        <v>16</v>
      </c>
      <c r="F4839">
        <v>27</v>
      </c>
      <c r="G4839" t="s">
        <v>17</v>
      </c>
      <c r="H4839" s="1">
        <v>45580</v>
      </c>
      <c r="I4839" s="1">
        <v>45607</v>
      </c>
      <c r="J4839" t="str">
        <f t="shared" si="75"/>
        <v>Oct-2024</v>
      </c>
    </row>
    <row r="4840" spans="1:10">
      <c r="A4840">
        <v>4839</v>
      </c>
      <c r="B4840">
        <v>14178</v>
      </c>
      <c r="C4840" t="s">
        <v>18</v>
      </c>
      <c r="D4840">
        <v>43972.76</v>
      </c>
      <c r="E4840" t="s">
        <v>19</v>
      </c>
      <c r="F4840">
        <v>35</v>
      </c>
      <c r="G4840" t="s">
        <v>20</v>
      </c>
      <c r="H4840" s="1">
        <v>45510</v>
      </c>
      <c r="I4840" s="1">
        <v>45545</v>
      </c>
      <c r="J4840" t="str">
        <f t="shared" si="75"/>
        <v>Aug-2024</v>
      </c>
    </row>
    <row r="4841" spans="1:10">
      <c r="A4841">
        <v>4840</v>
      </c>
      <c r="B4841">
        <v>16149</v>
      </c>
      <c r="C4841" t="s">
        <v>18</v>
      </c>
      <c r="D4841">
        <v>7728.71</v>
      </c>
      <c r="E4841" t="s">
        <v>16</v>
      </c>
      <c r="F4841">
        <v>27</v>
      </c>
      <c r="G4841" t="s">
        <v>17</v>
      </c>
      <c r="H4841" s="1">
        <v>45347</v>
      </c>
      <c r="I4841" s="1">
        <v>45374</v>
      </c>
      <c r="J4841" t="str">
        <f t="shared" si="75"/>
        <v>Feb-2024</v>
      </c>
    </row>
    <row r="4842" spans="1:10">
      <c r="A4842">
        <v>4841</v>
      </c>
      <c r="B4842">
        <v>11752</v>
      </c>
      <c r="C4842" t="s">
        <v>22</v>
      </c>
      <c r="D4842">
        <v>147811.74</v>
      </c>
      <c r="E4842" t="s">
        <v>16</v>
      </c>
      <c r="F4842">
        <v>10</v>
      </c>
      <c r="G4842" t="s">
        <v>25</v>
      </c>
      <c r="H4842" s="1">
        <v>45533</v>
      </c>
      <c r="I4842" s="1">
        <v>45543</v>
      </c>
      <c r="J4842" t="str">
        <f t="shared" si="75"/>
        <v>Aug-2024</v>
      </c>
    </row>
    <row r="4843" spans="1:10">
      <c r="A4843">
        <v>4842</v>
      </c>
      <c r="B4843">
        <v>14629</v>
      </c>
      <c r="C4843" t="s">
        <v>23</v>
      </c>
      <c r="D4843">
        <v>140218.03</v>
      </c>
      <c r="E4843" t="s">
        <v>16</v>
      </c>
      <c r="F4843">
        <v>41</v>
      </c>
      <c r="G4843" t="s">
        <v>17</v>
      </c>
      <c r="H4843" s="1">
        <v>45549</v>
      </c>
      <c r="I4843" s="1">
        <v>45590</v>
      </c>
      <c r="J4843" t="str">
        <f t="shared" si="75"/>
        <v>Sep-2024</v>
      </c>
    </row>
    <row r="4844" spans="1:10">
      <c r="A4844">
        <v>4843</v>
      </c>
      <c r="B4844">
        <v>15916</v>
      </c>
      <c r="C4844" t="s">
        <v>18</v>
      </c>
      <c r="D4844">
        <v>159508.44</v>
      </c>
      <c r="E4844" t="s">
        <v>16</v>
      </c>
      <c r="F4844">
        <v>12</v>
      </c>
      <c r="G4844" t="s">
        <v>25</v>
      </c>
      <c r="H4844" s="1">
        <v>45292</v>
      </c>
      <c r="I4844" s="1">
        <v>45304</v>
      </c>
      <c r="J4844" t="str">
        <f t="shared" si="75"/>
        <v>Jan-2024</v>
      </c>
    </row>
    <row r="4845" spans="1:10">
      <c r="A4845">
        <v>4844</v>
      </c>
      <c r="B4845">
        <v>14546</v>
      </c>
      <c r="C4845" t="s">
        <v>23</v>
      </c>
      <c r="D4845">
        <v>55056.22</v>
      </c>
      <c r="E4845" t="s">
        <v>16</v>
      </c>
      <c r="F4845">
        <v>8</v>
      </c>
      <c r="G4845" t="s">
        <v>25</v>
      </c>
      <c r="H4845" s="1">
        <v>45580</v>
      </c>
      <c r="I4845" s="1">
        <v>45588</v>
      </c>
      <c r="J4845" t="str">
        <f t="shared" si="75"/>
        <v>Oct-2024</v>
      </c>
    </row>
    <row r="4846" spans="1:10">
      <c r="A4846">
        <v>4845</v>
      </c>
      <c r="B4846">
        <v>13359</v>
      </c>
      <c r="C4846" t="s">
        <v>18</v>
      </c>
      <c r="D4846">
        <v>91645.36</v>
      </c>
      <c r="E4846" t="s">
        <v>16</v>
      </c>
      <c r="F4846">
        <v>31</v>
      </c>
      <c r="G4846" t="s">
        <v>17</v>
      </c>
      <c r="H4846" s="1">
        <v>45394</v>
      </c>
      <c r="I4846" s="1">
        <v>45425</v>
      </c>
      <c r="J4846" t="str">
        <f t="shared" si="75"/>
        <v>Apr-2024</v>
      </c>
    </row>
    <row r="4847" spans="1:10">
      <c r="A4847">
        <v>4846</v>
      </c>
      <c r="B4847">
        <v>15013</v>
      </c>
      <c r="C4847" t="s">
        <v>23</v>
      </c>
      <c r="D4847">
        <v>133527.14000000001</v>
      </c>
      <c r="E4847" t="s">
        <v>19</v>
      </c>
      <c r="F4847">
        <v>3</v>
      </c>
      <c r="G4847" t="s">
        <v>21</v>
      </c>
      <c r="H4847" s="1">
        <v>45583</v>
      </c>
      <c r="I4847" s="1">
        <v>45586</v>
      </c>
      <c r="J4847" t="str">
        <f t="shared" si="75"/>
        <v>Oct-2024</v>
      </c>
    </row>
    <row r="4848" spans="1:10">
      <c r="A4848">
        <v>4847</v>
      </c>
      <c r="B4848">
        <v>17604</v>
      </c>
      <c r="C4848" t="s">
        <v>23</v>
      </c>
      <c r="D4848">
        <v>90754.86</v>
      </c>
      <c r="E4848" t="s">
        <v>16</v>
      </c>
      <c r="F4848">
        <v>31</v>
      </c>
      <c r="G4848" t="s">
        <v>17</v>
      </c>
      <c r="H4848" s="1">
        <v>45440</v>
      </c>
      <c r="I4848" s="1">
        <v>45471</v>
      </c>
      <c r="J4848" t="str">
        <f t="shared" si="75"/>
        <v>May-2024</v>
      </c>
    </row>
    <row r="4849" spans="1:10">
      <c r="A4849">
        <v>4848</v>
      </c>
      <c r="B4849">
        <v>14014</v>
      </c>
      <c r="C4849" t="s">
        <v>23</v>
      </c>
      <c r="D4849">
        <v>140978.53</v>
      </c>
      <c r="E4849" t="s">
        <v>19</v>
      </c>
      <c r="F4849">
        <v>5</v>
      </c>
      <c r="G4849" t="s">
        <v>21</v>
      </c>
      <c r="H4849" s="1">
        <v>45375</v>
      </c>
      <c r="I4849" s="1">
        <v>45380</v>
      </c>
      <c r="J4849" t="str">
        <f t="shared" si="75"/>
        <v>Mar-2024</v>
      </c>
    </row>
    <row r="4850" spans="1:10">
      <c r="A4850">
        <v>4849</v>
      </c>
      <c r="B4850">
        <v>10899</v>
      </c>
      <c r="C4850" t="s">
        <v>18</v>
      </c>
      <c r="D4850">
        <v>128624.81</v>
      </c>
      <c r="E4850" t="s">
        <v>16</v>
      </c>
      <c r="F4850">
        <v>15</v>
      </c>
      <c r="G4850" t="s">
        <v>25</v>
      </c>
      <c r="H4850" s="1">
        <v>45317</v>
      </c>
      <c r="I4850" s="1">
        <v>45332</v>
      </c>
      <c r="J4850" t="str">
        <f t="shared" si="75"/>
        <v>Jan-2024</v>
      </c>
    </row>
    <row r="4851" spans="1:10">
      <c r="A4851">
        <v>4850</v>
      </c>
      <c r="B4851">
        <v>11189</v>
      </c>
      <c r="C4851" t="s">
        <v>22</v>
      </c>
      <c r="D4851">
        <v>27356.32</v>
      </c>
      <c r="E4851" t="s">
        <v>16</v>
      </c>
      <c r="F4851">
        <v>14</v>
      </c>
      <c r="G4851" t="s">
        <v>25</v>
      </c>
      <c r="H4851" s="1">
        <v>45466</v>
      </c>
      <c r="I4851" s="1">
        <v>45480</v>
      </c>
      <c r="J4851" t="str">
        <f t="shared" si="75"/>
        <v>Jun-2024</v>
      </c>
    </row>
    <row r="4852" spans="1:10">
      <c r="A4852">
        <v>4851</v>
      </c>
      <c r="B4852">
        <v>10652</v>
      </c>
      <c r="C4852" t="s">
        <v>23</v>
      </c>
      <c r="D4852">
        <v>157303.41</v>
      </c>
      <c r="E4852" t="s">
        <v>16</v>
      </c>
      <c r="F4852">
        <v>26</v>
      </c>
      <c r="G4852" t="s">
        <v>21</v>
      </c>
      <c r="H4852" s="1">
        <v>45514</v>
      </c>
      <c r="I4852" s="1">
        <v>45540</v>
      </c>
      <c r="J4852" t="str">
        <f t="shared" si="75"/>
        <v>Aug-2024</v>
      </c>
    </row>
    <row r="4853" spans="1:10">
      <c r="A4853">
        <v>4852</v>
      </c>
      <c r="B4853">
        <v>17996</v>
      </c>
      <c r="C4853" t="s">
        <v>23</v>
      </c>
      <c r="D4853">
        <v>145531.89000000001</v>
      </c>
      <c r="E4853" t="s">
        <v>19</v>
      </c>
      <c r="F4853">
        <v>14</v>
      </c>
      <c r="G4853" t="s">
        <v>25</v>
      </c>
      <c r="H4853" s="1">
        <v>45420</v>
      </c>
      <c r="I4853" s="1">
        <v>45434</v>
      </c>
      <c r="J4853" t="str">
        <f t="shared" si="75"/>
        <v>May-2024</v>
      </c>
    </row>
    <row r="4854" spans="1:10">
      <c r="A4854">
        <v>4853</v>
      </c>
      <c r="B4854">
        <v>10982</v>
      </c>
      <c r="C4854" t="s">
        <v>23</v>
      </c>
      <c r="D4854">
        <v>132887.71</v>
      </c>
      <c r="E4854" t="s">
        <v>16</v>
      </c>
      <c r="F4854">
        <v>14</v>
      </c>
      <c r="G4854" t="s">
        <v>21</v>
      </c>
      <c r="H4854" s="1">
        <v>45433</v>
      </c>
      <c r="I4854" s="1">
        <v>45447</v>
      </c>
      <c r="J4854" t="str">
        <f t="shared" si="75"/>
        <v>May-2024</v>
      </c>
    </row>
    <row r="4855" spans="1:10">
      <c r="A4855">
        <v>4854</v>
      </c>
      <c r="B4855">
        <v>10575</v>
      </c>
      <c r="C4855" t="s">
        <v>18</v>
      </c>
      <c r="D4855">
        <v>35243.25</v>
      </c>
      <c r="E4855" t="s">
        <v>16</v>
      </c>
      <c r="F4855">
        <v>38</v>
      </c>
      <c r="G4855" t="s">
        <v>21</v>
      </c>
      <c r="H4855" s="1">
        <v>45637</v>
      </c>
      <c r="I4855" s="1">
        <v>45675</v>
      </c>
      <c r="J4855" t="str">
        <f t="shared" si="75"/>
        <v>Dec-2024</v>
      </c>
    </row>
    <row r="4856" spans="1:10">
      <c r="A4856">
        <v>4855</v>
      </c>
      <c r="B4856">
        <v>18524</v>
      </c>
      <c r="C4856" t="s">
        <v>23</v>
      </c>
      <c r="D4856">
        <v>57259.31</v>
      </c>
      <c r="E4856" t="s">
        <v>16</v>
      </c>
      <c r="F4856">
        <v>7</v>
      </c>
      <c r="G4856" t="s">
        <v>25</v>
      </c>
      <c r="H4856" s="1">
        <v>45593</v>
      </c>
      <c r="I4856" s="1">
        <v>45600</v>
      </c>
      <c r="J4856" t="str">
        <f t="shared" si="75"/>
        <v>Oct-2024</v>
      </c>
    </row>
    <row r="4857" spans="1:10">
      <c r="A4857">
        <v>4856</v>
      </c>
      <c r="B4857">
        <v>14307</v>
      </c>
      <c r="C4857" t="s">
        <v>18</v>
      </c>
      <c r="D4857">
        <v>81669.52</v>
      </c>
      <c r="E4857" t="s">
        <v>16</v>
      </c>
      <c r="F4857">
        <v>27</v>
      </c>
      <c r="G4857" t="s">
        <v>20</v>
      </c>
      <c r="H4857" s="1">
        <v>45589</v>
      </c>
      <c r="I4857" s="1">
        <v>45616</v>
      </c>
      <c r="J4857" t="str">
        <f t="shared" si="75"/>
        <v>Oct-2024</v>
      </c>
    </row>
    <row r="4858" spans="1:10">
      <c r="A4858">
        <v>4857</v>
      </c>
      <c r="B4858">
        <v>18480</v>
      </c>
      <c r="C4858" t="s">
        <v>22</v>
      </c>
      <c r="D4858">
        <v>59586.28</v>
      </c>
      <c r="E4858" t="s">
        <v>19</v>
      </c>
      <c r="F4858">
        <v>15</v>
      </c>
      <c r="G4858" t="s">
        <v>21</v>
      </c>
      <c r="H4858" s="1">
        <v>45426</v>
      </c>
      <c r="I4858" s="1">
        <v>45441</v>
      </c>
      <c r="J4858" t="str">
        <f t="shared" si="75"/>
        <v>May-2024</v>
      </c>
    </row>
    <row r="4859" spans="1:10">
      <c r="A4859">
        <v>4858</v>
      </c>
      <c r="B4859">
        <v>16753</v>
      </c>
      <c r="C4859" t="s">
        <v>22</v>
      </c>
      <c r="D4859">
        <v>49423.01</v>
      </c>
      <c r="E4859" t="s">
        <v>19</v>
      </c>
      <c r="F4859">
        <v>9</v>
      </c>
      <c r="G4859" t="s">
        <v>17</v>
      </c>
      <c r="H4859" s="1">
        <v>45346</v>
      </c>
      <c r="I4859" s="1">
        <v>45355</v>
      </c>
      <c r="J4859" t="str">
        <f t="shared" si="75"/>
        <v>Feb-2024</v>
      </c>
    </row>
    <row r="4860" spans="1:10">
      <c r="A4860">
        <v>4859</v>
      </c>
      <c r="B4860">
        <v>17740</v>
      </c>
      <c r="C4860" t="s">
        <v>23</v>
      </c>
      <c r="D4860">
        <v>162044.75</v>
      </c>
      <c r="E4860" t="s">
        <v>16</v>
      </c>
      <c r="F4860">
        <v>25</v>
      </c>
      <c r="G4860" t="s">
        <v>17</v>
      </c>
      <c r="H4860" s="1">
        <v>45347</v>
      </c>
      <c r="I4860" s="1">
        <v>45372</v>
      </c>
      <c r="J4860" t="str">
        <f t="shared" si="75"/>
        <v>Feb-2024</v>
      </c>
    </row>
    <row r="4861" spans="1:10">
      <c r="A4861">
        <v>4860</v>
      </c>
      <c r="B4861">
        <v>11055</v>
      </c>
      <c r="C4861" t="s">
        <v>15</v>
      </c>
      <c r="D4861">
        <v>129455.29</v>
      </c>
      <c r="E4861" t="s">
        <v>16</v>
      </c>
      <c r="F4861">
        <v>23</v>
      </c>
      <c r="G4861" t="s">
        <v>25</v>
      </c>
      <c r="H4861" s="1">
        <v>45367</v>
      </c>
      <c r="I4861" s="1">
        <v>45390</v>
      </c>
      <c r="J4861" t="str">
        <f t="shared" si="75"/>
        <v>Mar-2024</v>
      </c>
    </row>
    <row r="4862" spans="1:10">
      <c r="A4862">
        <v>4861</v>
      </c>
      <c r="B4862">
        <v>16026</v>
      </c>
      <c r="C4862" t="s">
        <v>18</v>
      </c>
      <c r="D4862">
        <v>115267.07</v>
      </c>
      <c r="E4862" t="s">
        <v>19</v>
      </c>
      <c r="F4862">
        <v>41</v>
      </c>
      <c r="G4862" t="s">
        <v>20</v>
      </c>
      <c r="H4862" s="1">
        <v>45610</v>
      </c>
      <c r="I4862" s="1">
        <v>45651</v>
      </c>
      <c r="J4862" t="str">
        <f t="shared" si="75"/>
        <v>Nov-2024</v>
      </c>
    </row>
    <row r="4863" spans="1:10">
      <c r="A4863">
        <v>4862</v>
      </c>
      <c r="B4863">
        <v>14369</v>
      </c>
      <c r="C4863" t="s">
        <v>23</v>
      </c>
      <c r="D4863">
        <v>49060.78</v>
      </c>
      <c r="E4863" t="s">
        <v>16</v>
      </c>
      <c r="F4863">
        <v>40</v>
      </c>
      <c r="G4863" t="s">
        <v>25</v>
      </c>
      <c r="H4863" s="1">
        <v>45630</v>
      </c>
      <c r="I4863" s="1">
        <v>45670</v>
      </c>
      <c r="J4863" t="str">
        <f t="shared" si="75"/>
        <v>Dec-2024</v>
      </c>
    </row>
    <row r="4864" spans="1:10">
      <c r="A4864">
        <v>4863</v>
      </c>
      <c r="B4864">
        <v>11324</v>
      </c>
      <c r="C4864" t="s">
        <v>18</v>
      </c>
      <c r="D4864">
        <v>184024.93</v>
      </c>
      <c r="E4864" t="s">
        <v>16</v>
      </c>
      <c r="F4864">
        <v>22</v>
      </c>
      <c r="G4864" t="s">
        <v>20</v>
      </c>
      <c r="H4864" s="1">
        <v>45646</v>
      </c>
      <c r="I4864" s="1">
        <v>45668</v>
      </c>
      <c r="J4864" t="str">
        <f t="shared" si="75"/>
        <v>Dec-2024</v>
      </c>
    </row>
    <row r="4865" spans="1:10">
      <c r="A4865">
        <v>4864</v>
      </c>
      <c r="B4865">
        <v>13595</v>
      </c>
      <c r="C4865" t="s">
        <v>15</v>
      </c>
      <c r="D4865">
        <v>42280.69</v>
      </c>
      <c r="E4865" t="s">
        <v>16</v>
      </c>
      <c r="F4865">
        <v>44</v>
      </c>
      <c r="G4865" t="s">
        <v>21</v>
      </c>
      <c r="H4865" s="1">
        <v>45423</v>
      </c>
      <c r="I4865" s="1">
        <v>45467</v>
      </c>
      <c r="J4865" t="str">
        <f t="shared" si="75"/>
        <v>May-2024</v>
      </c>
    </row>
    <row r="4866" spans="1:10">
      <c r="A4866">
        <v>4865</v>
      </c>
      <c r="B4866">
        <v>13827</v>
      </c>
      <c r="C4866" t="s">
        <v>23</v>
      </c>
      <c r="D4866">
        <v>160015.43</v>
      </c>
      <c r="E4866" t="s">
        <v>16</v>
      </c>
      <c r="F4866">
        <v>27</v>
      </c>
      <c r="G4866" t="s">
        <v>21</v>
      </c>
      <c r="H4866" s="1">
        <v>45333</v>
      </c>
      <c r="I4866" s="1">
        <v>45360</v>
      </c>
      <c r="J4866" t="str">
        <f t="shared" si="75"/>
        <v>Feb-2024</v>
      </c>
    </row>
    <row r="4867" spans="1:10">
      <c r="A4867">
        <v>4866</v>
      </c>
      <c r="B4867">
        <v>12323</v>
      </c>
      <c r="C4867" t="s">
        <v>23</v>
      </c>
      <c r="D4867">
        <v>193501.17</v>
      </c>
      <c r="E4867" t="s">
        <v>16</v>
      </c>
      <c r="F4867">
        <v>11</v>
      </c>
      <c r="G4867" t="s">
        <v>21</v>
      </c>
      <c r="H4867" s="1">
        <v>45643</v>
      </c>
      <c r="I4867" s="1">
        <v>45654</v>
      </c>
      <c r="J4867" t="str">
        <f t="shared" ref="J4867:J4930" si="76">TEXT(H4867,"mmm-yyyy")</f>
        <v>Dec-2024</v>
      </c>
    </row>
    <row r="4868" spans="1:10">
      <c r="A4868">
        <v>4867</v>
      </c>
      <c r="B4868">
        <v>11882</v>
      </c>
      <c r="C4868" t="s">
        <v>23</v>
      </c>
      <c r="D4868">
        <v>146783.07999999999</v>
      </c>
      <c r="E4868" t="s">
        <v>19</v>
      </c>
      <c r="F4868">
        <v>14</v>
      </c>
      <c r="G4868" t="s">
        <v>21</v>
      </c>
      <c r="H4868" s="1">
        <v>45401</v>
      </c>
      <c r="I4868" s="1">
        <v>45415</v>
      </c>
      <c r="J4868" t="str">
        <f t="shared" si="76"/>
        <v>Apr-2024</v>
      </c>
    </row>
    <row r="4869" spans="1:10">
      <c r="A4869">
        <v>4868</v>
      </c>
      <c r="B4869">
        <v>11153</v>
      </c>
      <c r="C4869" t="s">
        <v>18</v>
      </c>
      <c r="D4869">
        <v>198607.46</v>
      </c>
      <c r="E4869" t="s">
        <v>16</v>
      </c>
      <c r="F4869">
        <v>43</v>
      </c>
      <c r="G4869" t="s">
        <v>17</v>
      </c>
      <c r="H4869" s="1">
        <v>45361</v>
      </c>
      <c r="I4869" s="1">
        <v>45404</v>
      </c>
      <c r="J4869" t="str">
        <f t="shared" si="76"/>
        <v>Mar-2024</v>
      </c>
    </row>
    <row r="4870" spans="1:10">
      <c r="A4870">
        <v>4869</v>
      </c>
      <c r="B4870">
        <v>13370</v>
      </c>
      <c r="C4870" t="s">
        <v>23</v>
      </c>
      <c r="D4870">
        <v>131954.97</v>
      </c>
      <c r="E4870" t="s">
        <v>16</v>
      </c>
      <c r="F4870">
        <v>15</v>
      </c>
      <c r="G4870" t="s">
        <v>17</v>
      </c>
      <c r="H4870" s="1">
        <v>45575</v>
      </c>
      <c r="I4870" s="1">
        <v>45590</v>
      </c>
      <c r="J4870" t="str">
        <f t="shared" si="76"/>
        <v>Oct-2024</v>
      </c>
    </row>
    <row r="4871" spans="1:10">
      <c r="A4871">
        <v>4870</v>
      </c>
      <c r="B4871">
        <v>18288</v>
      </c>
      <c r="C4871" t="s">
        <v>22</v>
      </c>
      <c r="D4871">
        <v>47404.77</v>
      </c>
      <c r="E4871" t="s">
        <v>19</v>
      </c>
      <c r="F4871">
        <v>10</v>
      </c>
      <c r="G4871" t="s">
        <v>25</v>
      </c>
      <c r="H4871" s="1">
        <v>45417</v>
      </c>
      <c r="I4871" s="1">
        <v>45427</v>
      </c>
      <c r="J4871" t="str">
        <f t="shared" si="76"/>
        <v>May-2024</v>
      </c>
    </row>
    <row r="4872" spans="1:10">
      <c r="A4872">
        <v>4871</v>
      </c>
      <c r="B4872">
        <v>10276</v>
      </c>
      <c r="C4872" t="s">
        <v>18</v>
      </c>
      <c r="D4872">
        <v>44744.800000000003</v>
      </c>
      <c r="E4872" t="s">
        <v>16</v>
      </c>
      <c r="F4872">
        <v>8</v>
      </c>
      <c r="G4872" t="s">
        <v>20</v>
      </c>
      <c r="H4872" s="1">
        <v>45639</v>
      </c>
      <c r="I4872" s="1">
        <v>45647</v>
      </c>
      <c r="J4872" t="str">
        <f t="shared" si="76"/>
        <v>Dec-2024</v>
      </c>
    </row>
    <row r="4873" spans="1:10">
      <c r="A4873">
        <v>4872</v>
      </c>
      <c r="B4873">
        <v>15404</v>
      </c>
      <c r="C4873" t="s">
        <v>18</v>
      </c>
      <c r="D4873">
        <v>68290.039999999994</v>
      </c>
      <c r="E4873" t="s">
        <v>16</v>
      </c>
      <c r="F4873">
        <v>40</v>
      </c>
      <c r="G4873" t="s">
        <v>21</v>
      </c>
      <c r="H4873" s="1">
        <v>45587</v>
      </c>
      <c r="I4873" s="1">
        <v>45627</v>
      </c>
      <c r="J4873" t="str">
        <f t="shared" si="76"/>
        <v>Oct-2024</v>
      </c>
    </row>
    <row r="4874" spans="1:10">
      <c r="A4874">
        <v>4873</v>
      </c>
      <c r="B4874">
        <v>15292</v>
      </c>
      <c r="C4874" t="s">
        <v>23</v>
      </c>
      <c r="D4874">
        <v>6390.35</v>
      </c>
      <c r="E4874" t="s">
        <v>16</v>
      </c>
      <c r="F4874">
        <v>32</v>
      </c>
      <c r="G4874" t="s">
        <v>21</v>
      </c>
      <c r="H4874" s="1">
        <v>45470</v>
      </c>
      <c r="I4874" s="1">
        <v>45502</v>
      </c>
      <c r="J4874" t="str">
        <f t="shared" si="76"/>
        <v>Jun-2024</v>
      </c>
    </row>
    <row r="4875" spans="1:10">
      <c r="A4875">
        <v>4874</v>
      </c>
      <c r="B4875">
        <v>18523</v>
      </c>
      <c r="C4875" t="s">
        <v>18</v>
      </c>
      <c r="D4875">
        <v>137931.20000000001</v>
      </c>
      <c r="E4875" t="s">
        <v>16</v>
      </c>
      <c r="F4875">
        <v>17</v>
      </c>
      <c r="G4875" t="s">
        <v>20</v>
      </c>
      <c r="H4875" s="1">
        <v>45589</v>
      </c>
      <c r="I4875" s="1">
        <v>45606</v>
      </c>
      <c r="J4875" t="str">
        <f t="shared" si="76"/>
        <v>Oct-2024</v>
      </c>
    </row>
    <row r="4876" spans="1:10">
      <c r="A4876">
        <v>4875</v>
      </c>
      <c r="B4876">
        <v>14198</v>
      </c>
      <c r="C4876" t="s">
        <v>23</v>
      </c>
      <c r="D4876">
        <v>57390.22</v>
      </c>
      <c r="E4876" t="s">
        <v>24</v>
      </c>
      <c r="G4876" t="s">
        <v>20</v>
      </c>
      <c r="H4876" s="1">
        <v>45488</v>
      </c>
      <c r="J4876" t="str">
        <f t="shared" si="76"/>
        <v>Jul-2024</v>
      </c>
    </row>
    <row r="4877" spans="1:10">
      <c r="A4877">
        <v>4876</v>
      </c>
      <c r="B4877">
        <v>13696</v>
      </c>
      <c r="C4877" t="s">
        <v>23</v>
      </c>
      <c r="D4877">
        <v>163960.73000000001</v>
      </c>
      <c r="E4877" t="s">
        <v>19</v>
      </c>
      <c r="F4877">
        <v>16</v>
      </c>
      <c r="G4877" t="s">
        <v>25</v>
      </c>
      <c r="H4877" s="1">
        <v>45552</v>
      </c>
      <c r="I4877" s="1">
        <v>45568</v>
      </c>
      <c r="J4877" t="str">
        <f t="shared" si="76"/>
        <v>Sep-2024</v>
      </c>
    </row>
    <row r="4878" spans="1:10">
      <c r="A4878">
        <v>4877</v>
      </c>
      <c r="B4878">
        <v>13202</v>
      </c>
      <c r="C4878" t="s">
        <v>18</v>
      </c>
      <c r="D4878">
        <v>75038.67</v>
      </c>
      <c r="E4878" t="s">
        <v>16</v>
      </c>
      <c r="F4878">
        <v>26</v>
      </c>
      <c r="G4878" t="s">
        <v>20</v>
      </c>
      <c r="H4878" s="1">
        <v>45392</v>
      </c>
      <c r="I4878" s="1">
        <v>45418</v>
      </c>
      <c r="J4878" t="str">
        <f t="shared" si="76"/>
        <v>Apr-2024</v>
      </c>
    </row>
    <row r="4879" spans="1:10">
      <c r="A4879">
        <v>4878</v>
      </c>
      <c r="B4879">
        <v>12086</v>
      </c>
      <c r="C4879" t="s">
        <v>23</v>
      </c>
      <c r="D4879">
        <v>98591.52</v>
      </c>
      <c r="E4879" t="s">
        <v>19</v>
      </c>
      <c r="F4879">
        <v>39</v>
      </c>
      <c r="G4879" t="s">
        <v>21</v>
      </c>
      <c r="H4879" s="1">
        <v>45352</v>
      </c>
      <c r="I4879" s="1">
        <v>45391</v>
      </c>
      <c r="J4879" t="str">
        <f t="shared" si="76"/>
        <v>Mar-2024</v>
      </c>
    </row>
    <row r="4880" spans="1:10">
      <c r="A4880">
        <v>4879</v>
      </c>
      <c r="B4880">
        <v>10306</v>
      </c>
      <c r="C4880" t="s">
        <v>18</v>
      </c>
      <c r="D4880">
        <v>193309.34</v>
      </c>
      <c r="E4880" t="s">
        <v>16</v>
      </c>
      <c r="F4880">
        <v>42</v>
      </c>
      <c r="G4880" t="s">
        <v>21</v>
      </c>
      <c r="H4880" s="1">
        <v>45474</v>
      </c>
      <c r="I4880" s="1">
        <v>45516</v>
      </c>
      <c r="J4880" t="str">
        <f t="shared" si="76"/>
        <v>Jul-2024</v>
      </c>
    </row>
    <row r="4881" spans="1:10">
      <c r="A4881">
        <v>4880</v>
      </c>
      <c r="B4881">
        <v>10883</v>
      </c>
      <c r="C4881" t="s">
        <v>23</v>
      </c>
      <c r="D4881">
        <v>52223.56</v>
      </c>
      <c r="E4881" t="s">
        <v>24</v>
      </c>
      <c r="G4881" t="s">
        <v>21</v>
      </c>
      <c r="H4881" s="1">
        <v>45588</v>
      </c>
      <c r="J4881" t="str">
        <f t="shared" si="76"/>
        <v>Oct-2024</v>
      </c>
    </row>
    <row r="4882" spans="1:10">
      <c r="A4882">
        <v>4881</v>
      </c>
      <c r="B4882">
        <v>16663</v>
      </c>
      <c r="C4882" t="s">
        <v>23</v>
      </c>
      <c r="D4882">
        <v>145644.54999999999</v>
      </c>
      <c r="E4882" t="s">
        <v>16</v>
      </c>
      <c r="F4882">
        <v>26</v>
      </c>
      <c r="G4882" t="s">
        <v>21</v>
      </c>
      <c r="H4882" s="1">
        <v>45300</v>
      </c>
      <c r="I4882" s="1">
        <v>45326</v>
      </c>
      <c r="J4882" t="str">
        <f t="shared" si="76"/>
        <v>Jan-2024</v>
      </c>
    </row>
    <row r="4883" spans="1:10">
      <c r="A4883">
        <v>4882</v>
      </c>
      <c r="B4883">
        <v>16189</v>
      </c>
      <c r="C4883" t="s">
        <v>23</v>
      </c>
      <c r="D4883">
        <v>152247.97</v>
      </c>
      <c r="E4883" t="s">
        <v>16</v>
      </c>
      <c r="F4883">
        <v>8</v>
      </c>
      <c r="G4883" t="s">
        <v>21</v>
      </c>
      <c r="H4883" s="1">
        <v>45497</v>
      </c>
      <c r="I4883" s="1">
        <v>45505</v>
      </c>
      <c r="J4883" t="str">
        <f t="shared" si="76"/>
        <v>Jul-2024</v>
      </c>
    </row>
    <row r="4884" spans="1:10">
      <c r="A4884">
        <v>4883</v>
      </c>
      <c r="B4884">
        <v>14289</v>
      </c>
      <c r="C4884" t="s">
        <v>22</v>
      </c>
      <c r="D4884">
        <v>48094.64</v>
      </c>
      <c r="E4884" t="s">
        <v>16</v>
      </c>
      <c r="F4884">
        <v>27</v>
      </c>
      <c r="G4884" t="s">
        <v>25</v>
      </c>
      <c r="H4884" s="1">
        <v>45609</v>
      </c>
      <c r="I4884" s="1">
        <v>45636</v>
      </c>
      <c r="J4884" t="str">
        <f t="shared" si="76"/>
        <v>Nov-2024</v>
      </c>
    </row>
    <row r="4885" spans="1:10">
      <c r="A4885">
        <v>4884</v>
      </c>
      <c r="B4885">
        <v>13589</v>
      </c>
      <c r="C4885" t="s">
        <v>18</v>
      </c>
      <c r="D4885">
        <v>102694.38</v>
      </c>
      <c r="E4885" t="s">
        <v>16</v>
      </c>
      <c r="F4885">
        <v>9</v>
      </c>
      <c r="G4885" t="s">
        <v>21</v>
      </c>
      <c r="H4885" s="1">
        <v>45345</v>
      </c>
      <c r="I4885" s="1">
        <v>45354</v>
      </c>
      <c r="J4885" t="str">
        <f t="shared" si="76"/>
        <v>Feb-2024</v>
      </c>
    </row>
    <row r="4886" spans="1:10">
      <c r="A4886">
        <v>4885</v>
      </c>
      <c r="B4886">
        <v>13641</v>
      </c>
      <c r="C4886" t="s">
        <v>18</v>
      </c>
      <c r="D4886">
        <v>73289.38</v>
      </c>
      <c r="E4886" t="s">
        <v>16</v>
      </c>
      <c r="F4886">
        <v>19</v>
      </c>
      <c r="G4886" t="s">
        <v>25</v>
      </c>
      <c r="H4886" s="1">
        <v>45471</v>
      </c>
      <c r="I4886" s="1">
        <v>45490</v>
      </c>
      <c r="J4886" t="str">
        <f t="shared" si="76"/>
        <v>Jun-2024</v>
      </c>
    </row>
    <row r="4887" spans="1:10">
      <c r="A4887">
        <v>4886</v>
      </c>
      <c r="B4887">
        <v>17336</v>
      </c>
      <c r="C4887" t="s">
        <v>23</v>
      </c>
      <c r="D4887">
        <v>155521.72</v>
      </c>
      <c r="E4887" t="s">
        <v>16</v>
      </c>
      <c r="F4887">
        <v>22</v>
      </c>
      <c r="G4887" t="s">
        <v>21</v>
      </c>
      <c r="H4887" s="1">
        <v>45395</v>
      </c>
      <c r="I4887" s="1">
        <v>45417</v>
      </c>
      <c r="J4887" t="str">
        <f t="shared" si="76"/>
        <v>Apr-2024</v>
      </c>
    </row>
    <row r="4888" spans="1:10">
      <c r="A4888">
        <v>4887</v>
      </c>
      <c r="B4888">
        <v>15108</v>
      </c>
      <c r="C4888" t="s">
        <v>23</v>
      </c>
      <c r="D4888">
        <v>126384.25</v>
      </c>
      <c r="E4888" t="s">
        <v>19</v>
      </c>
      <c r="F4888">
        <v>17</v>
      </c>
      <c r="G4888" t="s">
        <v>17</v>
      </c>
      <c r="H4888" s="1">
        <v>45417</v>
      </c>
      <c r="I4888" s="1">
        <v>45434</v>
      </c>
      <c r="J4888" t="str">
        <f t="shared" si="76"/>
        <v>May-2024</v>
      </c>
    </row>
    <row r="4889" spans="1:10">
      <c r="A4889">
        <v>4888</v>
      </c>
      <c r="B4889">
        <v>12162</v>
      </c>
      <c r="C4889" t="s">
        <v>22</v>
      </c>
      <c r="D4889">
        <v>97816.7</v>
      </c>
      <c r="E4889" t="s">
        <v>16</v>
      </c>
      <c r="F4889">
        <v>4</v>
      </c>
      <c r="G4889" t="s">
        <v>17</v>
      </c>
      <c r="H4889" s="1">
        <v>45325</v>
      </c>
      <c r="I4889" s="1">
        <v>45329</v>
      </c>
      <c r="J4889" t="str">
        <f t="shared" si="76"/>
        <v>Feb-2024</v>
      </c>
    </row>
    <row r="4890" spans="1:10">
      <c r="A4890">
        <v>4889</v>
      </c>
      <c r="B4890">
        <v>16709</v>
      </c>
      <c r="C4890" t="s">
        <v>23</v>
      </c>
      <c r="D4890">
        <v>156975.84</v>
      </c>
      <c r="E4890" t="s">
        <v>24</v>
      </c>
      <c r="G4890" t="s">
        <v>17</v>
      </c>
      <c r="H4890" s="1">
        <v>45456</v>
      </c>
      <c r="J4890" t="str">
        <f t="shared" si="76"/>
        <v>Jun-2024</v>
      </c>
    </row>
    <row r="4891" spans="1:10">
      <c r="A4891">
        <v>4890</v>
      </c>
      <c r="B4891">
        <v>15167</v>
      </c>
      <c r="C4891" t="s">
        <v>23</v>
      </c>
      <c r="D4891">
        <v>50855.34</v>
      </c>
      <c r="E4891" t="s">
        <v>16</v>
      </c>
      <c r="F4891">
        <v>14</v>
      </c>
      <c r="G4891" t="s">
        <v>17</v>
      </c>
      <c r="H4891" s="1">
        <v>45589</v>
      </c>
      <c r="I4891" s="1">
        <v>45603</v>
      </c>
      <c r="J4891" t="str">
        <f t="shared" si="76"/>
        <v>Oct-2024</v>
      </c>
    </row>
    <row r="4892" spans="1:10">
      <c r="A4892">
        <v>4891</v>
      </c>
      <c r="B4892">
        <v>13141</v>
      </c>
      <c r="C4892" t="s">
        <v>18</v>
      </c>
      <c r="D4892">
        <v>151956.26999999999</v>
      </c>
      <c r="E4892" t="s">
        <v>16</v>
      </c>
      <c r="F4892">
        <v>33</v>
      </c>
      <c r="G4892" t="s">
        <v>25</v>
      </c>
      <c r="H4892" s="1">
        <v>45561</v>
      </c>
      <c r="I4892" s="1">
        <v>45594</v>
      </c>
      <c r="J4892" t="str">
        <f t="shared" si="76"/>
        <v>Sep-2024</v>
      </c>
    </row>
    <row r="4893" spans="1:10">
      <c r="A4893">
        <v>4892</v>
      </c>
      <c r="B4893">
        <v>16131</v>
      </c>
      <c r="C4893" t="s">
        <v>23</v>
      </c>
      <c r="D4893">
        <v>173747.99</v>
      </c>
      <c r="E4893" t="s">
        <v>24</v>
      </c>
      <c r="G4893" t="s">
        <v>25</v>
      </c>
      <c r="H4893" s="1">
        <v>45580</v>
      </c>
      <c r="J4893" t="str">
        <f t="shared" si="76"/>
        <v>Oct-2024</v>
      </c>
    </row>
    <row r="4894" spans="1:10">
      <c r="A4894">
        <v>4893</v>
      </c>
      <c r="B4894">
        <v>14603</v>
      </c>
      <c r="C4894" t="s">
        <v>15</v>
      </c>
      <c r="D4894">
        <v>176331.21</v>
      </c>
      <c r="E4894" t="s">
        <v>16</v>
      </c>
      <c r="F4894">
        <v>32</v>
      </c>
      <c r="G4894" t="s">
        <v>20</v>
      </c>
      <c r="H4894" s="1">
        <v>45409</v>
      </c>
      <c r="I4894" s="1">
        <v>45441</v>
      </c>
      <c r="J4894" t="str">
        <f t="shared" si="76"/>
        <v>Apr-2024</v>
      </c>
    </row>
    <row r="4895" spans="1:10">
      <c r="A4895">
        <v>4894</v>
      </c>
      <c r="B4895">
        <v>10154</v>
      </c>
      <c r="C4895" t="s">
        <v>18</v>
      </c>
      <c r="D4895">
        <v>157816.35</v>
      </c>
      <c r="E4895" t="s">
        <v>19</v>
      </c>
      <c r="F4895">
        <v>42</v>
      </c>
      <c r="G4895" t="s">
        <v>21</v>
      </c>
      <c r="H4895" s="1">
        <v>45645</v>
      </c>
      <c r="I4895" s="1">
        <v>45687</v>
      </c>
      <c r="J4895" t="str">
        <f t="shared" si="76"/>
        <v>Dec-2024</v>
      </c>
    </row>
    <row r="4896" spans="1:10">
      <c r="A4896">
        <v>4895</v>
      </c>
      <c r="B4896">
        <v>13630</v>
      </c>
      <c r="C4896" t="s">
        <v>23</v>
      </c>
      <c r="D4896">
        <v>84562.76</v>
      </c>
      <c r="E4896" t="s">
        <v>19</v>
      </c>
      <c r="F4896">
        <v>3</v>
      </c>
      <c r="G4896" t="s">
        <v>17</v>
      </c>
      <c r="H4896" s="1">
        <v>45383</v>
      </c>
      <c r="I4896" s="1">
        <v>45386</v>
      </c>
      <c r="J4896" t="str">
        <f t="shared" si="76"/>
        <v>Apr-2024</v>
      </c>
    </row>
    <row r="4897" spans="1:10">
      <c r="A4897">
        <v>4896</v>
      </c>
      <c r="B4897">
        <v>18652</v>
      </c>
      <c r="C4897" t="s">
        <v>23</v>
      </c>
      <c r="D4897">
        <v>196452.56</v>
      </c>
      <c r="E4897" t="s">
        <v>16</v>
      </c>
      <c r="F4897">
        <v>42</v>
      </c>
      <c r="G4897" t="s">
        <v>25</v>
      </c>
      <c r="H4897" s="1">
        <v>45391</v>
      </c>
      <c r="I4897" s="1">
        <v>45433</v>
      </c>
      <c r="J4897" t="str">
        <f t="shared" si="76"/>
        <v>Apr-2024</v>
      </c>
    </row>
    <row r="4898" spans="1:10">
      <c r="A4898">
        <v>4897</v>
      </c>
      <c r="B4898">
        <v>11396</v>
      </c>
      <c r="C4898" t="s">
        <v>23</v>
      </c>
      <c r="D4898">
        <v>79020.759999999995</v>
      </c>
      <c r="E4898" t="s">
        <v>16</v>
      </c>
      <c r="F4898">
        <v>9</v>
      </c>
      <c r="G4898" t="s">
        <v>21</v>
      </c>
      <c r="H4898" s="1">
        <v>45378</v>
      </c>
      <c r="I4898" s="1">
        <v>45387</v>
      </c>
      <c r="J4898" t="str">
        <f t="shared" si="76"/>
        <v>Mar-2024</v>
      </c>
    </row>
    <row r="4899" spans="1:10">
      <c r="A4899">
        <v>4898</v>
      </c>
      <c r="B4899">
        <v>18982</v>
      </c>
      <c r="C4899" t="s">
        <v>15</v>
      </c>
      <c r="D4899">
        <v>129531.95</v>
      </c>
      <c r="E4899" t="s">
        <v>16</v>
      </c>
      <c r="F4899">
        <v>26</v>
      </c>
      <c r="G4899" t="s">
        <v>21</v>
      </c>
      <c r="H4899" s="1">
        <v>45525</v>
      </c>
      <c r="I4899" s="1">
        <v>45551</v>
      </c>
      <c r="J4899" t="str">
        <f t="shared" si="76"/>
        <v>Aug-2024</v>
      </c>
    </row>
    <row r="4900" spans="1:10">
      <c r="A4900">
        <v>4899</v>
      </c>
      <c r="B4900">
        <v>16797</v>
      </c>
      <c r="C4900" t="s">
        <v>18</v>
      </c>
      <c r="D4900">
        <v>36409.46</v>
      </c>
      <c r="E4900" t="s">
        <v>16</v>
      </c>
      <c r="F4900">
        <v>6</v>
      </c>
      <c r="G4900" t="s">
        <v>25</v>
      </c>
      <c r="H4900" s="1">
        <v>45415</v>
      </c>
      <c r="I4900" s="1">
        <v>45421</v>
      </c>
      <c r="J4900" t="str">
        <f t="shared" si="76"/>
        <v>May-2024</v>
      </c>
    </row>
    <row r="4901" spans="1:10">
      <c r="A4901">
        <v>4900</v>
      </c>
      <c r="B4901">
        <v>16594</v>
      </c>
      <c r="C4901" t="s">
        <v>23</v>
      </c>
      <c r="D4901">
        <v>196187.54</v>
      </c>
      <c r="E4901" t="s">
        <v>16</v>
      </c>
      <c r="F4901">
        <v>3</v>
      </c>
      <c r="G4901" t="s">
        <v>17</v>
      </c>
      <c r="H4901" s="1">
        <v>45494</v>
      </c>
      <c r="I4901" s="1">
        <v>45497</v>
      </c>
      <c r="J4901" t="str">
        <f t="shared" si="76"/>
        <v>Jul-2024</v>
      </c>
    </row>
    <row r="4902" spans="1:10">
      <c r="A4902">
        <v>4901</v>
      </c>
      <c r="B4902">
        <v>13709</v>
      </c>
      <c r="C4902" t="s">
        <v>23</v>
      </c>
      <c r="D4902">
        <v>142277.25</v>
      </c>
      <c r="E4902" t="s">
        <v>19</v>
      </c>
      <c r="F4902">
        <v>43</v>
      </c>
      <c r="G4902" t="s">
        <v>20</v>
      </c>
      <c r="H4902" s="1">
        <v>45323</v>
      </c>
      <c r="I4902" s="1">
        <v>45366</v>
      </c>
      <c r="J4902" t="str">
        <f t="shared" si="76"/>
        <v>Feb-2024</v>
      </c>
    </row>
    <row r="4903" spans="1:10">
      <c r="A4903">
        <v>4902</v>
      </c>
      <c r="B4903">
        <v>11867</v>
      </c>
      <c r="C4903" t="s">
        <v>18</v>
      </c>
      <c r="D4903">
        <v>151908.62</v>
      </c>
      <c r="E4903" t="s">
        <v>16</v>
      </c>
      <c r="F4903">
        <v>39</v>
      </c>
      <c r="G4903" t="s">
        <v>21</v>
      </c>
      <c r="H4903" s="1">
        <v>45648</v>
      </c>
      <c r="I4903" s="1">
        <v>45687</v>
      </c>
      <c r="J4903" t="str">
        <f t="shared" si="76"/>
        <v>Dec-2024</v>
      </c>
    </row>
    <row r="4904" spans="1:10">
      <c r="A4904">
        <v>4903</v>
      </c>
      <c r="B4904">
        <v>19880</v>
      </c>
      <c r="C4904" t="s">
        <v>18</v>
      </c>
      <c r="D4904">
        <v>17826.46</v>
      </c>
      <c r="E4904" t="s">
        <v>16</v>
      </c>
      <c r="F4904">
        <v>40</v>
      </c>
      <c r="G4904" t="s">
        <v>20</v>
      </c>
      <c r="H4904" s="1">
        <v>45330</v>
      </c>
      <c r="I4904" s="1">
        <v>45370</v>
      </c>
      <c r="J4904" t="str">
        <f t="shared" si="76"/>
        <v>Feb-2024</v>
      </c>
    </row>
    <row r="4905" spans="1:10">
      <c r="A4905">
        <v>4904</v>
      </c>
      <c r="B4905">
        <v>10576</v>
      </c>
      <c r="C4905" t="s">
        <v>23</v>
      </c>
      <c r="D4905">
        <v>153866.47</v>
      </c>
      <c r="E4905" t="s">
        <v>16</v>
      </c>
      <c r="F4905">
        <v>4</v>
      </c>
      <c r="G4905" t="s">
        <v>17</v>
      </c>
      <c r="H4905" s="1">
        <v>45385</v>
      </c>
      <c r="I4905" s="1">
        <v>45389</v>
      </c>
      <c r="J4905" t="str">
        <f t="shared" si="76"/>
        <v>Apr-2024</v>
      </c>
    </row>
    <row r="4906" spans="1:10">
      <c r="A4906">
        <v>4905</v>
      </c>
      <c r="B4906">
        <v>17263</v>
      </c>
      <c r="C4906" t="s">
        <v>23</v>
      </c>
      <c r="D4906">
        <v>156071.07</v>
      </c>
      <c r="E4906" t="s">
        <v>24</v>
      </c>
      <c r="G4906" t="s">
        <v>17</v>
      </c>
      <c r="H4906" s="1">
        <v>45301</v>
      </c>
      <c r="J4906" t="str">
        <f t="shared" si="76"/>
        <v>Jan-2024</v>
      </c>
    </row>
    <row r="4907" spans="1:10">
      <c r="A4907">
        <v>4906</v>
      </c>
      <c r="B4907">
        <v>13764</v>
      </c>
      <c r="C4907" t="s">
        <v>23</v>
      </c>
      <c r="D4907">
        <v>135995.68</v>
      </c>
      <c r="E4907" t="s">
        <v>16</v>
      </c>
      <c r="F4907">
        <v>23</v>
      </c>
      <c r="G4907" t="s">
        <v>20</v>
      </c>
      <c r="H4907" s="1">
        <v>45506</v>
      </c>
      <c r="I4907" s="1">
        <v>45529</v>
      </c>
      <c r="J4907" t="str">
        <f t="shared" si="76"/>
        <v>Aug-2024</v>
      </c>
    </row>
    <row r="4908" spans="1:10">
      <c r="A4908">
        <v>4907</v>
      </c>
      <c r="B4908">
        <v>18553</v>
      </c>
      <c r="C4908" t="s">
        <v>18</v>
      </c>
      <c r="D4908">
        <v>61922.37</v>
      </c>
      <c r="E4908" t="s">
        <v>16</v>
      </c>
      <c r="F4908">
        <v>41</v>
      </c>
      <c r="G4908" t="s">
        <v>17</v>
      </c>
      <c r="H4908" s="1">
        <v>45391</v>
      </c>
      <c r="I4908" s="1">
        <v>45432</v>
      </c>
      <c r="J4908" t="str">
        <f t="shared" si="76"/>
        <v>Apr-2024</v>
      </c>
    </row>
    <row r="4909" spans="1:10">
      <c r="A4909">
        <v>4908</v>
      </c>
      <c r="B4909">
        <v>10456</v>
      </c>
      <c r="C4909" t="s">
        <v>22</v>
      </c>
      <c r="D4909">
        <v>100489.56</v>
      </c>
      <c r="E4909" t="s">
        <v>16</v>
      </c>
      <c r="F4909">
        <v>34</v>
      </c>
      <c r="G4909" t="s">
        <v>21</v>
      </c>
      <c r="H4909" s="1">
        <v>45535</v>
      </c>
      <c r="I4909" s="1">
        <v>45569</v>
      </c>
      <c r="J4909" t="str">
        <f t="shared" si="76"/>
        <v>Aug-2024</v>
      </c>
    </row>
    <row r="4910" spans="1:10">
      <c r="A4910">
        <v>4909</v>
      </c>
      <c r="B4910">
        <v>13561</v>
      </c>
      <c r="C4910" t="s">
        <v>23</v>
      </c>
      <c r="D4910">
        <v>26534.7</v>
      </c>
      <c r="E4910" t="s">
        <v>24</v>
      </c>
      <c r="G4910" t="s">
        <v>20</v>
      </c>
      <c r="H4910" s="1">
        <v>45349</v>
      </c>
      <c r="J4910" t="str">
        <f t="shared" si="76"/>
        <v>Feb-2024</v>
      </c>
    </row>
    <row r="4911" spans="1:10">
      <c r="A4911">
        <v>4910</v>
      </c>
      <c r="B4911">
        <v>13110</v>
      </c>
      <c r="C4911" t="s">
        <v>18</v>
      </c>
      <c r="D4911">
        <v>96959.48</v>
      </c>
      <c r="E4911" t="s">
        <v>24</v>
      </c>
      <c r="G4911" t="s">
        <v>17</v>
      </c>
      <c r="H4911" s="1">
        <v>45648</v>
      </c>
      <c r="J4911" t="str">
        <f t="shared" si="76"/>
        <v>Dec-2024</v>
      </c>
    </row>
    <row r="4912" spans="1:10">
      <c r="A4912">
        <v>4911</v>
      </c>
      <c r="B4912">
        <v>13529</v>
      </c>
      <c r="C4912" t="s">
        <v>23</v>
      </c>
      <c r="D4912">
        <v>52545.65</v>
      </c>
      <c r="E4912" t="s">
        <v>16</v>
      </c>
      <c r="F4912">
        <v>19</v>
      </c>
      <c r="G4912" t="s">
        <v>20</v>
      </c>
      <c r="H4912" s="1">
        <v>45611</v>
      </c>
      <c r="I4912" s="1">
        <v>45630</v>
      </c>
      <c r="J4912" t="str">
        <f t="shared" si="76"/>
        <v>Nov-2024</v>
      </c>
    </row>
    <row r="4913" spans="1:10">
      <c r="A4913">
        <v>4912</v>
      </c>
      <c r="B4913">
        <v>14907</v>
      </c>
      <c r="C4913" t="s">
        <v>23</v>
      </c>
      <c r="D4913">
        <v>73073.91</v>
      </c>
      <c r="E4913" t="s">
        <v>19</v>
      </c>
      <c r="F4913">
        <v>4</v>
      </c>
      <c r="G4913" t="s">
        <v>21</v>
      </c>
      <c r="H4913" s="1">
        <v>45310</v>
      </c>
      <c r="I4913" s="1">
        <v>45314</v>
      </c>
      <c r="J4913" t="str">
        <f t="shared" si="76"/>
        <v>Jan-2024</v>
      </c>
    </row>
    <row r="4914" spans="1:10">
      <c r="A4914">
        <v>4913</v>
      </c>
      <c r="B4914">
        <v>14968</v>
      </c>
      <c r="C4914" t="s">
        <v>23</v>
      </c>
      <c r="D4914">
        <v>36707.08</v>
      </c>
      <c r="E4914" t="s">
        <v>16</v>
      </c>
      <c r="F4914">
        <v>7</v>
      </c>
      <c r="G4914" t="s">
        <v>17</v>
      </c>
      <c r="H4914" s="1">
        <v>45648</v>
      </c>
      <c r="I4914" s="1">
        <v>45655</v>
      </c>
      <c r="J4914" t="str">
        <f t="shared" si="76"/>
        <v>Dec-2024</v>
      </c>
    </row>
    <row r="4915" spans="1:10">
      <c r="A4915">
        <v>4914</v>
      </c>
      <c r="B4915">
        <v>18541</v>
      </c>
      <c r="C4915" t="s">
        <v>15</v>
      </c>
      <c r="D4915">
        <v>49860.6</v>
      </c>
      <c r="E4915" t="s">
        <v>24</v>
      </c>
      <c r="G4915" t="s">
        <v>21</v>
      </c>
      <c r="H4915" s="1">
        <v>45408</v>
      </c>
      <c r="J4915" t="str">
        <f t="shared" si="76"/>
        <v>Apr-2024</v>
      </c>
    </row>
    <row r="4916" spans="1:10">
      <c r="A4916">
        <v>4915</v>
      </c>
      <c r="B4916">
        <v>14547</v>
      </c>
      <c r="C4916" t="s">
        <v>23</v>
      </c>
      <c r="D4916">
        <v>19930.89</v>
      </c>
      <c r="E4916" t="s">
        <v>16</v>
      </c>
      <c r="F4916">
        <v>32</v>
      </c>
      <c r="G4916" t="s">
        <v>17</v>
      </c>
      <c r="H4916" s="1">
        <v>45427</v>
      </c>
      <c r="I4916" s="1">
        <v>45459</v>
      </c>
      <c r="J4916" t="str">
        <f t="shared" si="76"/>
        <v>May-2024</v>
      </c>
    </row>
    <row r="4917" spans="1:10">
      <c r="A4917">
        <v>4916</v>
      </c>
      <c r="B4917">
        <v>14083</v>
      </c>
      <c r="C4917" t="s">
        <v>18</v>
      </c>
      <c r="D4917">
        <v>184380.77</v>
      </c>
      <c r="E4917" t="s">
        <v>16</v>
      </c>
      <c r="F4917">
        <v>18</v>
      </c>
      <c r="G4917" t="s">
        <v>25</v>
      </c>
      <c r="H4917" s="1">
        <v>45618</v>
      </c>
      <c r="I4917" s="1">
        <v>45636</v>
      </c>
      <c r="J4917" t="str">
        <f t="shared" si="76"/>
        <v>Nov-2024</v>
      </c>
    </row>
    <row r="4918" spans="1:10">
      <c r="A4918">
        <v>4917</v>
      </c>
      <c r="B4918">
        <v>10108</v>
      </c>
      <c r="C4918" t="s">
        <v>23</v>
      </c>
      <c r="D4918">
        <v>108430.08</v>
      </c>
      <c r="E4918" t="s">
        <v>16</v>
      </c>
      <c r="F4918">
        <v>22</v>
      </c>
      <c r="G4918" t="s">
        <v>17</v>
      </c>
      <c r="H4918" s="1">
        <v>45587</v>
      </c>
      <c r="I4918" s="1">
        <v>45609</v>
      </c>
      <c r="J4918" t="str">
        <f t="shared" si="76"/>
        <v>Oct-2024</v>
      </c>
    </row>
    <row r="4919" spans="1:10">
      <c r="A4919">
        <v>4918</v>
      </c>
      <c r="B4919">
        <v>17751</v>
      </c>
      <c r="C4919" t="s">
        <v>23</v>
      </c>
      <c r="D4919">
        <v>82364.679999999993</v>
      </c>
      <c r="E4919" t="s">
        <v>16</v>
      </c>
      <c r="F4919">
        <v>17</v>
      </c>
      <c r="G4919" t="s">
        <v>20</v>
      </c>
      <c r="H4919" s="1">
        <v>45304</v>
      </c>
      <c r="I4919" s="1">
        <v>45321</v>
      </c>
      <c r="J4919" t="str">
        <f t="shared" si="76"/>
        <v>Jan-2024</v>
      </c>
    </row>
    <row r="4920" spans="1:10">
      <c r="A4920">
        <v>4919</v>
      </c>
      <c r="B4920">
        <v>11231</v>
      </c>
      <c r="C4920" t="s">
        <v>23</v>
      </c>
      <c r="D4920">
        <v>109330.7</v>
      </c>
      <c r="E4920" t="s">
        <v>19</v>
      </c>
      <c r="F4920">
        <v>18</v>
      </c>
      <c r="G4920" t="s">
        <v>17</v>
      </c>
      <c r="H4920" s="1">
        <v>45392</v>
      </c>
      <c r="I4920" s="1">
        <v>45410</v>
      </c>
      <c r="J4920" t="str">
        <f t="shared" si="76"/>
        <v>Apr-2024</v>
      </c>
    </row>
    <row r="4921" spans="1:10">
      <c r="A4921">
        <v>4920</v>
      </c>
      <c r="B4921">
        <v>10576</v>
      </c>
      <c r="C4921" t="s">
        <v>18</v>
      </c>
      <c r="D4921">
        <v>127517.18</v>
      </c>
      <c r="E4921" t="s">
        <v>16</v>
      </c>
      <c r="F4921">
        <v>33</v>
      </c>
      <c r="G4921" t="s">
        <v>21</v>
      </c>
      <c r="H4921" s="1">
        <v>45446</v>
      </c>
      <c r="I4921" s="1">
        <v>45479</v>
      </c>
      <c r="J4921" t="str">
        <f t="shared" si="76"/>
        <v>Jun-2024</v>
      </c>
    </row>
    <row r="4922" spans="1:10">
      <c r="A4922">
        <v>4921</v>
      </c>
      <c r="B4922">
        <v>10240</v>
      </c>
      <c r="C4922" t="s">
        <v>23</v>
      </c>
      <c r="D4922">
        <v>184766.36</v>
      </c>
      <c r="E4922" t="s">
        <v>24</v>
      </c>
      <c r="G4922" t="s">
        <v>21</v>
      </c>
      <c r="H4922" s="1">
        <v>45373</v>
      </c>
      <c r="J4922" t="str">
        <f t="shared" si="76"/>
        <v>Mar-2024</v>
      </c>
    </row>
    <row r="4923" spans="1:10">
      <c r="A4923">
        <v>4922</v>
      </c>
      <c r="B4923">
        <v>17566</v>
      </c>
      <c r="C4923" t="s">
        <v>18</v>
      </c>
      <c r="D4923">
        <v>39845.129999999997</v>
      </c>
      <c r="E4923" t="s">
        <v>16</v>
      </c>
      <c r="F4923">
        <v>39</v>
      </c>
      <c r="G4923" t="s">
        <v>17</v>
      </c>
      <c r="H4923" s="1">
        <v>45379</v>
      </c>
      <c r="I4923" s="1">
        <v>45418</v>
      </c>
      <c r="J4923" t="str">
        <f t="shared" si="76"/>
        <v>Mar-2024</v>
      </c>
    </row>
    <row r="4924" spans="1:10">
      <c r="A4924">
        <v>4923</v>
      </c>
      <c r="B4924">
        <v>15809</v>
      </c>
      <c r="C4924" t="s">
        <v>23</v>
      </c>
      <c r="D4924">
        <v>62632.74</v>
      </c>
      <c r="E4924" t="s">
        <v>16</v>
      </c>
      <c r="F4924">
        <v>9</v>
      </c>
      <c r="G4924" t="s">
        <v>20</v>
      </c>
      <c r="H4924" s="1">
        <v>45396</v>
      </c>
      <c r="I4924" s="1">
        <v>45405</v>
      </c>
      <c r="J4924" t="str">
        <f t="shared" si="76"/>
        <v>Apr-2024</v>
      </c>
    </row>
    <row r="4925" spans="1:10">
      <c r="A4925">
        <v>4924</v>
      </c>
      <c r="B4925">
        <v>16721</v>
      </c>
      <c r="C4925" t="s">
        <v>23</v>
      </c>
      <c r="D4925">
        <v>195278.92</v>
      </c>
      <c r="E4925" t="s">
        <v>16</v>
      </c>
      <c r="F4925">
        <v>2</v>
      </c>
      <c r="G4925" t="s">
        <v>25</v>
      </c>
      <c r="H4925" s="1">
        <v>45421</v>
      </c>
      <c r="I4925" s="1">
        <v>45423</v>
      </c>
      <c r="J4925" t="str">
        <f t="shared" si="76"/>
        <v>May-2024</v>
      </c>
    </row>
    <row r="4926" spans="1:10">
      <c r="A4926">
        <v>4925</v>
      </c>
      <c r="B4926">
        <v>10370</v>
      </c>
      <c r="C4926" t="s">
        <v>23</v>
      </c>
      <c r="D4926">
        <v>77382.63</v>
      </c>
      <c r="E4926" t="s">
        <v>16</v>
      </c>
      <c r="F4926">
        <v>3</v>
      </c>
      <c r="G4926" t="s">
        <v>20</v>
      </c>
      <c r="H4926" s="1">
        <v>45563</v>
      </c>
      <c r="I4926" s="1">
        <v>45566</v>
      </c>
      <c r="J4926" t="str">
        <f t="shared" si="76"/>
        <v>Sep-2024</v>
      </c>
    </row>
    <row r="4927" spans="1:10">
      <c r="A4927">
        <v>4926</v>
      </c>
      <c r="B4927">
        <v>16054</v>
      </c>
      <c r="C4927" t="s">
        <v>23</v>
      </c>
      <c r="D4927">
        <v>9399.52</v>
      </c>
      <c r="E4927" t="s">
        <v>19</v>
      </c>
      <c r="F4927">
        <v>38</v>
      </c>
      <c r="G4927" t="s">
        <v>25</v>
      </c>
      <c r="H4927" s="1">
        <v>45305</v>
      </c>
      <c r="I4927" s="1">
        <v>45343</v>
      </c>
      <c r="J4927" t="str">
        <f t="shared" si="76"/>
        <v>Jan-2024</v>
      </c>
    </row>
    <row r="4928" spans="1:10">
      <c r="A4928">
        <v>4927</v>
      </c>
      <c r="B4928">
        <v>10097</v>
      </c>
      <c r="C4928" t="s">
        <v>23</v>
      </c>
      <c r="D4928">
        <v>33790.480000000003</v>
      </c>
      <c r="E4928" t="s">
        <v>16</v>
      </c>
      <c r="F4928">
        <v>25</v>
      </c>
      <c r="G4928" t="s">
        <v>21</v>
      </c>
      <c r="H4928" s="1">
        <v>45419</v>
      </c>
      <c r="I4928" s="1">
        <v>45444</v>
      </c>
      <c r="J4928" t="str">
        <f t="shared" si="76"/>
        <v>May-2024</v>
      </c>
    </row>
    <row r="4929" spans="1:10">
      <c r="A4929">
        <v>4928</v>
      </c>
      <c r="B4929">
        <v>15606</v>
      </c>
      <c r="C4929" t="s">
        <v>23</v>
      </c>
      <c r="D4929">
        <v>10136.049999999999</v>
      </c>
      <c r="E4929" t="s">
        <v>16</v>
      </c>
      <c r="F4929">
        <v>28</v>
      </c>
      <c r="G4929" t="s">
        <v>20</v>
      </c>
      <c r="H4929" s="1">
        <v>45351</v>
      </c>
      <c r="I4929" s="1">
        <v>45379</v>
      </c>
      <c r="J4929" t="str">
        <f t="shared" si="76"/>
        <v>Feb-2024</v>
      </c>
    </row>
    <row r="4930" spans="1:10">
      <c r="A4930">
        <v>4929</v>
      </c>
      <c r="B4930">
        <v>18156</v>
      </c>
      <c r="C4930" t="s">
        <v>18</v>
      </c>
      <c r="D4930">
        <v>198035.01</v>
      </c>
      <c r="E4930" t="s">
        <v>16</v>
      </c>
      <c r="F4930">
        <v>21</v>
      </c>
      <c r="G4930" t="s">
        <v>25</v>
      </c>
      <c r="H4930" s="1">
        <v>45518</v>
      </c>
      <c r="I4930" s="1">
        <v>45539</v>
      </c>
      <c r="J4930" t="str">
        <f t="shared" si="76"/>
        <v>Aug-2024</v>
      </c>
    </row>
    <row r="4931" spans="1:10">
      <c r="A4931">
        <v>4930</v>
      </c>
      <c r="B4931">
        <v>19687</v>
      </c>
      <c r="C4931" t="s">
        <v>18</v>
      </c>
      <c r="D4931">
        <v>59379.82</v>
      </c>
      <c r="E4931" t="s">
        <v>16</v>
      </c>
      <c r="F4931">
        <v>22</v>
      </c>
      <c r="G4931" t="s">
        <v>17</v>
      </c>
      <c r="H4931" s="1">
        <v>45308</v>
      </c>
      <c r="I4931" s="1">
        <v>45330</v>
      </c>
      <c r="J4931" t="str">
        <f t="shared" ref="J4931:J4994" si="77">TEXT(H4931,"mmm-yyyy")</f>
        <v>Jan-2024</v>
      </c>
    </row>
    <row r="4932" spans="1:10">
      <c r="A4932">
        <v>4931</v>
      </c>
      <c r="B4932">
        <v>12455</v>
      </c>
      <c r="C4932" t="s">
        <v>23</v>
      </c>
      <c r="D4932">
        <v>185090.84</v>
      </c>
      <c r="E4932" t="s">
        <v>24</v>
      </c>
      <c r="G4932" t="s">
        <v>21</v>
      </c>
      <c r="H4932" s="1">
        <v>45336</v>
      </c>
      <c r="J4932" t="str">
        <f t="shared" si="77"/>
        <v>Feb-2024</v>
      </c>
    </row>
    <row r="4933" spans="1:10">
      <c r="A4933">
        <v>4932</v>
      </c>
      <c r="B4933">
        <v>13446</v>
      </c>
      <c r="C4933" t="s">
        <v>23</v>
      </c>
      <c r="D4933">
        <v>199197.82</v>
      </c>
      <c r="E4933" t="s">
        <v>16</v>
      </c>
      <c r="F4933">
        <v>38</v>
      </c>
      <c r="G4933" t="s">
        <v>17</v>
      </c>
      <c r="H4933" s="1">
        <v>45329</v>
      </c>
      <c r="I4933" s="1">
        <v>45367</v>
      </c>
      <c r="J4933" t="str">
        <f t="shared" si="77"/>
        <v>Feb-2024</v>
      </c>
    </row>
    <row r="4934" spans="1:10">
      <c r="A4934">
        <v>4933</v>
      </c>
      <c r="B4934">
        <v>19597</v>
      </c>
      <c r="C4934" t="s">
        <v>23</v>
      </c>
      <c r="D4934">
        <v>121969.04</v>
      </c>
      <c r="E4934" t="s">
        <v>19</v>
      </c>
      <c r="F4934">
        <v>36</v>
      </c>
      <c r="G4934" t="s">
        <v>21</v>
      </c>
      <c r="H4934" s="1">
        <v>45415</v>
      </c>
      <c r="I4934" s="1">
        <v>45451</v>
      </c>
      <c r="J4934" t="str">
        <f t="shared" si="77"/>
        <v>May-2024</v>
      </c>
    </row>
    <row r="4935" spans="1:10">
      <c r="A4935">
        <v>4934</v>
      </c>
      <c r="B4935">
        <v>14811</v>
      </c>
      <c r="C4935" t="s">
        <v>23</v>
      </c>
      <c r="D4935">
        <v>11473.28</v>
      </c>
      <c r="E4935" t="s">
        <v>16</v>
      </c>
      <c r="F4935">
        <v>39</v>
      </c>
      <c r="G4935" t="s">
        <v>20</v>
      </c>
      <c r="H4935" s="1">
        <v>45651</v>
      </c>
      <c r="I4935" s="1">
        <v>45690</v>
      </c>
      <c r="J4935" t="str">
        <f t="shared" si="77"/>
        <v>Dec-2024</v>
      </c>
    </row>
    <row r="4936" spans="1:10">
      <c r="A4936">
        <v>4935</v>
      </c>
      <c r="B4936">
        <v>17827</v>
      </c>
      <c r="C4936" t="s">
        <v>23</v>
      </c>
      <c r="D4936">
        <v>20910.37</v>
      </c>
      <c r="E4936" t="s">
        <v>16</v>
      </c>
      <c r="F4936">
        <v>16</v>
      </c>
      <c r="G4936" t="s">
        <v>20</v>
      </c>
      <c r="H4936" s="1">
        <v>45355</v>
      </c>
      <c r="I4936" s="1">
        <v>45371</v>
      </c>
      <c r="J4936" t="str">
        <f t="shared" si="77"/>
        <v>Mar-2024</v>
      </c>
    </row>
    <row r="4937" spans="1:10">
      <c r="A4937">
        <v>4936</v>
      </c>
      <c r="B4937">
        <v>12691</v>
      </c>
      <c r="C4937" t="s">
        <v>15</v>
      </c>
      <c r="D4937">
        <v>98909.87</v>
      </c>
      <c r="E4937" t="s">
        <v>24</v>
      </c>
      <c r="G4937" t="s">
        <v>21</v>
      </c>
      <c r="H4937" s="1">
        <v>45544</v>
      </c>
      <c r="J4937" t="str">
        <f t="shared" si="77"/>
        <v>Sep-2024</v>
      </c>
    </row>
    <row r="4938" spans="1:10">
      <c r="A4938">
        <v>4937</v>
      </c>
      <c r="B4938">
        <v>10972</v>
      </c>
      <c r="C4938" t="s">
        <v>23</v>
      </c>
      <c r="D4938">
        <v>84203.54</v>
      </c>
      <c r="E4938" t="s">
        <v>16</v>
      </c>
      <c r="F4938">
        <v>31</v>
      </c>
      <c r="G4938" t="s">
        <v>21</v>
      </c>
      <c r="H4938" s="1">
        <v>45553</v>
      </c>
      <c r="I4938" s="1">
        <v>45584</v>
      </c>
      <c r="J4938" t="str">
        <f t="shared" si="77"/>
        <v>Sep-2024</v>
      </c>
    </row>
    <row r="4939" spans="1:10">
      <c r="A4939">
        <v>4938</v>
      </c>
      <c r="B4939">
        <v>19704</v>
      </c>
      <c r="C4939" t="s">
        <v>23</v>
      </c>
      <c r="D4939">
        <v>123204.57</v>
      </c>
      <c r="E4939" t="s">
        <v>16</v>
      </c>
      <c r="F4939">
        <v>5</v>
      </c>
      <c r="G4939" t="s">
        <v>21</v>
      </c>
      <c r="H4939" s="1">
        <v>45403</v>
      </c>
      <c r="I4939" s="1">
        <v>45408</v>
      </c>
      <c r="J4939" t="str">
        <f t="shared" si="77"/>
        <v>Apr-2024</v>
      </c>
    </row>
    <row r="4940" spans="1:10">
      <c r="A4940">
        <v>4939</v>
      </c>
      <c r="B4940">
        <v>17806</v>
      </c>
      <c r="C4940" t="s">
        <v>23</v>
      </c>
      <c r="D4940">
        <v>90575.32</v>
      </c>
      <c r="E4940" t="s">
        <v>16</v>
      </c>
      <c r="F4940">
        <v>44</v>
      </c>
      <c r="G4940" t="s">
        <v>20</v>
      </c>
      <c r="H4940" s="1">
        <v>45393</v>
      </c>
      <c r="I4940" s="1">
        <v>45437</v>
      </c>
      <c r="J4940" t="str">
        <f t="shared" si="77"/>
        <v>Apr-2024</v>
      </c>
    </row>
    <row r="4941" spans="1:10">
      <c r="A4941">
        <v>4940</v>
      </c>
      <c r="B4941">
        <v>12923</v>
      </c>
      <c r="C4941" t="s">
        <v>23</v>
      </c>
      <c r="D4941">
        <v>187144.99</v>
      </c>
      <c r="E4941" t="s">
        <v>16</v>
      </c>
      <c r="F4941">
        <v>40</v>
      </c>
      <c r="G4941" t="s">
        <v>25</v>
      </c>
      <c r="H4941" s="1">
        <v>45340</v>
      </c>
      <c r="I4941" s="1">
        <v>45380</v>
      </c>
      <c r="J4941" t="str">
        <f t="shared" si="77"/>
        <v>Feb-2024</v>
      </c>
    </row>
    <row r="4942" spans="1:10">
      <c r="A4942">
        <v>4941</v>
      </c>
      <c r="B4942">
        <v>15001</v>
      </c>
      <c r="C4942" t="s">
        <v>18</v>
      </c>
      <c r="D4942">
        <v>109274.24000000001</v>
      </c>
      <c r="E4942" t="s">
        <v>19</v>
      </c>
      <c r="F4942">
        <v>16</v>
      </c>
      <c r="G4942" t="s">
        <v>17</v>
      </c>
      <c r="H4942" s="1">
        <v>45568</v>
      </c>
      <c r="I4942" s="1">
        <v>45584</v>
      </c>
      <c r="J4942" t="str">
        <f t="shared" si="77"/>
        <v>Oct-2024</v>
      </c>
    </row>
    <row r="4943" spans="1:10">
      <c r="A4943">
        <v>4942</v>
      </c>
      <c r="B4943">
        <v>10808</v>
      </c>
      <c r="C4943" t="s">
        <v>23</v>
      </c>
      <c r="D4943">
        <v>140276.57999999999</v>
      </c>
      <c r="E4943" t="s">
        <v>16</v>
      </c>
      <c r="F4943">
        <v>24</v>
      </c>
      <c r="G4943" t="s">
        <v>17</v>
      </c>
      <c r="H4943" s="1">
        <v>45518</v>
      </c>
      <c r="I4943" s="1">
        <v>45542</v>
      </c>
      <c r="J4943" t="str">
        <f t="shared" si="77"/>
        <v>Aug-2024</v>
      </c>
    </row>
    <row r="4944" spans="1:10">
      <c r="A4944">
        <v>4943</v>
      </c>
      <c r="B4944">
        <v>17476</v>
      </c>
      <c r="C4944" t="s">
        <v>23</v>
      </c>
      <c r="D4944">
        <v>179814.63</v>
      </c>
      <c r="E4944" t="s">
        <v>24</v>
      </c>
      <c r="G4944" t="s">
        <v>20</v>
      </c>
      <c r="H4944" s="1">
        <v>45314</v>
      </c>
      <c r="J4944" t="str">
        <f t="shared" si="77"/>
        <v>Jan-2024</v>
      </c>
    </row>
    <row r="4945" spans="1:10">
      <c r="A4945">
        <v>4944</v>
      </c>
      <c r="B4945">
        <v>15963</v>
      </c>
      <c r="C4945" t="s">
        <v>18</v>
      </c>
      <c r="D4945">
        <v>33640.019999999997</v>
      </c>
      <c r="E4945" t="s">
        <v>16</v>
      </c>
      <c r="F4945">
        <v>16</v>
      </c>
      <c r="G4945" t="s">
        <v>17</v>
      </c>
      <c r="H4945" s="1">
        <v>45623</v>
      </c>
      <c r="I4945" s="1">
        <v>45639</v>
      </c>
      <c r="J4945" t="str">
        <f t="shared" si="77"/>
        <v>Nov-2024</v>
      </c>
    </row>
    <row r="4946" spans="1:10">
      <c r="A4946">
        <v>4945</v>
      </c>
      <c r="B4946">
        <v>15935</v>
      </c>
      <c r="C4946" t="s">
        <v>23</v>
      </c>
      <c r="D4946">
        <v>49798.26</v>
      </c>
      <c r="E4946" t="s">
        <v>16</v>
      </c>
      <c r="F4946">
        <v>27</v>
      </c>
      <c r="G4946" t="s">
        <v>21</v>
      </c>
      <c r="H4946" s="1">
        <v>45476</v>
      </c>
      <c r="I4946" s="1">
        <v>45503</v>
      </c>
      <c r="J4946" t="str">
        <f t="shared" si="77"/>
        <v>Jul-2024</v>
      </c>
    </row>
    <row r="4947" spans="1:10">
      <c r="A4947">
        <v>4946</v>
      </c>
      <c r="B4947">
        <v>14230</v>
      </c>
      <c r="C4947" t="s">
        <v>18</v>
      </c>
      <c r="D4947">
        <v>25927.14</v>
      </c>
      <c r="E4947" t="s">
        <v>16</v>
      </c>
      <c r="F4947">
        <v>13</v>
      </c>
      <c r="G4947" t="s">
        <v>25</v>
      </c>
      <c r="H4947" s="1">
        <v>45355</v>
      </c>
      <c r="I4947" s="1">
        <v>45368</v>
      </c>
      <c r="J4947" t="str">
        <f t="shared" si="77"/>
        <v>Mar-2024</v>
      </c>
    </row>
    <row r="4948" spans="1:10">
      <c r="A4948">
        <v>4947</v>
      </c>
      <c r="B4948">
        <v>10327</v>
      </c>
      <c r="C4948" t="s">
        <v>18</v>
      </c>
      <c r="D4948">
        <v>32229.49</v>
      </c>
      <c r="E4948" t="s">
        <v>16</v>
      </c>
      <c r="F4948">
        <v>19</v>
      </c>
      <c r="G4948" t="s">
        <v>17</v>
      </c>
      <c r="H4948" s="1">
        <v>45448</v>
      </c>
      <c r="I4948" s="1">
        <v>45467</v>
      </c>
      <c r="J4948" t="str">
        <f t="shared" si="77"/>
        <v>Jun-2024</v>
      </c>
    </row>
    <row r="4949" spans="1:10">
      <c r="A4949">
        <v>4948</v>
      </c>
      <c r="B4949">
        <v>10682</v>
      </c>
      <c r="C4949" t="s">
        <v>23</v>
      </c>
      <c r="D4949">
        <v>104953.87</v>
      </c>
      <c r="E4949" t="s">
        <v>24</v>
      </c>
      <c r="G4949" t="s">
        <v>25</v>
      </c>
      <c r="H4949" s="1">
        <v>45574</v>
      </c>
      <c r="J4949" t="str">
        <f t="shared" si="77"/>
        <v>Oct-2024</v>
      </c>
    </row>
    <row r="4950" spans="1:10">
      <c r="A4950">
        <v>4949</v>
      </c>
      <c r="B4950">
        <v>10123</v>
      </c>
      <c r="C4950" t="s">
        <v>18</v>
      </c>
      <c r="D4950">
        <v>67629.960000000006</v>
      </c>
      <c r="E4950" t="s">
        <v>16</v>
      </c>
      <c r="F4950">
        <v>19</v>
      </c>
      <c r="G4950" t="s">
        <v>21</v>
      </c>
      <c r="H4950" s="1">
        <v>45440</v>
      </c>
      <c r="I4950" s="1">
        <v>45459</v>
      </c>
      <c r="J4950" t="str">
        <f t="shared" si="77"/>
        <v>May-2024</v>
      </c>
    </row>
    <row r="4951" spans="1:10">
      <c r="A4951">
        <v>4950</v>
      </c>
      <c r="B4951">
        <v>10753</v>
      </c>
      <c r="C4951" t="s">
        <v>23</v>
      </c>
      <c r="D4951">
        <v>87518.7</v>
      </c>
      <c r="E4951" t="s">
        <v>16</v>
      </c>
      <c r="F4951">
        <v>25</v>
      </c>
      <c r="G4951" t="s">
        <v>17</v>
      </c>
      <c r="H4951" s="1">
        <v>45618</v>
      </c>
      <c r="I4951" s="1">
        <v>45643</v>
      </c>
      <c r="J4951" t="str">
        <f t="shared" si="77"/>
        <v>Nov-2024</v>
      </c>
    </row>
    <row r="4952" spans="1:10">
      <c r="A4952">
        <v>4951</v>
      </c>
      <c r="B4952">
        <v>18114</v>
      </c>
      <c r="C4952" t="s">
        <v>18</v>
      </c>
      <c r="D4952">
        <v>196585.52</v>
      </c>
      <c r="E4952" t="s">
        <v>19</v>
      </c>
      <c r="F4952">
        <v>39</v>
      </c>
      <c r="G4952" t="s">
        <v>20</v>
      </c>
      <c r="H4952" s="1">
        <v>45654</v>
      </c>
      <c r="I4952" s="1">
        <v>45693</v>
      </c>
      <c r="J4952" t="str">
        <f t="shared" si="77"/>
        <v>Dec-2024</v>
      </c>
    </row>
    <row r="4953" spans="1:10">
      <c r="A4953">
        <v>4952</v>
      </c>
      <c r="B4953">
        <v>11606</v>
      </c>
      <c r="C4953" t="s">
        <v>23</v>
      </c>
      <c r="D4953">
        <v>35557.35</v>
      </c>
      <c r="E4953" t="s">
        <v>19</v>
      </c>
      <c r="F4953">
        <v>29</v>
      </c>
      <c r="G4953" t="s">
        <v>25</v>
      </c>
      <c r="H4953" s="1">
        <v>45460</v>
      </c>
      <c r="I4953" s="1">
        <v>45489</v>
      </c>
      <c r="J4953" t="str">
        <f t="shared" si="77"/>
        <v>Jun-2024</v>
      </c>
    </row>
    <row r="4954" spans="1:10">
      <c r="A4954">
        <v>4953</v>
      </c>
      <c r="B4954">
        <v>16525</v>
      </c>
      <c r="C4954" t="s">
        <v>23</v>
      </c>
      <c r="D4954">
        <v>110458.35</v>
      </c>
      <c r="E4954" t="s">
        <v>16</v>
      </c>
      <c r="F4954">
        <v>16</v>
      </c>
      <c r="G4954" t="s">
        <v>21</v>
      </c>
      <c r="H4954" s="1">
        <v>45424</v>
      </c>
      <c r="I4954" s="1">
        <v>45440</v>
      </c>
      <c r="J4954" t="str">
        <f t="shared" si="77"/>
        <v>May-2024</v>
      </c>
    </row>
    <row r="4955" spans="1:10">
      <c r="A4955">
        <v>4954</v>
      </c>
      <c r="B4955">
        <v>13578</v>
      </c>
      <c r="C4955" t="s">
        <v>18</v>
      </c>
      <c r="D4955">
        <v>24279.88</v>
      </c>
      <c r="E4955" t="s">
        <v>19</v>
      </c>
      <c r="F4955">
        <v>20</v>
      </c>
      <c r="G4955" t="s">
        <v>25</v>
      </c>
      <c r="H4955" s="1">
        <v>45605</v>
      </c>
      <c r="I4955" s="1">
        <v>45625</v>
      </c>
      <c r="J4955" t="str">
        <f t="shared" si="77"/>
        <v>Nov-2024</v>
      </c>
    </row>
    <row r="4956" spans="1:10">
      <c r="A4956">
        <v>4955</v>
      </c>
      <c r="B4956">
        <v>14666</v>
      </c>
      <c r="C4956" t="s">
        <v>15</v>
      </c>
      <c r="D4956">
        <v>67106.78</v>
      </c>
      <c r="E4956" t="s">
        <v>16</v>
      </c>
      <c r="F4956">
        <v>6</v>
      </c>
      <c r="G4956" t="s">
        <v>17</v>
      </c>
      <c r="H4956" s="1">
        <v>45423</v>
      </c>
      <c r="I4956" s="1">
        <v>45429</v>
      </c>
      <c r="J4956" t="str">
        <f t="shared" si="77"/>
        <v>May-2024</v>
      </c>
    </row>
    <row r="4957" spans="1:10">
      <c r="A4957">
        <v>4956</v>
      </c>
      <c r="B4957">
        <v>17208</v>
      </c>
      <c r="C4957" t="s">
        <v>22</v>
      </c>
      <c r="D4957">
        <v>107867.56</v>
      </c>
      <c r="E4957" t="s">
        <v>16</v>
      </c>
      <c r="F4957">
        <v>5</v>
      </c>
      <c r="G4957" t="s">
        <v>17</v>
      </c>
      <c r="H4957" s="1">
        <v>45488</v>
      </c>
      <c r="I4957" s="1">
        <v>45493</v>
      </c>
      <c r="J4957" t="str">
        <f t="shared" si="77"/>
        <v>Jul-2024</v>
      </c>
    </row>
    <row r="4958" spans="1:10">
      <c r="A4958">
        <v>4957</v>
      </c>
      <c r="B4958">
        <v>19660</v>
      </c>
      <c r="C4958" t="s">
        <v>18</v>
      </c>
      <c r="D4958">
        <v>189593.19</v>
      </c>
      <c r="E4958" t="s">
        <v>16</v>
      </c>
      <c r="F4958">
        <v>18</v>
      </c>
      <c r="G4958" t="s">
        <v>20</v>
      </c>
      <c r="H4958" s="1">
        <v>45426</v>
      </c>
      <c r="I4958" s="1">
        <v>45444</v>
      </c>
      <c r="J4958" t="str">
        <f t="shared" si="77"/>
        <v>May-2024</v>
      </c>
    </row>
    <row r="4959" spans="1:10">
      <c r="A4959">
        <v>4958</v>
      </c>
      <c r="B4959">
        <v>12845</v>
      </c>
      <c r="C4959" t="s">
        <v>23</v>
      </c>
      <c r="D4959">
        <v>81289.5</v>
      </c>
      <c r="E4959" t="s">
        <v>16</v>
      </c>
      <c r="F4959">
        <v>11</v>
      </c>
      <c r="G4959" t="s">
        <v>21</v>
      </c>
      <c r="H4959" s="1">
        <v>45326</v>
      </c>
      <c r="I4959" s="1">
        <v>45337</v>
      </c>
      <c r="J4959" t="str">
        <f t="shared" si="77"/>
        <v>Feb-2024</v>
      </c>
    </row>
    <row r="4960" spans="1:10">
      <c r="A4960">
        <v>4959</v>
      </c>
      <c r="B4960">
        <v>12938</v>
      </c>
      <c r="C4960" t="s">
        <v>23</v>
      </c>
      <c r="D4960">
        <v>17656.810000000001</v>
      </c>
      <c r="E4960" t="s">
        <v>16</v>
      </c>
      <c r="F4960">
        <v>13</v>
      </c>
      <c r="G4960" t="s">
        <v>21</v>
      </c>
      <c r="H4960" s="1">
        <v>45511</v>
      </c>
      <c r="I4960" s="1">
        <v>45524</v>
      </c>
      <c r="J4960" t="str">
        <f t="shared" si="77"/>
        <v>Aug-2024</v>
      </c>
    </row>
    <row r="4961" spans="1:10">
      <c r="A4961">
        <v>4960</v>
      </c>
      <c r="B4961">
        <v>16319</v>
      </c>
      <c r="C4961" t="s">
        <v>23</v>
      </c>
      <c r="D4961">
        <v>80691.48</v>
      </c>
      <c r="E4961" t="s">
        <v>16</v>
      </c>
      <c r="F4961">
        <v>6</v>
      </c>
      <c r="G4961" t="s">
        <v>20</v>
      </c>
      <c r="H4961" s="1">
        <v>45476</v>
      </c>
      <c r="I4961" s="1">
        <v>45482</v>
      </c>
      <c r="J4961" t="str">
        <f t="shared" si="77"/>
        <v>Jul-2024</v>
      </c>
    </row>
    <row r="4962" spans="1:10">
      <c r="A4962">
        <v>4961</v>
      </c>
      <c r="B4962">
        <v>12427</v>
      </c>
      <c r="C4962" t="s">
        <v>23</v>
      </c>
      <c r="D4962">
        <v>33419.53</v>
      </c>
      <c r="E4962" t="s">
        <v>16</v>
      </c>
      <c r="F4962">
        <v>8</v>
      </c>
      <c r="G4962" t="s">
        <v>20</v>
      </c>
      <c r="H4962" s="1">
        <v>45296</v>
      </c>
      <c r="I4962" s="1">
        <v>45304</v>
      </c>
      <c r="J4962" t="str">
        <f t="shared" si="77"/>
        <v>Jan-2024</v>
      </c>
    </row>
    <row r="4963" spans="1:10">
      <c r="A4963">
        <v>4962</v>
      </c>
      <c r="B4963">
        <v>18356</v>
      </c>
      <c r="C4963" t="s">
        <v>23</v>
      </c>
      <c r="D4963">
        <v>49847.97</v>
      </c>
      <c r="E4963" t="s">
        <v>19</v>
      </c>
      <c r="F4963">
        <v>24</v>
      </c>
      <c r="G4963" t="s">
        <v>21</v>
      </c>
      <c r="H4963" s="1">
        <v>45362</v>
      </c>
      <c r="I4963" s="1">
        <v>45386</v>
      </c>
      <c r="J4963" t="str">
        <f t="shared" si="77"/>
        <v>Mar-2024</v>
      </c>
    </row>
    <row r="4964" spans="1:10">
      <c r="A4964">
        <v>4963</v>
      </c>
      <c r="B4964">
        <v>19701</v>
      </c>
      <c r="C4964" t="s">
        <v>22</v>
      </c>
      <c r="D4964">
        <v>125527.67</v>
      </c>
      <c r="E4964" t="s">
        <v>24</v>
      </c>
      <c r="G4964" t="s">
        <v>25</v>
      </c>
      <c r="H4964" s="1">
        <v>45633</v>
      </c>
      <c r="J4964" t="str">
        <f t="shared" si="77"/>
        <v>Dec-2024</v>
      </c>
    </row>
    <row r="4965" spans="1:10">
      <c r="A4965">
        <v>4964</v>
      </c>
      <c r="B4965">
        <v>18156</v>
      </c>
      <c r="C4965" t="s">
        <v>23</v>
      </c>
      <c r="D4965">
        <v>18147.650000000001</v>
      </c>
      <c r="E4965" t="s">
        <v>19</v>
      </c>
      <c r="F4965">
        <v>31</v>
      </c>
      <c r="G4965" t="s">
        <v>25</v>
      </c>
      <c r="H4965" s="1">
        <v>45532</v>
      </c>
      <c r="I4965" s="1">
        <v>45563</v>
      </c>
      <c r="J4965" t="str">
        <f t="shared" si="77"/>
        <v>Aug-2024</v>
      </c>
    </row>
    <row r="4966" spans="1:10">
      <c r="A4966">
        <v>4965</v>
      </c>
      <c r="B4966">
        <v>16907</v>
      </c>
      <c r="C4966" t="s">
        <v>23</v>
      </c>
      <c r="D4966">
        <v>95621.13</v>
      </c>
      <c r="E4966" t="s">
        <v>16</v>
      </c>
      <c r="F4966">
        <v>38</v>
      </c>
      <c r="G4966" t="s">
        <v>20</v>
      </c>
      <c r="H4966" s="1">
        <v>45642</v>
      </c>
      <c r="I4966" s="1">
        <v>45680</v>
      </c>
      <c r="J4966" t="str">
        <f t="shared" si="77"/>
        <v>Dec-2024</v>
      </c>
    </row>
    <row r="4967" spans="1:10">
      <c r="A4967">
        <v>4966</v>
      </c>
      <c r="B4967">
        <v>17732</v>
      </c>
      <c r="C4967" t="s">
        <v>23</v>
      </c>
      <c r="D4967">
        <v>123845.01</v>
      </c>
      <c r="E4967" t="s">
        <v>16</v>
      </c>
      <c r="F4967">
        <v>6</v>
      </c>
      <c r="G4967" t="s">
        <v>25</v>
      </c>
      <c r="H4967" s="1">
        <v>45588</v>
      </c>
      <c r="I4967" s="1">
        <v>45594</v>
      </c>
      <c r="J4967" t="str">
        <f t="shared" si="77"/>
        <v>Oct-2024</v>
      </c>
    </row>
    <row r="4968" spans="1:10">
      <c r="A4968">
        <v>4967</v>
      </c>
      <c r="B4968">
        <v>15886</v>
      </c>
      <c r="C4968" t="s">
        <v>15</v>
      </c>
      <c r="D4968">
        <v>87262.39</v>
      </c>
      <c r="E4968" t="s">
        <v>16</v>
      </c>
      <c r="F4968">
        <v>21</v>
      </c>
      <c r="G4968" t="s">
        <v>21</v>
      </c>
      <c r="H4968" s="1">
        <v>45622</v>
      </c>
      <c r="I4968" s="1">
        <v>45643</v>
      </c>
      <c r="J4968" t="str">
        <f t="shared" si="77"/>
        <v>Nov-2024</v>
      </c>
    </row>
    <row r="4969" spans="1:10">
      <c r="A4969">
        <v>4968</v>
      </c>
      <c r="B4969">
        <v>19392</v>
      </c>
      <c r="C4969" t="s">
        <v>18</v>
      </c>
      <c r="D4969">
        <v>8729.64</v>
      </c>
      <c r="E4969" t="s">
        <v>16</v>
      </c>
      <c r="F4969">
        <v>27</v>
      </c>
      <c r="G4969" t="s">
        <v>17</v>
      </c>
      <c r="H4969" s="1">
        <v>45484</v>
      </c>
      <c r="I4969" s="1">
        <v>45511</v>
      </c>
      <c r="J4969" t="str">
        <f t="shared" si="77"/>
        <v>Jul-2024</v>
      </c>
    </row>
    <row r="4970" spans="1:10">
      <c r="A4970">
        <v>4969</v>
      </c>
      <c r="B4970">
        <v>15168</v>
      </c>
      <c r="C4970" t="s">
        <v>18</v>
      </c>
      <c r="D4970">
        <v>197176.27</v>
      </c>
      <c r="E4970" t="s">
        <v>16</v>
      </c>
      <c r="F4970">
        <v>40</v>
      </c>
      <c r="G4970" t="s">
        <v>17</v>
      </c>
      <c r="H4970" s="1">
        <v>45459</v>
      </c>
      <c r="I4970" s="1">
        <v>45499</v>
      </c>
      <c r="J4970" t="str">
        <f t="shared" si="77"/>
        <v>Jun-2024</v>
      </c>
    </row>
    <row r="4971" spans="1:10">
      <c r="A4971">
        <v>4970</v>
      </c>
      <c r="B4971">
        <v>13281</v>
      </c>
      <c r="C4971" t="s">
        <v>23</v>
      </c>
      <c r="D4971">
        <v>76587.570000000007</v>
      </c>
      <c r="E4971" t="s">
        <v>16</v>
      </c>
      <c r="F4971">
        <v>7</v>
      </c>
      <c r="G4971" t="s">
        <v>25</v>
      </c>
      <c r="H4971" s="1">
        <v>45630</v>
      </c>
      <c r="I4971" s="1">
        <v>45637</v>
      </c>
      <c r="J4971" t="str">
        <f t="shared" si="77"/>
        <v>Dec-2024</v>
      </c>
    </row>
    <row r="4972" spans="1:10">
      <c r="A4972">
        <v>4971</v>
      </c>
      <c r="B4972">
        <v>18810</v>
      </c>
      <c r="C4972" t="s">
        <v>15</v>
      </c>
      <c r="D4972">
        <v>156822.54999999999</v>
      </c>
      <c r="E4972" t="s">
        <v>19</v>
      </c>
      <c r="F4972">
        <v>30</v>
      </c>
      <c r="G4972" t="s">
        <v>20</v>
      </c>
      <c r="H4972" s="1">
        <v>45527</v>
      </c>
      <c r="I4972" s="1">
        <v>45557</v>
      </c>
      <c r="J4972" t="str">
        <f t="shared" si="77"/>
        <v>Aug-2024</v>
      </c>
    </row>
    <row r="4973" spans="1:10">
      <c r="A4973">
        <v>4972</v>
      </c>
      <c r="B4973">
        <v>12712</v>
      </c>
      <c r="C4973" t="s">
        <v>23</v>
      </c>
      <c r="D4973">
        <v>68501.070000000007</v>
      </c>
      <c r="E4973" t="s">
        <v>16</v>
      </c>
      <c r="F4973">
        <v>11</v>
      </c>
      <c r="G4973" t="s">
        <v>20</v>
      </c>
      <c r="H4973" s="1">
        <v>45585</v>
      </c>
      <c r="I4973" s="1">
        <v>45596</v>
      </c>
      <c r="J4973" t="str">
        <f t="shared" si="77"/>
        <v>Oct-2024</v>
      </c>
    </row>
    <row r="4974" spans="1:10">
      <c r="A4974">
        <v>4973</v>
      </c>
      <c r="B4974">
        <v>14954</v>
      </c>
      <c r="C4974" t="s">
        <v>15</v>
      </c>
      <c r="D4974">
        <v>97628.27</v>
      </c>
      <c r="E4974" t="s">
        <v>16</v>
      </c>
      <c r="F4974">
        <v>17</v>
      </c>
      <c r="G4974" t="s">
        <v>20</v>
      </c>
      <c r="H4974" s="1">
        <v>45589</v>
      </c>
      <c r="I4974" s="1">
        <v>45606</v>
      </c>
      <c r="J4974" t="str">
        <f t="shared" si="77"/>
        <v>Oct-2024</v>
      </c>
    </row>
    <row r="4975" spans="1:10">
      <c r="A4975">
        <v>4974</v>
      </c>
      <c r="B4975">
        <v>13723</v>
      </c>
      <c r="C4975" t="s">
        <v>18</v>
      </c>
      <c r="D4975">
        <v>80750.41</v>
      </c>
      <c r="E4975" t="s">
        <v>16</v>
      </c>
      <c r="F4975">
        <v>35</v>
      </c>
      <c r="G4975" t="s">
        <v>20</v>
      </c>
      <c r="H4975" s="1">
        <v>45539</v>
      </c>
      <c r="I4975" s="1">
        <v>45574</v>
      </c>
      <c r="J4975" t="str">
        <f t="shared" si="77"/>
        <v>Sep-2024</v>
      </c>
    </row>
    <row r="4976" spans="1:10">
      <c r="A4976">
        <v>4975</v>
      </c>
      <c r="B4976">
        <v>11686</v>
      </c>
      <c r="C4976" t="s">
        <v>23</v>
      </c>
      <c r="D4976">
        <v>71795.149999999994</v>
      </c>
      <c r="E4976" t="s">
        <v>16</v>
      </c>
      <c r="F4976">
        <v>32</v>
      </c>
      <c r="G4976" t="s">
        <v>20</v>
      </c>
      <c r="H4976" s="1">
        <v>45456</v>
      </c>
      <c r="I4976" s="1">
        <v>45488</v>
      </c>
      <c r="J4976" t="str">
        <f t="shared" si="77"/>
        <v>Jun-2024</v>
      </c>
    </row>
    <row r="4977" spans="1:10">
      <c r="A4977">
        <v>4976</v>
      </c>
      <c r="B4977">
        <v>17440</v>
      </c>
      <c r="C4977" t="s">
        <v>23</v>
      </c>
      <c r="D4977">
        <v>9261.02</v>
      </c>
      <c r="E4977" t="s">
        <v>16</v>
      </c>
      <c r="F4977">
        <v>37</v>
      </c>
      <c r="G4977" t="s">
        <v>25</v>
      </c>
      <c r="H4977" s="1">
        <v>45603</v>
      </c>
      <c r="I4977" s="1">
        <v>45640</v>
      </c>
      <c r="J4977" t="str">
        <f t="shared" si="77"/>
        <v>Nov-2024</v>
      </c>
    </row>
    <row r="4978" spans="1:10">
      <c r="A4978">
        <v>4977</v>
      </c>
      <c r="B4978">
        <v>11606</v>
      </c>
      <c r="C4978" t="s">
        <v>18</v>
      </c>
      <c r="D4978">
        <v>75204.08</v>
      </c>
      <c r="E4978" t="s">
        <v>16</v>
      </c>
      <c r="F4978">
        <v>42</v>
      </c>
      <c r="G4978" t="s">
        <v>17</v>
      </c>
      <c r="H4978" s="1">
        <v>45362</v>
      </c>
      <c r="I4978" s="1">
        <v>45404</v>
      </c>
      <c r="J4978" t="str">
        <f t="shared" si="77"/>
        <v>Mar-2024</v>
      </c>
    </row>
    <row r="4979" spans="1:10">
      <c r="A4979">
        <v>4978</v>
      </c>
      <c r="B4979">
        <v>19545</v>
      </c>
      <c r="C4979" t="s">
        <v>23</v>
      </c>
      <c r="D4979">
        <v>178450.55</v>
      </c>
      <c r="E4979" t="s">
        <v>16</v>
      </c>
      <c r="F4979">
        <v>6</v>
      </c>
      <c r="G4979" t="s">
        <v>17</v>
      </c>
      <c r="H4979" s="1">
        <v>45522</v>
      </c>
      <c r="I4979" s="1">
        <v>45528</v>
      </c>
      <c r="J4979" t="str">
        <f t="shared" si="77"/>
        <v>Aug-2024</v>
      </c>
    </row>
    <row r="4980" spans="1:10">
      <c r="A4980">
        <v>4979</v>
      </c>
      <c r="B4980">
        <v>14239</v>
      </c>
      <c r="C4980" t="s">
        <v>15</v>
      </c>
      <c r="D4980">
        <v>139626.70000000001</v>
      </c>
      <c r="E4980" t="s">
        <v>16</v>
      </c>
      <c r="F4980">
        <v>34</v>
      </c>
      <c r="G4980" t="s">
        <v>25</v>
      </c>
      <c r="H4980" s="1">
        <v>45346</v>
      </c>
      <c r="I4980" s="1">
        <v>45380</v>
      </c>
      <c r="J4980" t="str">
        <f t="shared" si="77"/>
        <v>Feb-2024</v>
      </c>
    </row>
    <row r="4981" spans="1:10">
      <c r="A4981">
        <v>4980</v>
      </c>
      <c r="B4981">
        <v>18810</v>
      </c>
      <c r="C4981" t="s">
        <v>23</v>
      </c>
      <c r="D4981">
        <v>33357.46</v>
      </c>
      <c r="E4981" t="s">
        <v>16</v>
      </c>
      <c r="F4981">
        <v>44</v>
      </c>
      <c r="G4981" t="s">
        <v>20</v>
      </c>
      <c r="H4981" s="1">
        <v>45473</v>
      </c>
      <c r="I4981" s="1">
        <v>45517</v>
      </c>
      <c r="J4981" t="str">
        <f t="shared" si="77"/>
        <v>Jun-2024</v>
      </c>
    </row>
    <row r="4982" spans="1:10">
      <c r="A4982">
        <v>4981</v>
      </c>
      <c r="B4982">
        <v>15103</v>
      </c>
      <c r="C4982" t="s">
        <v>23</v>
      </c>
      <c r="D4982">
        <v>120275.23</v>
      </c>
      <c r="E4982" t="s">
        <v>19</v>
      </c>
      <c r="F4982">
        <v>20</v>
      </c>
      <c r="G4982" t="s">
        <v>25</v>
      </c>
      <c r="H4982" s="1">
        <v>45313</v>
      </c>
      <c r="I4982" s="1">
        <v>45333</v>
      </c>
      <c r="J4982" t="str">
        <f t="shared" si="77"/>
        <v>Jan-2024</v>
      </c>
    </row>
    <row r="4983" spans="1:10">
      <c r="A4983">
        <v>4982</v>
      </c>
      <c r="B4983">
        <v>18545</v>
      </c>
      <c r="C4983" t="s">
        <v>23</v>
      </c>
      <c r="D4983">
        <v>178985.02</v>
      </c>
      <c r="E4983" t="s">
        <v>19</v>
      </c>
      <c r="F4983">
        <v>33</v>
      </c>
      <c r="G4983" t="s">
        <v>17</v>
      </c>
      <c r="H4983" s="1">
        <v>45574</v>
      </c>
      <c r="I4983" s="1">
        <v>45607</v>
      </c>
      <c r="J4983" t="str">
        <f t="shared" si="77"/>
        <v>Oct-2024</v>
      </c>
    </row>
    <row r="4984" spans="1:10">
      <c r="A4984">
        <v>4983</v>
      </c>
      <c r="B4984">
        <v>10280</v>
      </c>
      <c r="C4984" t="s">
        <v>23</v>
      </c>
      <c r="D4984">
        <v>141506.64000000001</v>
      </c>
      <c r="E4984" t="s">
        <v>16</v>
      </c>
      <c r="F4984">
        <v>24</v>
      </c>
      <c r="G4984" t="s">
        <v>21</v>
      </c>
      <c r="H4984" s="1">
        <v>45396</v>
      </c>
      <c r="I4984" s="1">
        <v>45420</v>
      </c>
      <c r="J4984" t="str">
        <f t="shared" si="77"/>
        <v>Apr-2024</v>
      </c>
    </row>
    <row r="4985" spans="1:10">
      <c r="A4985">
        <v>4984</v>
      </c>
      <c r="B4985">
        <v>14932</v>
      </c>
      <c r="C4985" t="s">
        <v>23</v>
      </c>
      <c r="D4985">
        <v>33993.46</v>
      </c>
      <c r="E4985" t="s">
        <v>16</v>
      </c>
      <c r="F4985">
        <v>4</v>
      </c>
      <c r="G4985" t="s">
        <v>25</v>
      </c>
      <c r="H4985" s="1">
        <v>45466</v>
      </c>
      <c r="I4985" s="1">
        <v>45470</v>
      </c>
      <c r="J4985" t="str">
        <f t="shared" si="77"/>
        <v>Jun-2024</v>
      </c>
    </row>
    <row r="4986" spans="1:10">
      <c r="A4986">
        <v>4985</v>
      </c>
      <c r="B4986">
        <v>13550</v>
      </c>
      <c r="C4986" t="s">
        <v>23</v>
      </c>
      <c r="D4986">
        <v>174227.34</v>
      </c>
      <c r="E4986" t="s">
        <v>19</v>
      </c>
      <c r="F4986">
        <v>2</v>
      </c>
      <c r="G4986" t="s">
        <v>20</v>
      </c>
      <c r="H4986" s="1">
        <v>45585</v>
      </c>
      <c r="I4986" s="1">
        <v>45587</v>
      </c>
      <c r="J4986" t="str">
        <f t="shared" si="77"/>
        <v>Oct-2024</v>
      </c>
    </row>
    <row r="4987" spans="1:10">
      <c r="A4987">
        <v>4986</v>
      </c>
      <c r="B4987">
        <v>11959</v>
      </c>
      <c r="C4987" t="s">
        <v>18</v>
      </c>
      <c r="D4987">
        <v>63801.08</v>
      </c>
      <c r="E4987" t="s">
        <v>16</v>
      </c>
      <c r="F4987">
        <v>37</v>
      </c>
      <c r="G4987" t="s">
        <v>17</v>
      </c>
      <c r="H4987" s="1">
        <v>45330</v>
      </c>
      <c r="I4987" s="1">
        <v>45367</v>
      </c>
      <c r="J4987" t="str">
        <f t="shared" si="77"/>
        <v>Feb-2024</v>
      </c>
    </row>
    <row r="4988" spans="1:10">
      <c r="A4988">
        <v>4987</v>
      </c>
      <c r="B4988">
        <v>10389</v>
      </c>
      <c r="C4988" t="s">
        <v>23</v>
      </c>
      <c r="D4988">
        <v>93544.85</v>
      </c>
      <c r="E4988" t="s">
        <v>16</v>
      </c>
      <c r="F4988">
        <v>42</v>
      </c>
      <c r="G4988" t="s">
        <v>17</v>
      </c>
      <c r="H4988" s="1">
        <v>45351</v>
      </c>
      <c r="I4988" s="1">
        <v>45393</v>
      </c>
      <c r="J4988" t="str">
        <f t="shared" si="77"/>
        <v>Feb-2024</v>
      </c>
    </row>
    <row r="4989" spans="1:10">
      <c r="A4989">
        <v>4988</v>
      </c>
      <c r="B4989">
        <v>15183</v>
      </c>
      <c r="C4989" t="s">
        <v>22</v>
      </c>
      <c r="D4989">
        <v>107597.84</v>
      </c>
      <c r="E4989" t="s">
        <v>16</v>
      </c>
      <c r="F4989">
        <v>29</v>
      </c>
      <c r="G4989" t="s">
        <v>17</v>
      </c>
      <c r="H4989" s="1">
        <v>45591</v>
      </c>
      <c r="I4989" s="1">
        <v>45620</v>
      </c>
      <c r="J4989" t="str">
        <f t="shared" si="77"/>
        <v>Oct-2024</v>
      </c>
    </row>
    <row r="4990" spans="1:10">
      <c r="A4990">
        <v>4989</v>
      </c>
      <c r="B4990">
        <v>13867</v>
      </c>
      <c r="C4990" t="s">
        <v>18</v>
      </c>
      <c r="D4990">
        <v>170848.79</v>
      </c>
      <c r="E4990" t="s">
        <v>16</v>
      </c>
      <c r="F4990">
        <v>40</v>
      </c>
      <c r="G4990" t="s">
        <v>17</v>
      </c>
      <c r="H4990" s="1">
        <v>45590</v>
      </c>
      <c r="I4990" s="1">
        <v>45630</v>
      </c>
      <c r="J4990" t="str">
        <f t="shared" si="77"/>
        <v>Oct-2024</v>
      </c>
    </row>
    <row r="4991" spans="1:10">
      <c r="A4991">
        <v>4990</v>
      </c>
      <c r="B4991">
        <v>14360</v>
      </c>
      <c r="C4991" t="s">
        <v>15</v>
      </c>
      <c r="D4991">
        <v>186663.46</v>
      </c>
      <c r="E4991" t="s">
        <v>19</v>
      </c>
      <c r="F4991">
        <v>6</v>
      </c>
      <c r="G4991" t="s">
        <v>20</v>
      </c>
      <c r="H4991" s="1">
        <v>45503</v>
      </c>
      <c r="I4991" s="1">
        <v>45509</v>
      </c>
      <c r="J4991" t="str">
        <f t="shared" si="77"/>
        <v>Jul-2024</v>
      </c>
    </row>
    <row r="4992" spans="1:10">
      <c r="A4992">
        <v>4991</v>
      </c>
      <c r="B4992">
        <v>12053</v>
      </c>
      <c r="C4992" t="s">
        <v>23</v>
      </c>
      <c r="D4992">
        <v>186282.31</v>
      </c>
      <c r="E4992" t="s">
        <v>19</v>
      </c>
      <c r="F4992">
        <v>14</v>
      </c>
      <c r="G4992" t="s">
        <v>21</v>
      </c>
      <c r="H4992" s="1">
        <v>45446</v>
      </c>
      <c r="I4992" s="1">
        <v>45460</v>
      </c>
      <c r="J4992" t="str">
        <f t="shared" si="77"/>
        <v>Jun-2024</v>
      </c>
    </row>
    <row r="4993" spans="1:10">
      <c r="A4993">
        <v>4992</v>
      </c>
      <c r="B4993">
        <v>15008</v>
      </c>
      <c r="C4993" t="s">
        <v>23</v>
      </c>
      <c r="D4993">
        <v>6551.07</v>
      </c>
      <c r="E4993" t="s">
        <v>16</v>
      </c>
      <c r="F4993">
        <v>12</v>
      </c>
      <c r="G4993" t="s">
        <v>17</v>
      </c>
      <c r="H4993" s="1">
        <v>45464</v>
      </c>
      <c r="I4993" s="1">
        <v>45476</v>
      </c>
      <c r="J4993" t="str">
        <f t="shared" si="77"/>
        <v>Jun-2024</v>
      </c>
    </row>
    <row r="4994" spans="1:10">
      <c r="A4994">
        <v>4993</v>
      </c>
      <c r="B4994">
        <v>18359</v>
      </c>
      <c r="C4994" t="s">
        <v>23</v>
      </c>
      <c r="D4994">
        <v>184768.25</v>
      </c>
      <c r="E4994" t="s">
        <v>16</v>
      </c>
      <c r="F4994">
        <v>23</v>
      </c>
      <c r="G4994" t="s">
        <v>25</v>
      </c>
      <c r="H4994" s="1">
        <v>45314</v>
      </c>
      <c r="I4994" s="1">
        <v>45337</v>
      </c>
      <c r="J4994" t="str">
        <f t="shared" si="77"/>
        <v>Jan-2024</v>
      </c>
    </row>
    <row r="4995" spans="1:10">
      <c r="A4995">
        <v>4994</v>
      </c>
      <c r="B4995">
        <v>16316</v>
      </c>
      <c r="C4995" t="s">
        <v>18</v>
      </c>
      <c r="D4995">
        <v>15605.46</v>
      </c>
      <c r="E4995" t="s">
        <v>16</v>
      </c>
      <c r="F4995">
        <v>24</v>
      </c>
      <c r="G4995" t="s">
        <v>21</v>
      </c>
      <c r="H4995" s="1">
        <v>45531</v>
      </c>
      <c r="I4995" s="1">
        <v>45555</v>
      </c>
      <c r="J4995" t="str">
        <f t="shared" ref="J4995:J5058" si="78">TEXT(H4995,"mmm-yyyy")</f>
        <v>Aug-2024</v>
      </c>
    </row>
    <row r="4996" spans="1:10">
      <c r="A4996">
        <v>4995</v>
      </c>
      <c r="B4996">
        <v>12166</v>
      </c>
      <c r="C4996" t="s">
        <v>15</v>
      </c>
      <c r="D4996">
        <v>56825.86</v>
      </c>
      <c r="E4996" t="s">
        <v>16</v>
      </c>
      <c r="F4996">
        <v>13</v>
      </c>
      <c r="G4996" t="s">
        <v>17</v>
      </c>
      <c r="H4996" s="1">
        <v>45500</v>
      </c>
      <c r="I4996" s="1">
        <v>45513</v>
      </c>
      <c r="J4996" t="str">
        <f t="shared" si="78"/>
        <v>Jul-2024</v>
      </c>
    </row>
    <row r="4997" spans="1:10">
      <c r="A4997">
        <v>4996</v>
      </c>
      <c r="B4997">
        <v>18106</v>
      </c>
      <c r="C4997" t="s">
        <v>23</v>
      </c>
      <c r="D4997">
        <v>105422.63</v>
      </c>
      <c r="E4997" t="s">
        <v>24</v>
      </c>
      <c r="G4997" t="s">
        <v>21</v>
      </c>
      <c r="H4997" s="1">
        <v>45413</v>
      </c>
      <c r="J4997" t="str">
        <f t="shared" si="78"/>
        <v>May-2024</v>
      </c>
    </row>
    <row r="4998" spans="1:10">
      <c r="A4998">
        <v>4997</v>
      </c>
      <c r="B4998">
        <v>16272</v>
      </c>
      <c r="C4998" t="s">
        <v>23</v>
      </c>
      <c r="D4998">
        <v>98585.51</v>
      </c>
      <c r="E4998" t="s">
        <v>16</v>
      </c>
      <c r="F4998">
        <v>20</v>
      </c>
      <c r="G4998" t="s">
        <v>25</v>
      </c>
      <c r="H4998" s="1">
        <v>45544</v>
      </c>
      <c r="I4998" s="1">
        <v>45564</v>
      </c>
      <c r="J4998" t="str">
        <f t="shared" si="78"/>
        <v>Sep-2024</v>
      </c>
    </row>
    <row r="4999" spans="1:10">
      <c r="A4999">
        <v>4998</v>
      </c>
      <c r="B4999">
        <v>10186</v>
      </c>
      <c r="C4999" t="s">
        <v>15</v>
      </c>
      <c r="D4999">
        <v>122918.41</v>
      </c>
      <c r="E4999" t="s">
        <v>16</v>
      </c>
      <c r="F4999">
        <v>6</v>
      </c>
      <c r="G4999" t="s">
        <v>17</v>
      </c>
      <c r="H4999" s="1">
        <v>45432</v>
      </c>
      <c r="I4999" s="1">
        <v>45438</v>
      </c>
      <c r="J4999" t="str">
        <f t="shared" si="78"/>
        <v>May-2024</v>
      </c>
    </row>
    <row r="5000" spans="1:10">
      <c r="A5000">
        <v>4999</v>
      </c>
      <c r="B5000">
        <v>15182</v>
      </c>
      <c r="C5000" t="s">
        <v>23</v>
      </c>
      <c r="D5000">
        <v>98492.01</v>
      </c>
      <c r="E5000" t="s">
        <v>19</v>
      </c>
      <c r="F5000">
        <v>25</v>
      </c>
      <c r="G5000" t="s">
        <v>25</v>
      </c>
      <c r="H5000" s="1">
        <v>45631</v>
      </c>
      <c r="I5000" s="1">
        <v>45656</v>
      </c>
      <c r="J5000" t="str">
        <f t="shared" si="78"/>
        <v>Dec-2024</v>
      </c>
    </row>
    <row r="5001" spans="1:10">
      <c r="A5001">
        <v>5000</v>
      </c>
      <c r="B5001">
        <v>19489</v>
      </c>
      <c r="C5001" t="s">
        <v>18</v>
      </c>
      <c r="D5001">
        <v>187203.26</v>
      </c>
      <c r="E5001" t="s">
        <v>19</v>
      </c>
      <c r="F5001">
        <v>31</v>
      </c>
      <c r="G5001" t="s">
        <v>20</v>
      </c>
      <c r="H5001" s="1">
        <v>45653</v>
      </c>
      <c r="I5001" s="1">
        <v>45684</v>
      </c>
      <c r="J5001" t="str">
        <f t="shared" si="78"/>
        <v>Dec-2024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B1D6-41B8-49E1-B546-A40DC72AB3B8}">
  <dimension ref="A1:B5"/>
  <sheetViews>
    <sheetView workbookViewId="0">
      <selection activeCell="C26" sqref="C26"/>
    </sheetView>
  </sheetViews>
  <sheetFormatPr defaultRowHeight="15"/>
  <cols>
    <col min="1" max="1" width="18.28515625" bestFit="1" customWidth="1"/>
    <col min="2" max="2" width="15.5703125" bestFit="1" customWidth="1"/>
    <col min="3" max="3" width="13.140625" bestFit="1" customWidth="1"/>
    <col min="4" max="4" width="18.28515625" bestFit="1" customWidth="1"/>
    <col min="5" max="5" width="17.7109375" bestFit="1" customWidth="1"/>
  </cols>
  <sheetData>
    <row r="1" spans="1:2">
      <c r="A1" t="s">
        <v>0</v>
      </c>
      <c r="B1">
        <f>COUNTA(in!A:A)</f>
        <v>5001</v>
      </c>
    </row>
    <row r="2" spans="1:2">
      <c r="A2" t="s">
        <v>1</v>
      </c>
      <c r="B2">
        <f>COUNTIF(in!E:E,"Approved")</f>
        <v>3524</v>
      </c>
    </row>
    <row r="3" spans="1:2">
      <c r="A3" t="s">
        <v>2</v>
      </c>
      <c r="B3" s="2">
        <f>B2/B1</f>
        <v>0.7046590681863627</v>
      </c>
    </row>
    <row r="4" spans="1:2">
      <c r="A4" t="s">
        <v>3</v>
      </c>
      <c r="B4">
        <f>AVERAGE(in!F:F)</f>
        <v>23.135296722763506</v>
      </c>
    </row>
    <row r="5" spans="1:2">
      <c r="A5" t="s">
        <v>4</v>
      </c>
      <c r="B5" s="3">
        <f>SUM(in!D:D)</f>
        <v>513835918.80999845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2353-B4B7-4544-B01C-AE248418EC06}">
  <dimension ref="A3:K15"/>
  <sheetViews>
    <sheetView workbookViewId="0">
      <selection activeCell="B6" sqref="B6"/>
    </sheetView>
  </sheetViews>
  <sheetFormatPr defaultRowHeight="15"/>
  <cols>
    <col min="1" max="1" width="11.42578125" bestFit="1" customWidth="1"/>
    <col min="2" max="2" width="17" bestFit="1" customWidth="1"/>
    <col min="4" max="4" width="11.42578125" customWidth="1"/>
    <col min="5" max="5" width="17" customWidth="1"/>
  </cols>
  <sheetData>
    <row r="3" spans="1:11">
      <c r="A3" s="4" t="s">
        <v>9</v>
      </c>
      <c r="B3" t="s">
        <v>26</v>
      </c>
      <c r="D3" s="4" t="s">
        <v>11</v>
      </c>
      <c r="E3" t="s">
        <v>26</v>
      </c>
    </row>
    <row r="4" spans="1:11">
      <c r="A4" t="s">
        <v>16</v>
      </c>
      <c r="B4" s="5">
        <v>3524</v>
      </c>
      <c r="D4" t="s">
        <v>17</v>
      </c>
      <c r="E4" s="5">
        <v>1209</v>
      </c>
    </row>
    <row r="5" spans="1:11">
      <c r="A5" t="s">
        <v>24</v>
      </c>
      <c r="B5" s="5">
        <v>484</v>
      </c>
      <c r="D5" t="s">
        <v>21</v>
      </c>
      <c r="E5" s="5">
        <v>1295</v>
      </c>
    </row>
    <row r="6" spans="1:11">
      <c r="A6" t="s">
        <v>19</v>
      </c>
      <c r="B6" s="5">
        <v>992</v>
      </c>
      <c r="D6" t="s">
        <v>25</v>
      </c>
      <c r="E6" s="5">
        <v>1240</v>
      </c>
    </row>
    <row r="7" spans="1:11">
      <c r="A7" t="s">
        <v>27</v>
      </c>
      <c r="B7" s="5">
        <v>5000</v>
      </c>
      <c r="D7" t="s">
        <v>20</v>
      </c>
      <c r="E7" s="5">
        <v>1256</v>
      </c>
    </row>
    <row r="8" spans="1:11">
      <c r="D8" t="s">
        <v>27</v>
      </c>
      <c r="E8" s="5">
        <v>5000</v>
      </c>
    </row>
    <row r="9" spans="1:11">
      <c r="A9" s="5"/>
      <c r="K9" s="6"/>
    </row>
    <row r="10" spans="1:11">
      <c r="A10" s="4" t="s">
        <v>7</v>
      </c>
      <c r="B10" t="s">
        <v>26</v>
      </c>
    </row>
    <row r="11" spans="1:11">
      <c r="A11" t="s">
        <v>18</v>
      </c>
      <c r="B11" s="5">
        <v>1454</v>
      </c>
    </row>
    <row r="12" spans="1:11">
      <c r="A12" t="s">
        <v>23</v>
      </c>
      <c r="B12" s="5">
        <v>2551</v>
      </c>
    </row>
    <row r="13" spans="1:11">
      <c r="A13" t="s">
        <v>22</v>
      </c>
      <c r="B13" s="5">
        <v>495</v>
      </c>
    </row>
    <row r="14" spans="1:11">
      <c r="A14" t="s">
        <v>15</v>
      </c>
      <c r="B14" s="5">
        <v>500</v>
      </c>
    </row>
    <row r="15" spans="1:11">
      <c r="A15" t="s">
        <v>27</v>
      </c>
      <c r="B15" s="5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9526-73E7-4E9F-AE70-42C5932872D8}">
  <dimension ref="A1:B18"/>
  <sheetViews>
    <sheetView tabSelected="1" workbookViewId="0">
      <selection activeCell="R6" sqref="R6"/>
    </sheetView>
  </sheetViews>
  <sheetFormatPr defaultRowHeight="15"/>
  <cols>
    <col min="1" max="1" width="21.28515625" bestFit="1" customWidth="1"/>
    <col min="2" max="2" width="17" customWidth="1"/>
  </cols>
  <sheetData>
    <row r="1" spans="1:2">
      <c r="A1" s="4" t="s">
        <v>14</v>
      </c>
      <c r="B1" t="s">
        <v>26</v>
      </c>
    </row>
    <row r="2" spans="1:2">
      <c r="A2" t="s">
        <v>28</v>
      </c>
      <c r="B2" s="5">
        <v>13</v>
      </c>
    </row>
    <row r="3" spans="1:2">
      <c r="A3" t="s">
        <v>29</v>
      </c>
      <c r="B3" s="5">
        <v>8</v>
      </c>
    </row>
    <row r="4" spans="1:2">
      <c r="A4" t="s">
        <v>30</v>
      </c>
      <c r="B4" s="5">
        <v>11</v>
      </c>
    </row>
    <row r="5" spans="1:2">
      <c r="A5" t="s">
        <v>31</v>
      </c>
      <c r="B5" s="5">
        <v>8</v>
      </c>
    </row>
    <row r="6" spans="1:2">
      <c r="A6" t="s">
        <v>32</v>
      </c>
      <c r="B6" s="5">
        <v>10</v>
      </c>
    </row>
    <row r="7" spans="1:2">
      <c r="A7" t="s">
        <v>33</v>
      </c>
      <c r="B7" s="5">
        <v>5</v>
      </c>
    </row>
    <row r="8" spans="1:2">
      <c r="A8" t="s">
        <v>34</v>
      </c>
      <c r="B8" s="5">
        <v>10</v>
      </c>
    </row>
    <row r="9" spans="1:2">
      <c r="A9" t="s">
        <v>35</v>
      </c>
      <c r="B9" s="5">
        <v>6</v>
      </c>
    </row>
    <row r="10" spans="1:2">
      <c r="A10" t="s">
        <v>36</v>
      </c>
      <c r="B10" s="5">
        <v>12</v>
      </c>
    </row>
    <row r="11" spans="1:2">
      <c r="A11" t="s">
        <v>27</v>
      </c>
      <c r="B11" s="5">
        <v>83</v>
      </c>
    </row>
    <row r="16" spans="1:2">
      <c r="A16" s="4" t="s">
        <v>11</v>
      </c>
      <c r="B16" t="s">
        <v>37</v>
      </c>
    </row>
    <row r="17" spans="1:2">
      <c r="A17" t="s">
        <v>25</v>
      </c>
      <c r="B17" s="5">
        <v>22.666666666666668</v>
      </c>
    </row>
    <row r="18" spans="1:2">
      <c r="A18" t="s">
        <v>27</v>
      </c>
      <c r="B18" s="5">
        <v>22.666666666666668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2026-01-28T12:59:18Z</dcterms:created>
  <dcterms:modified xsi:type="dcterms:W3CDTF">2026-01-28T16:20:59Z</dcterms:modified>
  <cp:category/>
  <cp:contentStatus/>
</cp:coreProperties>
</file>